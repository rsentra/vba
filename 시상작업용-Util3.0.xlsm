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글로벌백업(180329)\77.EXCEL\My VBA\"/>
    </mc:Choice>
  </mc:AlternateContent>
  <bookViews>
    <workbookView xWindow="-108" yWindow="-108" windowWidth="19428" windowHeight="10428" tabRatio="635" activeTab="1"/>
  </bookViews>
  <sheets>
    <sheet name="key로 값비교" sheetId="1" r:id="rId1"/>
    <sheet name="함수생성" sheetId="3" r:id="rId2"/>
    <sheet name="데이터가져오기" sheetId="4" r:id="rId3"/>
    <sheet name="신규등록찾기" sheetId="9" r:id="rId4"/>
    <sheet name="시상파일초기화" sheetId="8" r:id="rId5"/>
    <sheet name="파일정보" sheetId="7" r:id="rId6"/>
    <sheet name="TEMP" sheetId="6" r:id="rId7"/>
    <sheet name="Sheet1" sheetId="10" r:id="rId8"/>
  </sheets>
  <functionGroups builtInGroupCount="18"/>
  <definedNames>
    <definedName name="_xlnm._FilterDatabase" localSheetId="0" hidden="1">'key로 값비교'!$A$1:$T$1342</definedName>
    <definedName name="_xlnm._FilterDatabase" localSheetId="6" hidden="1">TEMP!$B$1:$BB$71</definedName>
    <definedName name="_xlnm._FilterDatabase" localSheetId="2" hidden="1">데이터가져오기!$A$2:$BQ$6</definedName>
    <definedName name="_xlnm._FilterDatabase" localSheetId="3" hidden="1">신규등록찾기!$D$1:$G$207</definedName>
    <definedName name="CompareRange1">OFFSET('key로 값비교'!$A$2,0,0,COUNTA('key로 값비교'!$A:$A)-1,1)</definedName>
    <definedName name="CompareRange2">OFFSET('key로 값비교'!$F$2,0,0,COUNTA('key로 값비교'!$F:$F)-1,1)</definedName>
    <definedName name="_xlnm.Criteria" localSheetId="2">데이터가져오기!$J$2:$N$13</definedName>
    <definedName name="_xlnm.Extract" localSheetId="6">TEMP!#REF!</definedName>
    <definedName name="_xlnm.Extract" localSheetId="2">데이터가져오기!#REF!</definedName>
    <definedName name="검색조건">OFFSET(데이터가져오기!$J$2,0,0,데이터가져오기!$O$1,COUNTA(데이터가져오기!$J$2:$O$2))</definedName>
    <definedName name="수수료년월">OFFSET(파일정보!$A$3,0,0,COUNTA(파일정보!$A$3:$A$55),1)</definedName>
    <definedName name="수수료파일">파일정보!$A$3:$F$55</definedName>
    <definedName name="시상년월">OFFSET(파일정보!$A$63,0,0,COUNTA(파일정보!$A$63:$A$77),1)</definedName>
    <definedName name="시상파일">파일정보!$A$59:$F$77</definedName>
    <definedName name="시작점">데이터가져오기!$A$36</definedName>
  </definedNames>
  <calcPr calcId="162913"/>
</workbook>
</file>

<file path=xl/calcChain.xml><?xml version="1.0" encoding="utf-8"?>
<calcChain xmlns="http://schemas.openxmlformats.org/spreadsheetml/2006/main">
  <c r="AM4" i="10" l="1"/>
  <c r="AN4" i="10"/>
  <c r="AM5" i="10"/>
  <c r="AN5" i="10"/>
  <c r="AM6" i="10"/>
  <c r="AN6" i="10"/>
  <c r="AM7" i="10"/>
  <c r="AN7" i="10"/>
  <c r="AM8" i="10"/>
  <c r="AN8" i="10"/>
  <c r="AM9" i="10"/>
  <c r="AN9" i="10"/>
  <c r="AM10" i="10"/>
  <c r="AN10" i="10"/>
  <c r="AM11" i="10"/>
  <c r="AN11" i="10"/>
  <c r="AM12" i="10"/>
  <c r="AN12" i="10"/>
  <c r="AM13" i="10"/>
  <c r="AN13" i="10"/>
  <c r="AM14" i="10"/>
  <c r="AN14" i="10"/>
  <c r="AM15" i="10"/>
  <c r="AN15" i="10"/>
  <c r="AM16" i="10"/>
  <c r="AN16" i="10"/>
  <c r="AM17" i="10"/>
  <c r="AN17" i="10"/>
  <c r="AM18" i="10"/>
  <c r="AN18" i="10"/>
  <c r="AM19" i="10"/>
  <c r="AN19" i="10"/>
  <c r="AM20" i="10"/>
  <c r="AN20" i="10"/>
  <c r="AM21" i="10"/>
  <c r="AN21" i="10"/>
  <c r="AM22" i="10"/>
  <c r="AN22" i="10"/>
  <c r="AM23" i="10"/>
  <c r="AN23" i="10"/>
  <c r="AM24" i="10"/>
  <c r="AN24" i="10"/>
  <c r="AM25" i="10"/>
  <c r="AN25" i="10"/>
  <c r="AM26" i="10"/>
  <c r="AN26" i="10"/>
  <c r="AM27" i="10"/>
  <c r="AN27" i="10"/>
  <c r="AM28" i="10"/>
  <c r="AN28" i="10"/>
  <c r="AM29" i="10"/>
  <c r="AN29" i="10"/>
  <c r="AM30" i="10"/>
  <c r="AN30" i="10"/>
  <c r="AM31" i="10"/>
  <c r="AN31" i="10"/>
  <c r="AM32" i="10"/>
  <c r="AN32" i="10"/>
  <c r="AM33" i="10"/>
  <c r="AN33" i="10"/>
  <c r="AM34" i="10"/>
  <c r="AN34" i="10"/>
  <c r="AM35" i="10"/>
  <c r="AN35" i="10"/>
  <c r="AM36" i="10"/>
  <c r="AN36" i="10"/>
  <c r="AM37" i="10"/>
  <c r="AN37" i="10"/>
  <c r="AM38" i="10"/>
  <c r="AN38" i="10"/>
  <c r="AM39" i="10"/>
  <c r="AN39" i="10"/>
  <c r="AM40" i="10"/>
  <c r="AN40" i="10"/>
  <c r="AM41" i="10"/>
  <c r="AN41" i="10"/>
  <c r="AM42" i="10"/>
  <c r="AN42" i="10"/>
  <c r="AM43" i="10"/>
  <c r="AN43" i="10"/>
  <c r="AM44" i="10"/>
  <c r="AN44" i="10"/>
  <c r="AM45" i="10"/>
  <c r="AN45" i="10"/>
  <c r="AM46" i="10"/>
  <c r="AN46" i="10"/>
  <c r="AM47" i="10"/>
  <c r="AN47" i="10"/>
  <c r="AM48" i="10"/>
  <c r="AN48" i="10"/>
  <c r="AM49" i="10"/>
  <c r="AN49" i="10"/>
  <c r="AM50" i="10"/>
  <c r="AN50" i="10"/>
  <c r="AM51" i="10"/>
  <c r="AN51" i="10"/>
  <c r="AM52" i="10"/>
  <c r="AN52" i="10"/>
  <c r="AM53" i="10"/>
  <c r="AN53" i="10"/>
  <c r="AM54" i="10"/>
  <c r="AN54" i="10"/>
  <c r="AM55" i="10"/>
  <c r="AN55" i="10"/>
  <c r="AN3" i="10"/>
  <c r="AM3" i="10"/>
  <c r="H77" i="1" l="1"/>
  <c r="I77" i="1" s="1"/>
  <c r="H76" i="1"/>
  <c r="I76" i="1" s="1"/>
  <c r="H75" i="1"/>
  <c r="I75" i="1" s="1"/>
  <c r="H74" i="1"/>
  <c r="I74" i="1" s="1"/>
  <c r="H73" i="1"/>
  <c r="I73" i="1" s="1"/>
  <c r="H72" i="1"/>
  <c r="I72" i="1" s="1"/>
  <c r="H71" i="1"/>
  <c r="I71" i="1" s="1"/>
  <c r="H70" i="1"/>
  <c r="I70" i="1" s="1"/>
  <c r="H69" i="1"/>
  <c r="I69" i="1" s="1"/>
  <c r="H68" i="1"/>
  <c r="I68" i="1" s="1"/>
  <c r="H67" i="1"/>
  <c r="I67" i="1" s="1"/>
  <c r="H66" i="1"/>
  <c r="I66" i="1" s="1"/>
  <c r="H65" i="1"/>
  <c r="I65" i="1" s="1"/>
  <c r="H64" i="1"/>
  <c r="I64" i="1" s="1"/>
  <c r="H63" i="1"/>
  <c r="I63" i="1" s="1"/>
  <c r="H62" i="1"/>
  <c r="I62" i="1" s="1"/>
  <c r="H61" i="1"/>
  <c r="I61" i="1" s="1"/>
  <c r="H60" i="1"/>
  <c r="I60" i="1" s="1"/>
  <c r="H59" i="1"/>
  <c r="I59" i="1" s="1"/>
  <c r="H58" i="1"/>
  <c r="I58" i="1" s="1"/>
  <c r="H57" i="1"/>
  <c r="I57" i="1" s="1"/>
  <c r="H56" i="1"/>
  <c r="I56" i="1" s="1"/>
  <c r="H55" i="1"/>
  <c r="I55" i="1" s="1"/>
  <c r="H54" i="1"/>
  <c r="I54" i="1" s="1"/>
  <c r="H53" i="1"/>
  <c r="I53" i="1" s="1"/>
  <c r="H52" i="1"/>
  <c r="I52" i="1" s="1"/>
  <c r="H51" i="1"/>
  <c r="I51" i="1" s="1"/>
  <c r="H50" i="1"/>
  <c r="I50" i="1" s="1"/>
  <c r="H49" i="1"/>
  <c r="I49" i="1" s="1"/>
  <c r="H48" i="1"/>
  <c r="I48" i="1" s="1"/>
  <c r="H47" i="1"/>
  <c r="I47" i="1" s="1"/>
  <c r="H46" i="1"/>
  <c r="I46" i="1" s="1"/>
  <c r="H45" i="1"/>
  <c r="I45" i="1" s="1"/>
  <c r="H44" i="1"/>
  <c r="I44" i="1" s="1"/>
  <c r="H43" i="1"/>
  <c r="I43" i="1" s="1"/>
  <c r="H42" i="1"/>
  <c r="I42" i="1" s="1"/>
  <c r="H41" i="1"/>
  <c r="I41" i="1" s="1"/>
  <c r="H40" i="1"/>
  <c r="I40" i="1" s="1"/>
  <c r="H39" i="1"/>
  <c r="I39" i="1" s="1"/>
  <c r="H38" i="1"/>
  <c r="I38" i="1" s="1"/>
  <c r="H37" i="1"/>
  <c r="I37" i="1" s="1"/>
  <c r="H36" i="1"/>
  <c r="I36" i="1" s="1"/>
  <c r="H35" i="1"/>
  <c r="I35" i="1" s="1"/>
  <c r="H34" i="1"/>
  <c r="I34" i="1" s="1"/>
  <c r="H33" i="1"/>
  <c r="I33" i="1" s="1"/>
  <c r="H32" i="1"/>
  <c r="I32" i="1" s="1"/>
  <c r="H31" i="1"/>
  <c r="I31" i="1" s="1"/>
  <c r="H30" i="1"/>
  <c r="I30" i="1" s="1"/>
  <c r="H29" i="1"/>
  <c r="I29" i="1" s="1"/>
  <c r="H28" i="1"/>
  <c r="I28" i="1" s="1"/>
  <c r="H27" i="1"/>
  <c r="I27" i="1" s="1"/>
  <c r="H26" i="1"/>
  <c r="I26" i="1" s="1"/>
  <c r="H25" i="1"/>
  <c r="I25" i="1" s="1"/>
  <c r="H24" i="1"/>
  <c r="I24" i="1" s="1"/>
  <c r="H23" i="1"/>
  <c r="I23" i="1" s="1"/>
  <c r="H22" i="1"/>
  <c r="I22" i="1" s="1"/>
  <c r="H21" i="1"/>
  <c r="I21" i="1" s="1"/>
  <c r="H20" i="1"/>
  <c r="I20" i="1" s="1"/>
  <c r="H19" i="1"/>
  <c r="I19" i="1" s="1"/>
  <c r="H18" i="1"/>
  <c r="I18" i="1" s="1"/>
  <c r="H17" i="1"/>
  <c r="I17" i="1" s="1"/>
  <c r="H16" i="1"/>
  <c r="I16" i="1" s="1"/>
  <c r="H15" i="1"/>
  <c r="I15" i="1" s="1"/>
  <c r="H14" i="1"/>
  <c r="I14" i="1" s="1"/>
  <c r="H13" i="1"/>
  <c r="I13" i="1" s="1"/>
  <c r="H12" i="1"/>
  <c r="I12" i="1" s="1"/>
  <c r="H11" i="1"/>
  <c r="I11" i="1" s="1"/>
  <c r="H10" i="1"/>
  <c r="I10" i="1" s="1"/>
  <c r="H9" i="1"/>
  <c r="I9" i="1" s="1"/>
  <c r="H8" i="1"/>
  <c r="I8" i="1" s="1"/>
  <c r="H7" i="1"/>
  <c r="I7" i="1" s="1"/>
  <c r="H6" i="1"/>
  <c r="I6" i="1" s="1"/>
  <c r="H5" i="1"/>
  <c r="I5" i="1" s="1"/>
  <c r="H4" i="1"/>
  <c r="I4" i="1" s="1"/>
  <c r="H3" i="1"/>
  <c r="I3" i="1" s="1"/>
  <c r="I2" i="1"/>
  <c r="H2" i="1"/>
  <c r="C83" i="1"/>
  <c r="D83" i="1" s="1"/>
  <c r="C82" i="1"/>
  <c r="D82" i="1" s="1"/>
  <c r="C81" i="1"/>
  <c r="D81" i="1" s="1"/>
  <c r="C80" i="1"/>
  <c r="D80" i="1" s="1"/>
  <c r="C79" i="1"/>
  <c r="D79" i="1" s="1"/>
  <c r="C78" i="1"/>
  <c r="D78" i="1" s="1"/>
  <c r="C77" i="1"/>
  <c r="D77" i="1" s="1"/>
  <c r="C76" i="1"/>
  <c r="D76" i="1" s="1"/>
  <c r="C75" i="1"/>
  <c r="D75" i="1" s="1"/>
  <c r="C74" i="1"/>
  <c r="D74" i="1" s="1"/>
  <c r="C73" i="1"/>
  <c r="D73" i="1" s="1"/>
  <c r="C72" i="1"/>
  <c r="D72" i="1" s="1"/>
  <c r="C71" i="1"/>
  <c r="D71" i="1" s="1"/>
  <c r="C70" i="1"/>
  <c r="D70" i="1" s="1"/>
  <c r="C69" i="1"/>
  <c r="D69" i="1" s="1"/>
  <c r="C68" i="1"/>
  <c r="D68" i="1" s="1"/>
  <c r="C67" i="1"/>
  <c r="D67" i="1" s="1"/>
  <c r="C66" i="1"/>
  <c r="D66" i="1" s="1"/>
  <c r="C65" i="1"/>
  <c r="D65" i="1" s="1"/>
  <c r="C64" i="1"/>
  <c r="D64" i="1" s="1"/>
  <c r="C63" i="1"/>
  <c r="D63" i="1" s="1"/>
  <c r="C62" i="1"/>
  <c r="D62" i="1" s="1"/>
  <c r="C61" i="1"/>
  <c r="D61" i="1" s="1"/>
  <c r="C60" i="1"/>
  <c r="D60" i="1" s="1"/>
  <c r="C59" i="1"/>
  <c r="D59" i="1" s="1"/>
  <c r="C58" i="1"/>
  <c r="D58" i="1" s="1"/>
  <c r="C57" i="1"/>
  <c r="D57" i="1" s="1"/>
  <c r="C56" i="1"/>
  <c r="D56" i="1" s="1"/>
  <c r="C55" i="1"/>
  <c r="D55" i="1" s="1"/>
  <c r="C54" i="1"/>
  <c r="D54" i="1" s="1"/>
  <c r="C53" i="1"/>
  <c r="D53" i="1" s="1"/>
  <c r="C52" i="1"/>
  <c r="D52" i="1" s="1"/>
  <c r="C51" i="1"/>
  <c r="D51" i="1" s="1"/>
  <c r="C50" i="1"/>
  <c r="D50" i="1" s="1"/>
  <c r="C49" i="1"/>
  <c r="D49" i="1" s="1"/>
  <c r="C48" i="1"/>
  <c r="D48" i="1" s="1"/>
  <c r="C47" i="1"/>
  <c r="D47" i="1" s="1"/>
  <c r="C46" i="1"/>
  <c r="D46" i="1" s="1"/>
  <c r="C45" i="1"/>
  <c r="D45" i="1" s="1"/>
  <c r="C44" i="1"/>
  <c r="D44" i="1" s="1"/>
  <c r="C43" i="1"/>
  <c r="D43" i="1" s="1"/>
  <c r="C42" i="1"/>
  <c r="D42" i="1" s="1"/>
  <c r="C41" i="1"/>
  <c r="D41" i="1" s="1"/>
  <c r="C40" i="1"/>
  <c r="D40" i="1" s="1"/>
  <c r="C39" i="1"/>
  <c r="D39" i="1" s="1"/>
  <c r="C38" i="1"/>
  <c r="D38" i="1" s="1"/>
  <c r="C37" i="1"/>
  <c r="D37" i="1" s="1"/>
  <c r="C36" i="1"/>
  <c r="D36" i="1" s="1"/>
  <c r="C35" i="1"/>
  <c r="D35" i="1" s="1"/>
  <c r="C34" i="1"/>
  <c r="D34" i="1" s="1"/>
  <c r="C33" i="1"/>
  <c r="D33" i="1" s="1"/>
  <c r="C32" i="1"/>
  <c r="D32" i="1" s="1"/>
  <c r="C31" i="1"/>
  <c r="D31" i="1" s="1"/>
  <c r="C30" i="1"/>
  <c r="D30" i="1" s="1"/>
  <c r="C29" i="1"/>
  <c r="D29" i="1" s="1"/>
  <c r="C28" i="1"/>
  <c r="D28" i="1" s="1"/>
  <c r="C27" i="1"/>
  <c r="D27" i="1" s="1"/>
  <c r="C26" i="1"/>
  <c r="D26" i="1" s="1"/>
  <c r="C25" i="1"/>
  <c r="D25" i="1" s="1"/>
  <c r="C24" i="1"/>
  <c r="D24" i="1" s="1"/>
  <c r="C23" i="1"/>
  <c r="D23" i="1" s="1"/>
  <c r="C22" i="1"/>
  <c r="D22" i="1" s="1"/>
  <c r="C21" i="1"/>
  <c r="D21" i="1" s="1"/>
  <c r="C20" i="1"/>
  <c r="D20" i="1" s="1"/>
  <c r="C19" i="1"/>
  <c r="D19" i="1" s="1"/>
  <c r="C18" i="1"/>
  <c r="D18" i="1" s="1"/>
  <c r="C17" i="1"/>
  <c r="D17" i="1" s="1"/>
  <c r="C16" i="1"/>
  <c r="D16" i="1" s="1"/>
  <c r="C15" i="1"/>
  <c r="D15" i="1" s="1"/>
  <c r="C14" i="1"/>
  <c r="D14" i="1" s="1"/>
  <c r="C13" i="1"/>
  <c r="D13" i="1" s="1"/>
  <c r="C12" i="1"/>
  <c r="D12" i="1" s="1"/>
  <c r="C11" i="1"/>
  <c r="D11" i="1" s="1"/>
  <c r="C10" i="1"/>
  <c r="D10" i="1" s="1"/>
  <c r="C9" i="1"/>
  <c r="D9" i="1" s="1"/>
  <c r="C8" i="1"/>
  <c r="D8" i="1" s="1"/>
  <c r="C7" i="1"/>
  <c r="D7" i="1" s="1"/>
  <c r="C6" i="1"/>
  <c r="D6" i="1" s="1"/>
  <c r="C5" i="1"/>
  <c r="D5" i="1" s="1"/>
  <c r="C4" i="1"/>
  <c r="D4" i="1" s="1"/>
  <c r="C3" i="1"/>
  <c r="D3" i="1" s="1"/>
  <c r="D2" i="1"/>
  <c r="C2" i="1"/>
  <c r="H305" i="1" l="1"/>
  <c r="I305" i="1" s="1"/>
  <c r="H304" i="1"/>
  <c r="I304" i="1" s="1"/>
  <c r="H303" i="1"/>
  <c r="I303" i="1" s="1"/>
  <c r="H302" i="1"/>
  <c r="I302" i="1" s="1"/>
  <c r="H301" i="1"/>
  <c r="I301" i="1" s="1"/>
  <c r="H300" i="1"/>
  <c r="I300" i="1" s="1"/>
  <c r="H299" i="1"/>
  <c r="I299" i="1" s="1"/>
  <c r="H298" i="1"/>
  <c r="I298" i="1" s="1"/>
  <c r="H297" i="1"/>
  <c r="I297" i="1" s="1"/>
  <c r="H296" i="1"/>
  <c r="I296" i="1" s="1"/>
  <c r="H295" i="1"/>
  <c r="I295" i="1" s="1"/>
  <c r="H294" i="1"/>
  <c r="I294" i="1" s="1"/>
  <c r="H293" i="1"/>
  <c r="I293" i="1" s="1"/>
  <c r="H292" i="1"/>
  <c r="I292" i="1" s="1"/>
  <c r="H291" i="1"/>
  <c r="I291" i="1" s="1"/>
  <c r="H290" i="1"/>
  <c r="I290" i="1" s="1"/>
  <c r="H289" i="1"/>
  <c r="I289" i="1" s="1"/>
  <c r="H288" i="1"/>
  <c r="I288" i="1" s="1"/>
  <c r="H287" i="1"/>
  <c r="I287" i="1" s="1"/>
  <c r="H286" i="1"/>
  <c r="I286" i="1" s="1"/>
  <c r="H285" i="1"/>
  <c r="I285" i="1" s="1"/>
  <c r="H284" i="1"/>
  <c r="I284" i="1" s="1"/>
  <c r="H283" i="1"/>
  <c r="I283" i="1" s="1"/>
  <c r="H282" i="1"/>
  <c r="I282" i="1" s="1"/>
  <c r="H281" i="1"/>
  <c r="I281" i="1" s="1"/>
  <c r="H280" i="1"/>
  <c r="I280" i="1" s="1"/>
  <c r="H279" i="1"/>
  <c r="I279" i="1" s="1"/>
  <c r="H278" i="1"/>
  <c r="I278" i="1" s="1"/>
  <c r="H277" i="1"/>
  <c r="I277" i="1" s="1"/>
  <c r="H276" i="1"/>
  <c r="I276" i="1" s="1"/>
  <c r="H275" i="1"/>
  <c r="I275" i="1" s="1"/>
  <c r="H274" i="1"/>
  <c r="I274" i="1" s="1"/>
  <c r="H273" i="1"/>
  <c r="I273" i="1" s="1"/>
  <c r="H272" i="1"/>
  <c r="I272" i="1" s="1"/>
  <c r="H271" i="1"/>
  <c r="I271" i="1" s="1"/>
  <c r="H270" i="1"/>
  <c r="I270" i="1" s="1"/>
  <c r="H269" i="1"/>
  <c r="I269" i="1" s="1"/>
  <c r="H268" i="1"/>
  <c r="I268" i="1" s="1"/>
  <c r="H267" i="1"/>
  <c r="I267" i="1" s="1"/>
  <c r="H266" i="1"/>
  <c r="I266" i="1" s="1"/>
  <c r="H265" i="1"/>
  <c r="I265" i="1" s="1"/>
  <c r="H264" i="1"/>
  <c r="I264" i="1" s="1"/>
  <c r="H263" i="1"/>
  <c r="I263" i="1" s="1"/>
  <c r="H262" i="1"/>
  <c r="I262" i="1" s="1"/>
  <c r="H261" i="1"/>
  <c r="I261" i="1" s="1"/>
  <c r="H260" i="1"/>
  <c r="I260" i="1" s="1"/>
  <c r="H259" i="1"/>
  <c r="I259" i="1" s="1"/>
  <c r="H258" i="1"/>
  <c r="I258" i="1" s="1"/>
  <c r="H257" i="1"/>
  <c r="I257" i="1" s="1"/>
  <c r="H256" i="1"/>
  <c r="I256" i="1" s="1"/>
  <c r="H255" i="1"/>
  <c r="I255" i="1" s="1"/>
  <c r="H254" i="1"/>
  <c r="I254" i="1" s="1"/>
  <c r="H253" i="1"/>
  <c r="I253" i="1" s="1"/>
  <c r="H252" i="1"/>
  <c r="I252" i="1" s="1"/>
  <c r="H251" i="1"/>
  <c r="I251" i="1" s="1"/>
  <c r="H250" i="1"/>
  <c r="I250" i="1" s="1"/>
  <c r="H249" i="1"/>
  <c r="I249" i="1" s="1"/>
  <c r="H248" i="1"/>
  <c r="I248" i="1" s="1"/>
  <c r="H247" i="1"/>
  <c r="I247" i="1" s="1"/>
  <c r="H246" i="1"/>
  <c r="I246" i="1" s="1"/>
  <c r="H245" i="1"/>
  <c r="I245" i="1" s="1"/>
  <c r="H244" i="1"/>
  <c r="I244" i="1" s="1"/>
  <c r="H243" i="1"/>
  <c r="I243" i="1" s="1"/>
  <c r="H242" i="1"/>
  <c r="I242" i="1" s="1"/>
  <c r="H241" i="1"/>
  <c r="I241" i="1" s="1"/>
  <c r="H240" i="1"/>
  <c r="I240" i="1" s="1"/>
  <c r="H239" i="1"/>
  <c r="I239" i="1" s="1"/>
  <c r="H238" i="1"/>
  <c r="I238" i="1" s="1"/>
  <c r="H237" i="1"/>
  <c r="I237" i="1" s="1"/>
  <c r="H236" i="1"/>
  <c r="I236" i="1" s="1"/>
  <c r="H235" i="1"/>
  <c r="I235" i="1" s="1"/>
  <c r="H234" i="1"/>
  <c r="I234" i="1" s="1"/>
  <c r="H233" i="1"/>
  <c r="I233" i="1" s="1"/>
  <c r="H232" i="1"/>
  <c r="I232" i="1" s="1"/>
  <c r="H231" i="1"/>
  <c r="I231" i="1" s="1"/>
  <c r="H230" i="1"/>
  <c r="I230" i="1" s="1"/>
  <c r="H229" i="1"/>
  <c r="I229" i="1" s="1"/>
  <c r="H228" i="1"/>
  <c r="I228" i="1" s="1"/>
  <c r="H227" i="1"/>
  <c r="I227" i="1" s="1"/>
  <c r="H226" i="1"/>
  <c r="I226" i="1" s="1"/>
  <c r="H225" i="1"/>
  <c r="I225" i="1" s="1"/>
  <c r="H224" i="1"/>
  <c r="I224" i="1" s="1"/>
  <c r="H223" i="1"/>
  <c r="I223" i="1" s="1"/>
  <c r="H222" i="1"/>
  <c r="I222" i="1" s="1"/>
  <c r="H221" i="1"/>
  <c r="I221" i="1" s="1"/>
  <c r="H220" i="1"/>
  <c r="I220" i="1" s="1"/>
  <c r="H219" i="1"/>
  <c r="I219" i="1" s="1"/>
  <c r="H218" i="1"/>
  <c r="I218" i="1" s="1"/>
  <c r="H217" i="1"/>
  <c r="I217" i="1" s="1"/>
  <c r="H216" i="1"/>
  <c r="I216" i="1" s="1"/>
  <c r="H215" i="1"/>
  <c r="I215" i="1" s="1"/>
  <c r="H214" i="1"/>
  <c r="I214" i="1" s="1"/>
  <c r="H213" i="1"/>
  <c r="I213" i="1" s="1"/>
  <c r="H212" i="1"/>
  <c r="I212" i="1" s="1"/>
  <c r="H211" i="1"/>
  <c r="I211" i="1" s="1"/>
  <c r="H210" i="1"/>
  <c r="I210" i="1" s="1"/>
  <c r="H209" i="1"/>
  <c r="I209" i="1" s="1"/>
  <c r="H208" i="1"/>
  <c r="I208" i="1" s="1"/>
  <c r="H207" i="1"/>
  <c r="I207" i="1" s="1"/>
  <c r="H206" i="1"/>
  <c r="I206" i="1" s="1"/>
  <c r="H205" i="1"/>
  <c r="I205" i="1" s="1"/>
  <c r="H204" i="1"/>
  <c r="I204" i="1" s="1"/>
  <c r="H203" i="1"/>
  <c r="I203" i="1" s="1"/>
  <c r="H202" i="1"/>
  <c r="I202" i="1" s="1"/>
  <c r="H201" i="1"/>
  <c r="I201" i="1" s="1"/>
  <c r="H200" i="1"/>
  <c r="I200" i="1" s="1"/>
  <c r="H199" i="1"/>
  <c r="I199" i="1" s="1"/>
  <c r="H198" i="1"/>
  <c r="I198" i="1" s="1"/>
  <c r="H197" i="1"/>
  <c r="I197" i="1" s="1"/>
  <c r="H196" i="1"/>
  <c r="I196" i="1" s="1"/>
  <c r="H195" i="1"/>
  <c r="I195" i="1" s="1"/>
  <c r="H194" i="1"/>
  <c r="I194" i="1" s="1"/>
  <c r="H193" i="1"/>
  <c r="I193" i="1" s="1"/>
  <c r="H192" i="1"/>
  <c r="I192" i="1" s="1"/>
  <c r="H191" i="1"/>
  <c r="I191" i="1" s="1"/>
  <c r="H190" i="1"/>
  <c r="I190" i="1" s="1"/>
  <c r="H189" i="1"/>
  <c r="I189" i="1" s="1"/>
  <c r="H188" i="1"/>
  <c r="I188" i="1" s="1"/>
  <c r="H187" i="1"/>
  <c r="I187" i="1" s="1"/>
  <c r="H186" i="1"/>
  <c r="I186" i="1" s="1"/>
  <c r="H185" i="1"/>
  <c r="I185" i="1" s="1"/>
  <c r="H184" i="1"/>
  <c r="I184" i="1" s="1"/>
  <c r="H183" i="1"/>
  <c r="I183" i="1" s="1"/>
  <c r="H182" i="1"/>
  <c r="I182" i="1" s="1"/>
  <c r="H181" i="1"/>
  <c r="I181" i="1" s="1"/>
  <c r="H180" i="1"/>
  <c r="I180" i="1" s="1"/>
  <c r="H179" i="1"/>
  <c r="I179" i="1" s="1"/>
  <c r="H178" i="1"/>
  <c r="I178" i="1" s="1"/>
  <c r="H177" i="1"/>
  <c r="I177" i="1" s="1"/>
  <c r="H176" i="1"/>
  <c r="I176" i="1" s="1"/>
  <c r="H175" i="1"/>
  <c r="I175" i="1" s="1"/>
  <c r="H174" i="1"/>
  <c r="I174" i="1" s="1"/>
  <c r="H173" i="1"/>
  <c r="I173" i="1" s="1"/>
  <c r="H172" i="1"/>
  <c r="I172" i="1" s="1"/>
  <c r="H171" i="1"/>
  <c r="I171" i="1" s="1"/>
  <c r="H170" i="1"/>
  <c r="I170" i="1" s="1"/>
  <c r="H169" i="1"/>
  <c r="I169" i="1" s="1"/>
  <c r="H168" i="1"/>
  <c r="I168" i="1" s="1"/>
  <c r="H167" i="1"/>
  <c r="I167" i="1" s="1"/>
  <c r="H166" i="1"/>
  <c r="I166" i="1" s="1"/>
  <c r="H165" i="1"/>
  <c r="I165" i="1" s="1"/>
  <c r="H164" i="1"/>
  <c r="I164" i="1" s="1"/>
  <c r="H163" i="1"/>
  <c r="I163" i="1" s="1"/>
  <c r="H162" i="1"/>
  <c r="I162" i="1" s="1"/>
  <c r="H161" i="1"/>
  <c r="I161" i="1" s="1"/>
  <c r="H160" i="1"/>
  <c r="I160" i="1" s="1"/>
  <c r="H159" i="1"/>
  <c r="I159" i="1" s="1"/>
  <c r="H158" i="1"/>
  <c r="I158" i="1" s="1"/>
  <c r="H157" i="1"/>
  <c r="I157" i="1" s="1"/>
  <c r="H156" i="1"/>
  <c r="I156" i="1" s="1"/>
  <c r="H155" i="1"/>
  <c r="I155" i="1" s="1"/>
  <c r="H154" i="1"/>
  <c r="I154" i="1" s="1"/>
  <c r="H153" i="1"/>
  <c r="I153" i="1" s="1"/>
  <c r="H152" i="1"/>
  <c r="I152" i="1" s="1"/>
  <c r="H151" i="1"/>
  <c r="I151" i="1" s="1"/>
  <c r="H150" i="1"/>
  <c r="I150" i="1" s="1"/>
  <c r="H149" i="1"/>
  <c r="I149" i="1" s="1"/>
  <c r="H148" i="1"/>
  <c r="I148" i="1" s="1"/>
  <c r="H147" i="1"/>
  <c r="I147" i="1" s="1"/>
  <c r="H146" i="1"/>
  <c r="I146" i="1" s="1"/>
  <c r="H145" i="1"/>
  <c r="I145" i="1" s="1"/>
  <c r="H144" i="1"/>
  <c r="I144" i="1" s="1"/>
  <c r="H143" i="1"/>
  <c r="I143" i="1" s="1"/>
  <c r="H142" i="1"/>
  <c r="I142" i="1" s="1"/>
  <c r="H141" i="1"/>
  <c r="I141" i="1" s="1"/>
  <c r="H140" i="1"/>
  <c r="I140" i="1" s="1"/>
  <c r="H139" i="1"/>
  <c r="I139" i="1" s="1"/>
  <c r="H138" i="1"/>
  <c r="I138" i="1" s="1"/>
  <c r="H137" i="1"/>
  <c r="I137" i="1" s="1"/>
  <c r="H136" i="1"/>
  <c r="I136" i="1" s="1"/>
  <c r="H135" i="1"/>
  <c r="I135" i="1" s="1"/>
  <c r="H134" i="1"/>
  <c r="I134" i="1" s="1"/>
  <c r="H133" i="1"/>
  <c r="I133" i="1" s="1"/>
  <c r="H132" i="1"/>
  <c r="I132" i="1" s="1"/>
  <c r="H131" i="1"/>
  <c r="I131" i="1" s="1"/>
  <c r="H130" i="1"/>
  <c r="I130" i="1" s="1"/>
  <c r="H129" i="1"/>
  <c r="I129" i="1" s="1"/>
  <c r="H128" i="1"/>
  <c r="I128" i="1" s="1"/>
  <c r="H127" i="1"/>
  <c r="I127" i="1" s="1"/>
  <c r="H126" i="1"/>
  <c r="I126" i="1" s="1"/>
  <c r="H125" i="1"/>
  <c r="I125" i="1" s="1"/>
  <c r="H124" i="1"/>
  <c r="I124" i="1" s="1"/>
  <c r="H123" i="1"/>
  <c r="I123" i="1" s="1"/>
  <c r="H122" i="1"/>
  <c r="I122" i="1" s="1"/>
  <c r="H121" i="1"/>
  <c r="I121" i="1" s="1"/>
  <c r="H120" i="1"/>
  <c r="I120" i="1" s="1"/>
  <c r="H119" i="1"/>
  <c r="I119" i="1" s="1"/>
  <c r="H118" i="1"/>
  <c r="I118" i="1" s="1"/>
  <c r="H117" i="1"/>
  <c r="I117" i="1" s="1"/>
  <c r="H116" i="1"/>
  <c r="I116" i="1" s="1"/>
  <c r="H115" i="1"/>
  <c r="I115" i="1" s="1"/>
  <c r="H114" i="1"/>
  <c r="I114" i="1" s="1"/>
  <c r="H113" i="1"/>
  <c r="I113" i="1" s="1"/>
  <c r="H112" i="1"/>
  <c r="I112" i="1" s="1"/>
  <c r="H111" i="1"/>
  <c r="I111" i="1" s="1"/>
  <c r="H110" i="1"/>
  <c r="I110" i="1" s="1"/>
  <c r="H109" i="1"/>
  <c r="I109" i="1" s="1"/>
  <c r="H108" i="1"/>
  <c r="I108" i="1" s="1"/>
  <c r="H107" i="1"/>
  <c r="I107" i="1" s="1"/>
  <c r="H106" i="1"/>
  <c r="I106" i="1" s="1"/>
  <c r="H105" i="1"/>
  <c r="I105" i="1" s="1"/>
  <c r="H104" i="1"/>
  <c r="I104" i="1" s="1"/>
  <c r="H103" i="1"/>
  <c r="I103" i="1" s="1"/>
  <c r="H102" i="1"/>
  <c r="I102" i="1" s="1"/>
  <c r="H101" i="1"/>
  <c r="I101" i="1" s="1"/>
  <c r="H100" i="1"/>
  <c r="I100" i="1" s="1"/>
  <c r="H99" i="1"/>
  <c r="I99" i="1" s="1"/>
  <c r="H98" i="1"/>
  <c r="I98" i="1" s="1"/>
  <c r="H97" i="1"/>
  <c r="I97" i="1" s="1"/>
  <c r="H96" i="1"/>
  <c r="I96" i="1" s="1"/>
  <c r="H95" i="1"/>
  <c r="I95" i="1" s="1"/>
  <c r="H94" i="1"/>
  <c r="I94" i="1" s="1"/>
  <c r="H93" i="1"/>
  <c r="I93" i="1" s="1"/>
  <c r="H92" i="1"/>
  <c r="I92" i="1" s="1"/>
  <c r="H91" i="1"/>
  <c r="I91" i="1" s="1"/>
  <c r="H90" i="1"/>
  <c r="I90" i="1" s="1"/>
  <c r="H89" i="1"/>
  <c r="I89" i="1" s="1"/>
  <c r="H88" i="1"/>
  <c r="I88" i="1" s="1"/>
  <c r="H87" i="1"/>
  <c r="I87" i="1" s="1"/>
  <c r="H86" i="1"/>
  <c r="I86" i="1" s="1"/>
  <c r="H85" i="1"/>
  <c r="I85" i="1" s="1"/>
  <c r="H84" i="1"/>
  <c r="I84" i="1" s="1"/>
  <c r="H83" i="1"/>
  <c r="I83" i="1" s="1"/>
  <c r="H82" i="1"/>
  <c r="I82" i="1" s="1"/>
  <c r="H81" i="1"/>
  <c r="I81" i="1" s="1"/>
  <c r="H80" i="1"/>
  <c r="I80" i="1" s="1"/>
  <c r="H79" i="1"/>
  <c r="I79" i="1" s="1"/>
  <c r="C278" i="1"/>
  <c r="D278" i="1" s="1"/>
  <c r="C277" i="1"/>
  <c r="D277" i="1" s="1"/>
  <c r="C276" i="1"/>
  <c r="D276" i="1" s="1"/>
  <c r="C275" i="1"/>
  <c r="D275" i="1" s="1"/>
  <c r="C274" i="1"/>
  <c r="D274" i="1" s="1"/>
  <c r="C273" i="1"/>
  <c r="D273" i="1" s="1"/>
  <c r="C272" i="1"/>
  <c r="D272" i="1" s="1"/>
  <c r="C271" i="1"/>
  <c r="D271" i="1" s="1"/>
  <c r="C270" i="1"/>
  <c r="D270" i="1" s="1"/>
  <c r="C269" i="1"/>
  <c r="D269" i="1" s="1"/>
  <c r="C268" i="1"/>
  <c r="D268" i="1" s="1"/>
  <c r="C267" i="1"/>
  <c r="D267" i="1" s="1"/>
  <c r="C266" i="1"/>
  <c r="D266" i="1" s="1"/>
  <c r="C265" i="1"/>
  <c r="D265" i="1" s="1"/>
  <c r="C264" i="1"/>
  <c r="D264" i="1" s="1"/>
  <c r="C263" i="1"/>
  <c r="D263" i="1" s="1"/>
  <c r="C262" i="1"/>
  <c r="D262" i="1" s="1"/>
  <c r="C261" i="1"/>
  <c r="D261" i="1" s="1"/>
  <c r="C260" i="1"/>
  <c r="D260" i="1" s="1"/>
  <c r="C259" i="1"/>
  <c r="D259" i="1" s="1"/>
  <c r="C258" i="1"/>
  <c r="D258" i="1" s="1"/>
  <c r="C257" i="1"/>
  <c r="D257" i="1" s="1"/>
  <c r="C256" i="1"/>
  <c r="D256" i="1" s="1"/>
  <c r="C255" i="1"/>
  <c r="D255" i="1" s="1"/>
  <c r="C254" i="1"/>
  <c r="D254" i="1" s="1"/>
  <c r="C253" i="1"/>
  <c r="D253" i="1" s="1"/>
  <c r="C252" i="1"/>
  <c r="D252" i="1" s="1"/>
  <c r="C251" i="1"/>
  <c r="D251" i="1" s="1"/>
  <c r="C250" i="1"/>
  <c r="D250" i="1" s="1"/>
  <c r="C249" i="1"/>
  <c r="D249" i="1" s="1"/>
  <c r="C248" i="1"/>
  <c r="D248" i="1" s="1"/>
  <c r="C247" i="1"/>
  <c r="D247" i="1" s="1"/>
  <c r="C246" i="1"/>
  <c r="D246" i="1" s="1"/>
  <c r="C245" i="1"/>
  <c r="D245" i="1" s="1"/>
  <c r="C244" i="1"/>
  <c r="D244" i="1" s="1"/>
  <c r="C243" i="1"/>
  <c r="D243" i="1" s="1"/>
  <c r="C242" i="1"/>
  <c r="D242" i="1" s="1"/>
  <c r="C241" i="1"/>
  <c r="D241" i="1" s="1"/>
  <c r="C240" i="1"/>
  <c r="D240" i="1" s="1"/>
  <c r="C239" i="1"/>
  <c r="D239" i="1" s="1"/>
  <c r="C238" i="1"/>
  <c r="D238" i="1" s="1"/>
  <c r="C237" i="1"/>
  <c r="D237" i="1" s="1"/>
  <c r="C236" i="1"/>
  <c r="D236" i="1" s="1"/>
  <c r="C235" i="1"/>
  <c r="D235" i="1" s="1"/>
  <c r="C234" i="1"/>
  <c r="D234" i="1" s="1"/>
  <c r="C233" i="1"/>
  <c r="D233" i="1" s="1"/>
  <c r="C232" i="1"/>
  <c r="D232" i="1" s="1"/>
  <c r="C231" i="1"/>
  <c r="D231" i="1" s="1"/>
  <c r="C230" i="1"/>
  <c r="D230" i="1" s="1"/>
  <c r="C229" i="1"/>
  <c r="D229" i="1" s="1"/>
  <c r="C228" i="1"/>
  <c r="D228" i="1" s="1"/>
  <c r="C227" i="1"/>
  <c r="D227" i="1" s="1"/>
  <c r="C226" i="1"/>
  <c r="D226" i="1" s="1"/>
  <c r="C225" i="1"/>
  <c r="D225" i="1" s="1"/>
  <c r="C224" i="1"/>
  <c r="D224" i="1" s="1"/>
  <c r="C223" i="1"/>
  <c r="D223" i="1" s="1"/>
  <c r="C222" i="1"/>
  <c r="D222" i="1" s="1"/>
  <c r="C221" i="1"/>
  <c r="D221" i="1" s="1"/>
  <c r="C220" i="1"/>
  <c r="D220" i="1" s="1"/>
  <c r="C219" i="1"/>
  <c r="D219" i="1" s="1"/>
  <c r="C218" i="1"/>
  <c r="D218" i="1" s="1"/>
  <c r="C217" i="1"/>
  <c r="D217" i="1" s="1"/>
  <c r="C216" i="1"/>
  <c r="D216" i="1" s="1"/>
  <c r="C215" i="1"/>
  <c r="D215" i="1" s="1"/>
  <c r="C214" i="1"/>
  <c r="D214" i="1" s="1"/>
  <c r="C213" i="1"/>
  <c r="D213" i="1" s="1"/>
  <c r="C212" i="1"/>
  <c r="D212" i="1" s="1"/>
  <c r="C211" i="1"/>
  <c r="D211" i="1" s="1"/>
  <c r="C210" i="1"/>
  <c r="D210" i="1" s="1"/>
  <c r="C209" i="1"/>
  <c r="D209" i="1" s="1"/>
  <c r="C208" i="1"/>
  <c r="D208" i="1" s="1"/>
  <c r="C207" i="1"/>
  <c r="D207" i="1" s="1"/>
  <c r="C206" i="1"/>
  <c r="D206" i="1" s="1"/>
  <c r="C205" i="1"/>
  <c r="D205" i="1" s="1"/>
  <c r="C204" i="1"/>
  <c r="D204" i="1" s="1"/>
  <c r="C203" i="1"/>
  <c r="D203" i="1" s="1"/>
  <c r="C202" i="1"/>
  <c r="D202" i="1" s="1"/>
  <c r="C201" i="1"/>
  <c r="D201" i="1" s="1"/>
  <c r="C200" i="1"/>
  <c r="D200" i="1" s="1"/>
  <c r="C199" i="1"/>
  <c r="D199" i="1" s="1"/>
  <c r="C198" i="1"/>
  <c r="D198" i="1" s="1"/>
  <c r="C197" i="1"/>
  <c r="D197" i="1" s="1"/>
  <c r="C196" i="1"/>
  <c r="D196" i="1" s="1"/>
  <c r="C195" i="1"/>
  <c r="D195" i="1" s="1"/>
  <c r="C194" i="1"/>
  <c r="D194" i="1" s="1"/>
  <c r="C193" i="1"/>
  <c r="D193" i="1" s="1"/>
  <c r="C192" i="1"/>
  <c r="D192" i="1" s="1"/>
  <c r="C191" i="1"/>
  <c r="D191" i="1" s="1"/>
  <c r="C190" i="1"/>
  <c r="D190" i="1" s="1"/>
  <c r="C189" i="1"/>
  <c r="D189" i="1" s="1"/>
  <c r="C188" i="1"/>
  <c r="D188" i="1" s="1"/>
  <c r="C187" i="1"/>
  <c r="D187" i="1" s="1"/>
  <c r="C186" i="1"/>
  <c r="D186" i="1" s="1"/>
  <c r="C185" i="1"/>
  <c r="D185" i="1" s="1"/>
  <c r="C184" i="1"/>
  <c r="D184" i="1" s="1"/>
  <c r="C183" i="1"/>
  <c r="D183" i="1" s="1"/>
  <c r="C182" i="1"/>
  <c r="D182" i="1" s="1"/>
  <c r="C181" i="1"/>
  <c r="D181" i="1" s="1"/>
  <c r="C180" i="1"/>
  <c r="D180" i="1" s="1"/>
  <c r="C179" i="1"/>
  <c r="D179" i="1" s="1"/>
  <c r="C178" i="1"/>
  <c r="D178" i="1" s="1"/>
  <c r="C177" i="1"/>
  <c r="D177" i="1" s="1"/>
  <c r="C176" i="1"/>
  <c r="D176" i="1" s="1"/>
  <c r="C175" i="1"/>
  <c r="D175" i="1" s="1"/>
  <c r="C174" i="1"/>
  <c r="D174" i="1" s="1"/>
  <c r="C173" i="1"/>
  <c r="D173" i="1" s="1"/>
  <c r="C172" i="1"/>
  <c r="D172" i="1" s="1"/>
  <c r="C171" i="1"/>
  <c r="D171" i="1" s="1"/>
  <c r="C170" i="1"/>
  <c r="D170" i="1" s="1"/>
  <c r="C169" i="1"/>
  <c r="D169" i="1" s="1"/>
  <c r="C168" i="1"/>
  <c r="D168" i="1" s="1"/>
  <c r="C167" i="1"/>
  <c r="D167" i="1" s="1"/>
  <c r="C166" i="1"/>
  <c r="D166" i="1" s="1"/>
  <c r="C165" i="1"/>
  <c r="D165" i="1" s="1"/>
  <c r="C164" i="1"/>
  <c r="D164" i="1" s="1"/>
  <c r="C163" i="1"/>
  <c r="D163" i="1" s="1"/>
  <c r="C162" i="1"/>
  <c r="D162" i="1" s="1"/>
  <c r="C161" i="1"/>
  <c r="D161" i="1" s="1"/>
  <c r="C160" i="1"/>
  <c r="D160" i="1" s="1"/>
  <c r="C159" i="1"/>
  <c r="D159" i="1" s="1"/>
  <c r="C158" i="1"/>
  <c r="D158" i="1" s="1"/>
  <c r="C157" i="1"/>
  <c r="D157" i="1" s="1"/>
  <c r="C156" i="1"/>
  <c r="D156" i="1" s="1"/>
  <c r="C155" i="1"/>
  <c r="D155" i="1" s="1"/>
  <c r="C154" i="1"/>
  <c r="D154" i="1" s="1"/>
  <c r="C153" i="1"/>
  <c r="D153" i="1" s="1"/>
  <c r="C152" i="1"/>
  <c r="D152" i="1" s="1"/>
  <c r="C151" i="1"/>
  <c r="D151" i="1" s="1"/>
  <c r="C150" i="1"/>
  <c r="D150" i="1" s="1"/>
  <c r="C149" i="1"/>
  <c r="D149" i="1" s="1"/>
  <c r="C148" i="1"/>
  <c r="D148" i="1" s="1"/>
  <c r="C147" i="1"/>
  <c r="D147" i="1" s="1"/>
  <c r="C146" i="1"/>
  <c r="D146" i="1" s="1"/>
  <c r="C145" i="1"/>
  <c r="D145" i="1" s="1"/>
  <c r="C144" i="1"/>
  <c r="D144" i="1" s="1"/>
  <c r="C143" i="1"/>
  <c r="D143" i="1" s="1"/>
  <c r="C142" i="1"/>
  <c r="D142" i="1" s="1"/>
  <c r="C141" i="1"/>
  <c r="D141" i="1" s="1"/>
  <c r="C140" i="1"/>
  <c r="D140" i="1" s="1"/>
  <c r="C139" i="1"/>
  <c r="D139" i="1" s="1"/>
  <c r="C138" i="1"/>
  <c r="D138" i="1" s="1"/>
  <c r="C137" i="1"/>
  <c r="D137" i="1" s="1"/>
  <c r="C136" i="1"/>
  <c r="D136" i="1" s="1"/>
  <c r="C135" i="1"/>
  <c r="D135" i="1" s="1"/>
  <c r="C134" i="1"/>
  <c r="D134" i="1" s="1"/>
  <c r="C133" i="1"/>
  <c r="D133" i="1" s="1"/>
  <c r="C132" i="1"/>
  <c r="D132" i="1" s="1"/>
  <c r="C131" i="1"/>
  <c r="D131" i="1" s="1"/>
  <c r="C130" i="1"/>
  <c r="D130" i="1" s="1"/>
  <c r="C129" i="1"/>
  <c r="D129" i="1" s="1"/>
  <c r="C128" i="1"/>
  <c r="D128" i="1" s="1"/>
  <c r="C127" i="1"/>
  <c r="D127" i="1" s="1"/>
  <c r="C126" i="1"/>
  <c r="D126" i="1" s="1"/>
  <c r="C125" i="1"/>
  <c r="D125" i="1" s="1"/>
  <c r="C124" i="1"/>
  <c r="D124" i="1" s="1"/>
  <c r="C123" i="1"/>
  <c r="D123" i="1" s="1"/>
  <c r="C122" i="1"/>
  <c r="D122" i="1" s="1"/>
  <c r="C121" i="1"/>
  <c r="D121" i="1" s="1"/>
  <c r="C120" i="1"/>
  <c r="D120" i="1" s="1"/>
  <c r="C119" i="1"/>
  <c r="D119" i="1" s="1"/>
  <c r="C118" i="1"/>
  <c r="D118" i="1" s="1"/>
  <c r="C117" i="1"/>
  <c r="D117" i="1" s="1"/>
  <c r="C116" i="1"/>
  <c r="D116" i="1" s="1"/>
  <c r="C115" i="1"/>
  <c r="D115" i="1" s="1"/>
  <c r="C114" i="1"/>
  <c r="D114" i="1" s="1"/>
  <c r="C113" i="1"/>
  <c r="D113" i="1" s="1"/>
  <c r="C112" i="1"/>
  <c r="D112" i="1" s="1"/>
  <c r="C111" i="1"/>
  <c r="D111" i="1" s="1"/>
  <c r="C110" i="1"/>
  <c r="D110" i="1" s="1"/>
  <c r="C109" i="1"/>
  <c r="D109" i="1" s="1"/>
  <c r="C108" i="1"/>
  <c r="D108" i="1" s="1"/>
  <c r="C107" i="1"/>
  <c r="D107" i="1" s="1"/>
  <c r="C106" i="1"/>
  <c r="D106" i="1" s="1"/>
  <c r="C105" i="1"/>
  <c r="D105" i="1" s="1"/>
  <c r="C104" i="1"/>
  <c r="D104" i="1" s="1"/>
  <c r="C103" i="1"/>
  <c r="D103" i="1" s="1"/>
  <c r="C102" i="1"/>
  <c r="D102" i="1" s="1"/>
  <c r="C101" i="1"/>
  <c r="D101" i="1" s="1"/>
  <c r="C100" i="1"/>
  <c r="D100" i="1" s="1"/>
  <c r="C99" i="1"/>
  <c r="D99" i="1" s="1"/>
  <c r="C98" i="1"/>
  <c r="D98" i="1" s="1"/>
  <c r="C97" i="1"/>
  <c r="D97" i="1" s="1"/>
  <c r="C96" i="1"/>
  <c r="D96" i="1" s="1"/>
  <c r="C95" i="1"/>
  <c r="D95" i="1" s="1"/>
  <c r="C94" i="1"/>
  <c r="D94" i="1" s="1"/>
  <c r="C93" i="1"/>
  <c r="D93" i="1" s="1"/>
  <c r="C92" i="1"/>
  <c r="D92" i="1" s="1"/>
  <c r="C91" i="1"/>
  <c r="D91" i="1" s="1"/>
  <c r="C90" i="1"/>
  <c r="D90" i="1" s="1"/>
  <c r="C89" i="1"/>
  <c r="D89" i="1" s="1"/>
  <c r="C88" i="1"/>
  <c r="D88" i="1" s="1"/>
  <c r="C87" i="1"/>
  <c r="D87" i="1" s="1"/>
  <c r="C86" i="1"/>
  <c r="D86" i="1" s="1"/>
  <c r="C85" i="1"/>
  <c r="D85" i="1" s="1"/>
  <c r="P21" i="4" l="1"/>
  <c r="P20" i="4"/>
  <c r="P19" i="4"/>
  <c r="P18" i="4"/>
  <c r="P17" i="4"/>
  <c r="P16" i="4"/>
  <c r="P15" i="4"/>
  <c r="P14" i="4"/>
  <c r="P13" i="4"/>
  <c r="P12" i="4"/>
  <c r="P11" i="4"/>
  <c r="P10" i="4"/>
  <c r="P9" i="4"/>
  <c r="P8" i="4"/>
  <c r="P7" i="4"/>
  <c r="P6" i="4"/>
  <c r="P5" i="4"/>
  <c r="P4" i="4"/>
  <c r="H357" i="1" l="1"/>
  <c r="I357" i="1" s="1"/>
  <c r="H356" i="1"/>
  <c r="I356" i="1" s="1"/>
  <c r="H355" i="1"/>
  <c r="I355" i="1" s="1"/>
  <c r="H354" i="1"/>
  <c r="I354" i="1" s="1"/>
  <c r="H353" i="1"/>
  <c r="I353" i="1" s="1"/>
  <c r="H352" i="1"/>
  <c r="I352" i="1" s="1"/>
  <c r="H351" i="1"/>
  <c r="I351" i="1" s="1"/>
  <c r="H350" i="1"/>
  <c r="I350" i="1" s="1"/>
  <c r="H349" i="1"/>
  <c r="I349" i="1" s="1"/>
  <c r="H348" i="1"/>
  <c r="I348" i="1" s="1"/>
  <c r="H347" i="1"/>
  <c r="I347" i="1" s="1"/>
  <c r="H346" i="1"/>
  <c r="I346" i="1" s="1"/>
  <c r="H345" i="1"/>
  <c r="I345" i="1" s="1"/>
  <c r="H344" i="1"/>
  <c r="I344" i="1" s="1"/>
  <c r="H343" i="1"/>
  <c r="I343" i="1" s="1"/>
  <c r="H342" i="1"/>
  <c r="I342" i="1" s="1"/>
  <c r="H341" i="1"/>
  <c r="I341" i="1" s="1"/>
  <c r="H340" i="1"/>
  <c r="I340" i="1" s="1"/>
  <c r="H339" i="1"/>
  <c r="I339" i="1" s="1"/>
  <c r="H338" i="1"/>
  <c r="I338" i="1" s="1"/>
  <c r="H337" i="1"/>
  <c r="I337" i="1" s="1"/>
  <c r="H336" i="1"/>
  <c r="I336" i="1" s="1"/>
  <c r="H335" i="1"/>
  <c r="I335" i="1" s="1"/>
  <c r="H334" i="1"/>
  <c r="I334" i="1" s="1"/>
  <c r="H333" i="1"/>
  <c r="I333" i="1" s="1"/>
  <c r="H332" i="1"/>
  <c r="I332" i="1" s="1"/>
  <c r="H331" i="1"/>
  <c r="I331" i="1" s="1"/>
  <c r="H330" i="1"/>
  <c r="I330" i="1" s="1"/>
  <c r="H329" i="1"/>
  <c r="I329" i="1" s="1"/>
  <c r="H328" i="1"/>
  <c r="I328" i="1" s="1"/>
  <c r="H327" i="1"/>
  <c r="I327" i="1" s="1"/>
  <c r="H326" i="1"/>
  <c r="I326" i="1" s="1"/>
  <c r="H325" i="1"/>
  <c r="I325" i="1" s="1"/>
  <c r="H324" i="1"/>
  <c r="I324" i="1" s="1"/>
  <c r="H323" i="1"/>
  <c r="I323" i="1" s="1"/>
  <c r="H322" i="1"/>
  <c r="I322" i="1" s="1"/>
  <c r="H321" i="1"/>
  <c r="I321" i="1" s="1"/>
  <c r="H320" i="1"/>
  <c r="I320" i="1" s="1"/>
  <c r="H319" i="1"/>
  <c r="I319" i="1" s="1"/>
  <c r="H318" i="1"/>
  <c r="I318" i="1" s="1"/>
  <c r="H317" i="1"/>
  <c r="I317" i="1" s="1"/>
  <c r="H316" i="1"/>
  <c r="I316" i="1" s="1"/>
  <c r="H315" i="1"/>
  <c r="I315" i="1" s="1"/>
  <c r="H314" i="1"/>
  <c r="I314" i="1" s="1"/>
  <c r="H313" i="1"/>
  <c r="I313" i="1" s="1"/>
  <c r="H312" i="1"/>
  <c r="I312" i="1" s="1"/>
  <c r="H311" i="1"/>
  <c r="I311" i="1" s="1"/>
  <c r="H310" i="1"/>
  <c r="I310" i="1" s="1"/>
  <c r="H309" i="1"/>
  <c r="I309" i="1" s="1"/>
  <c r="H308" i="1"/>
  <c r="I308" i="1" s="1"/>
  <c r="H307" i="1"/>
  <c r="I307" i="1" s="1"/>
  <c r="D9" i="3" l="1"/>
  <c r="P32" i="4" l="1"/>
  <c r="P31" i="4"/>
  <c r="P30" i="4"/>
  <c r="P29" i="4"/>
  <c r="P28" i="4"/>
  <c r="P27" i="4"/>
  <c r="P26" i="4"/>
  <c r="P25" i="4"/>
  <c r="P24" i="4"/>
  <c r="P23" i="4"/>
  <c r="P22" i="4"/>
  <c r="P3" i="4"/>
  <c r="C5" i="4" l="1"/>
  <c r="B74" i="7" l="1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C297" i="1" l="1"/>
  <c r="D297" i="1" s="1"/>
  <c r="C296" i="1"/>
  <c r="D296" i="1" s="1"/>
  <c r="C295" i="1"/>
  <c r="D295" i="1" s="1"/>
  <c r="C294" i="1"/>
  <c r="D294" i="1" s="1"/>
  <c r="C293" i="1"/>
  <c r="D293" i="1" s="1"/>
  <c r="C292" i="1"/>
  <c r="D292" i="1" s="1"/>
  <c r="C291" i="1"/>
  <c r="D291" i="1" s="1"/>
  <c r="C290" i="1"/>
  <c r="D290" i="1" s="1"/>
  <c r="C289" i="1"/>
  <c r="D289" i="1" s="1"/>
  <c r="C288" i="1"/>
  <c r="D288" i="1" s="1"/>
  <c r="C287" i="1"/>
  <c r="D287" i="1" s="1"/>
  <c r="C286" i="1"/>
  <c r="D286" i="1" s="1"/>
  <c r="C285" i="1"/>
  <c r="D285" i="1" s="1"/>
  <c r="C284" i="1"/>
  <c r="D284" i="1" s="1"/>
  <c r="C283" i="1"/>
  <c r="D283" i="1" s="1"/>
  <c r="C282" i="1"/>
  <c r="D282" i="1" s="1"/>
  <c r="C281" i="1"/>
  <c r="D281" i="1" s="1"/>
  <c r="C651" i="1" l="1"/>
  <c r="D651" i="1" s="1"/>
  <c r="C650" i="1"/>
  <c r="D650" i="1" s="1"/>
  <c r="C649" i="1"/>
  <c r="D649" i="1" s="1"/>
  <c r="C648" i="1"/>
  <c r="D648" i="1" s="1"/>
  <c r="C647" i="1"/>
  <c r="D647" i="1" s="1"/>
  <c r="C646" i="1"/>
  <c r="D646" i="1" s="1"/>
  <c r="C645" i="1"/>
  <c r="D645" i="1" s="1"/>
  <c r="C644" i="1"/>
  <c r="D644" i="1" s="1"/>
  <c r="C643" i="1"/>
  <c r="D643" i="1" s="1"/>
  <c r="C642" i="1"/>
  <c r="D642" i="1" s="1"/>
  <c r="C641" i="1"/>
  <c r="D641" i="1" s="1"/>
  <c r="C640" i="1"/>
  <c r="D640" i="1" s="1"/>
  <c r="C639" i="1"/>
  <c r="D639" i="1" s="1"/>
  <c r="C638" i="1"/>
  <c r="D638" i="1" s="1"/>
  <c r="C637" i="1"/>
  <c r="D637" i="1" s="1"/>
  <c r="C636" i="1"/>
  <c r="D636" i="1" s="1"/>
  <c r="C635" i="1"/>
  <c r="D635" i="1" s="1"/>
  <c r="C634" i="1"/>
  <c r="D634" i="1" s="1"/>
  <c r="C633" i="1"/>
  <c r="D633" i="1" s="1"/>
  <c r="C632" i="1"/>
  <c r="D632" i="1" s="1"/>
  <c r="C631" i="1"/>
  <c r="D631" i="1" s="1"/>
  <c r="C630" i="1"/>
  <c r="D630" i="1" s="1"/>
  <c r="C629" i="1"/>
  <c r="D629" i="1" s="1"/>
  <c r="C628" i="1"/>
  <c r="D628" i="1" s="1"/>
  <c r="C627" i="1"/>
  <c r="D627" i="1" s="1"/>
  <c r="C626" i="1"/>
  <c r="D626" i="1" s="1"/>
  <c r="C625" i="1"/>
  <c r="D625" i="1" s="1"/>
  <c r="C624" i="1"/>
  <c r="D624" i="1" s="1"/>
  <c r="C623" i="1"/>
  <c r="D623" i="1" s="1"/>
  <c r="C622" i="1"/>
  <c r="D622" i="1" s="1"/>
  <c r="C621" i="1"/>
  <c r="D621" i="1" s="1"/>
  <c r="C620" i="1"/>
  <c r="D620" i="1" s="1"/>
  <c r="C619" i="1"/>
  <c r="D619" i="1" s="1"/>
  <c r="C618" i="1"/>
  <c r="D618" i="1" s="1"/>
  <c r="C617" i="1"/>
  <c r="D617" i="1" s="1"/>
  <c r="C616" i="1"/>
  <c r="D616" i="1" s="1"/>
  <c r="C615" i="1"/>
  <c r="D615" i="1" s="1"/>
  <c r="C614" i="1"/>
  <c r="D614" i="1" s="1"/>
  <c r="C613" i="1"/>
  <c r="D613" i="1" s="1"/>
  <c r="C612" i="1"/>
  <c r="D612" i="1" s="1"/>
  <c r="C611" i="1"/>
  <c r="D611" i="1" s="1"/>
  <c r="C610" i="1"/>
  <c r="D610" i="1" s="1"/>
  <c r="C609" i="1"/>
  <c r="D609" i="1" s="1"/>
  <c r="C608" i="1"/>
  <c r="D608" i="1" s="1"/>
  <c r="C607" i="1"/>
  <c r="D607" i="1" s="1"/>
  <c r="C606" i="1"/>
  <c r="D606" i="1" s="1"/>
  <c r="C605" i="1"/>
  <c r="D605" i="1" s="1"/>
  <c r="C604" i="1"/>
  <c r="D604" i="1" s="1"/>
  <c r="C603" i="1"/>
  <c r="D603" i="1" s="1"/>
  <c r="C602" i="1"/>
  <c r="D602" i="1" s="1"/>
  <c r="C601" i="1"/>
  <c r="D601" i="1" s="1"/>
  <c r="C600" i="1"/>
  <c r="D600" i="1" s="1"/>
  <c r="C599" i="1"/>
  <c r="D599" i="1" s="1"/>
  <c r="C598" i="1"/>
  <c r="D598" i="1" s="1"/>
  <c r="C597" i="1"/>
  <c r="D597" i="1" s="1"/>
  <c r="C596" i="1"/>
  <c r="D596" i="1" s="1"/>
  <c r="C595" i="1"/>
  <c r="D595" i="1" s="1"/>
  <c r="C594" i="1"/>
  <c r="D594" i="1" s="1"/>
  <c r="C593" i="1"/>
  <c r="D593" i="1" s="1"/>
  <c r="C592" i="1"/>
  <c r="D592" i="1" s="1"/>
  <c r="C591" i="1"/>
  <c r="D591" i="1" s="1"/>
  <c r="C590" i="1"/>
  <c r="D590" i="1" s="1"/>
  <c r="C589" i="1"/>
  <c r="D589" i="1" s="1"/>
  <c r="C588" i="1"/>
  <c r="D588" i="1" s="1"/>
  <c r="C587" i="1"/>
  <c r="D587" i="1" s="1"/>
  <c r="C586" i="1"/>
  <c r="D586" i="1" s="1"/>
  <c r="C585" i="1"/>
  <c r="D585" i="1" s="1"/>
  <c r="C584" i="1"/>
  <c r="D584" i="1" s="1"/>
  <c r="C583" i="1"/>
  <c r="D583" i="1" s="1"/>
  <c r="C582" i="1"/>
  <c r="D582" i="1" s="1"/>
  <c r="C581" i="1"/>
  <c r="D581" i="1" s="1"/>
  <c r="C580" i="1"/>
  <c r="D580" i="1" s="1"/>
  <c r="C579" i="1"/>
  <c r="D579" i="1" s="1"/>
  <c r="C578" i="1"/>
  <c r="D578" i="1" s="1"/>
  <c r="C577" i="1"/>
  <c r="D577" i="1" s="1"/>
  <c r="C576" i="1"/>
  <c r="D576" i="1" s="1"/>
  <c r="C575" i="1"/>
  <c r="D575" i="1" s="1"/>
  <c r="C574" i="1"/>
  <c r="D574" i="1" s="1"/>
  <c r="C573" i="1"/>
  <c r="D573" i="1" s="1"/>
  <c r="C572" i="1"/>
  <c r="D572" i="1" s="1"/>
  <c r="C571" i="1"/>
  <c r="D571" i="1" s="1"/>
  <c r="C570" i="1"/>
  <c r="D570" i="1" s="1"/>
  <c r="C569" i="1"/>
  <c r="D569" i="1" s="1"/>
  <c r="C568" i="1"/>
  <c r="D568" i="1" s="1"/>
  <c r="C567" i="1"/>
  <c r="D567" i="1" s="1"/>
  <c r="C566" i="1"/>
  <c r="D566" i="1" s="1"/>
  <c r="C565" i="1"/>
  <c r="D565" i="1" s="1"/>
  <c r="C564" i="1"/>
  <c r="D564" i="1" s="1"/>
  <c r="C563" i="1"/>
  <c r="D563" i="1" s="1"/>
  <c r="C562" i="1"/>
  <c r="D562" i="1" s="1"/>
  <c r="C561" i="1"/>
  <c r="D561" i="1" s="1"/>
  <c r="C560" i="1"/>
  <c r="D560" i="1" s="1"/>
  <c r="C559" i="1"/>
  <c r="D559" i="1" s="1"/>
  <c r="C558" i="1"/>
  <c r="D558" i="1" s="1"/>
  <c r="C557" i="1"/>
  <c r="D557" i="1" s="1"/>
  <c r="C556" i="1"/>
  <c r="D556" i="1" s="1"/>
  <c r="C555" i="1"/>
  <c r="D555" i="1" s="1"/>
  <c r="C554" i="1"/>
  <c r="D554" i="1" s="1"/>
  <c r="C553" i="1"/>
  <c r="D553" i="1" s="1"/>
  <c r="C552" i="1"/>
  <c r="D552" i="1" s="1"/>
  <c r="C551" i="1"/>
  <c r="D551" i="1" s="1"/>
  <c r="C550" i="1"/>
  <c r="D550" i="1" s="1"/>
  <c r="C549" i="1"/>
  <c r="D549" i="1" s="1"/>
  <c r="C548" i="1"/>
  <c r="D548" i="1" s="1"/>
  <c r="C547" i="1"/>
  <c r="D547" i="1" s="1"/>
  <c r="C546" i="1"/>
  <c r="D546" i="1" s="1"/>
  <c r="C545" i="1"/>
  <c r="D545" i="1" s="1"/>
  <c r="C544" i="1"/>
  <c r="D544" i="1" s="1"/>
  <c r="C543" i="1"/>
  <c r="D543" i="1" s="1"/>
  <c r="C542" i="1"/>
  <c r="D542" i="1" s="1"/>
  <c r="C541" i="1"/>
  <c r="D541" i="1" s="1"/>
  <c r="C540" i="1"/>
  <c r="D540" i="1" s="1"/>
  <c r="C539" i="1"/>
  <c r="D539" i="1" s="1"/>
  <c r="C538" i="1"/>
  <c r="D538" i="1" s="1"/>
  <c r="C537" i="1"/>
  <c r="D537" i="1" s="1"/>
  <c r="C536" i="1"/>
  <c r="D536" i="1" s="1"/>
  <c r="C535" i="1"/>
  <c r="D535" i="1" s="1"/>
  <c r="C534" i="1"/>
  <c r="D534" i="1" s="1"/>
  <c r="C533" i="1"/>
  <c r="D533" i="1" s="1"/>
  <c r="C532" i="1"/>
  <c r="D532" i="1" s="1"/>
  <c r="C531" i="1"/>
  <c r="D531" i="1" s="1"/>
  <c r="C530" i="1"/>
  <c r="D530" i="1" s="1"/>
  <c r="C529" i="1"/>
  <c r="D529" i="1" s="1"/>
  <c r="C528" i="1"/>
  <c r="D528" i="1" s="1"/>
  <c r="C527" i="1"/>
  <c r="D527" i="1" s="1"/>
  <c r="C526" i="1"/>
  <c r="D526" i="1" s="1"/>
  <c r="C525" i="1"/>
  <c r="D525" i="1" s="1"/>
  <c r="C524" i="1"/>
  <c r="D524" i="1" s="1"/>
  <c r="C523" i="1"/>
  <c r="D523" i="1" s="1"/>
  <c r="C522" i="1"/>
  <c r="D522" i="1" s="1"/>
  <c r="C521" i="1"/>
  <c r="D521" i="1" s="1"/>
  <c r="C520" i="1"/>
  <c r="D520" i="1" s="1"/>
  <c r="C519" i="1"/>
  <c r="D519" i="1" s="1"/>
  <c r="C518" i="1"/>
  <c r="D518" i="1" s="1"/>
  <c r="C517" i="1"/>
  <c r="D517" i="1" s="1"/>
  <c r="C516" i="1"/>
  <c r="D516" i="1" s="1"/>
  <c r="C515" i="1"/>
  <c r="D515" i="1" s="1"/>
  <c r="C514" i="1"/>
  <c r="D514" i="1" s="1"/>
  <c r="C513" i="1"/>
  <c r="D513" i="1" s="1"/>
  <c r="C512" i="1"/>
  <c r="D512" i="1" s="1"/>
  <c r="C511" i="1"/>
  <c r="D511" i="1" s="1"/>
  <c r="C510" i="1"/>
  <c r="D510" i="1" s="1"/>
  <c r="C509" i="1"/>
  <c r="D509" i="1" s="1"/>
  <c r="C508" i="1"/>
  <c r="D508" i="1" s="1"/>
  <c r="C507" i="1"/>
  <c r="D507" i="1" s="1"/>
  <c r="C506" i="1"/>
  <c r="D506" i="1" s="1"/>
  <c r="C505" i="1"/>
  <c r="D505" i="1" s="1"/>
  <c r="C504" i="1"/>
  <c r="D504" i="1" s="1"/>
  <c r="C503" i="1"/>
  <c r="D503" i="1" s="1"/>
  <c r="C502" i="1"/>
  <c r="D502" i="1" s="1"/>
  <c r="C501" i="1"/>
  <c r="D501" i="1" s="1"/>
  <c r="C500" i="1"/>
  <c r="D500" i="1" s="1"/>
  <c r="C499" i="1"/>
  <c r="D499" i="1" s="1"/>
  <c r="C498" i="1"/>
  <c r="D498" i="1" s="1"/>
  <c r="C497" i="1"/>
  <c r="D497" i="1" s="1"/>
  <c r="C496" i="1"/>
  <c r="D496" i="1" s="1"/>
  <c r="C495" i="1"/>
  <c r="D495" i="1" s="1"/>
  <c r="C494" i="1"/>
  <c r="D494" i="1" s="1"/>
  <c r="C493" i="1"/>
  <c r="D493" i="1" s="1"/>
  <c r="C492" i="1"/>
  <c r="D492" i="1" s="1"/>
  <c r="C491" i="1"/>
  <c r="D491" i="1" s="1"/>
  <c r="C490" i="1"/>
  <c r="D490" i="1" s="1"/>
  <c r="C489" i="1"/>
  <c r="D489" i="1" s="1"/>
  <c r="C488" i="1"/>
  <c r="D488" i="1" s="1"/>
  <c r="C487" i="1"/>
  <c r="D487" i="1" s="1"/>
  <c r="C486" i="1"/>
  <c r="D486" i="1" s="1"/>
  <c r="C485" i="1"/>
  <c r="D485" i="1" s="1"/>
  <c r="C484" i="1"/>
  <c r="D484" i="1" s="1"/>
  <c r="C483" i="1"/>
  <c r="D483" i="1" s="1"/>
  <c r="C482" i="1"/>
  <c r="D482" i="1" s="1"/>
  <c r="C481" i="1"/>
  <c r="D481" i="1" s="1"/>
  <c r="C480" i="1"/>
  <c r="D480" i="1" s="1"/>
  <c r="C479" i="1"/>
  <c r="D479" i="1" s="1"/>
  <c r="C478" i="1"/>
  <c r="D478" i="1" s="1"/>
  <c r="C477" i="1"/>
  <c r="D477" i="1" s="1"/>
  <c r="C476" i="1"/>
  <c r="D476" i="1" s="1"/>
  <c r="C475" i="1"/>
  <c r="D475" i="1" s="1"/>
  <c r="C474" i="1"/>
  <c r="D474" i="1" s="1"/>
  <c r="C473" i="1"/>
  <c r="D473" i="1" s="1"/>
  <c r="C472" i="1"/>
  <c r="D472" i="1" s="1"/>
  <c r="C471" i="1"/>
  <c r="D471" i="1" s="1"/>
  <c r="C470" i="1"/>
  <c r="D470" i="1" s="1"/>
  <c r="C469" i="1"/>
  <c r="D469" i="1" s="1"/>
  <c r="C468" i="1"/>
  <c r="D468" i="1" s="1"/>
  <c r="C467" i="1"/>
  <c r="D467" i="1" s="1"/>
  <c r="C466" i="1"/>
  <c r="D466" i="1" s="1"/>
  <c r="C465" i="1"/>
  <c r="D465" i="1" s="1"/>
  <c r="C464" i="1"/>
  <c r="D464" i="1" s="1"/>
  <c r="C463" i="1"/>
  <c r="D463" i="1" s="1"/>
  <c r="C462" i="1"/>
  <c r="D462" i="1" s="1"/>
  <c r="C461" i="1"/>
  <c r="D461" i="1" s="1"/>
  <c r="C460" i="1"/>
  <c r="D460" i="1" s="1"/>
  <c r="C459" i="1"/>
  <c r="D459" i="1" s="1"/>
  <c r="C458" i="1"/>
  <c r="D458" i="1" s="1"/>
  <c r="C457" i="1"/>
  <c r="D457" i="1" s="1"/>
  <c r="C456" i="1"/>
  <c r="D456" i="1" s="1"/>
  <c r="C455" i="1"/>
  <c r="D455" i="1" s="1"/>
  <c r="C454" i="1"/>
  <c r="D454" i="1" s="1"/>
  <c r="C453" i="1"/>
  <c r="D453" i="1" s="1"/>
  <c r="C452" i="1"/>
  <c r="D452" i="1" s="1"/>
  <c r="C451" i="1"/>
  <c r="D451" i="1" s="1"/>
  <c r="C450" i="1"/>
  <c r="D450" i="1" s="1"/>
  <c r="C449" i="1"/>
  <c r="D449" i="1" s="1"/>
  <c r="C448" i="1"/>
  <c r="D448" i="1" s="1"/>
  <c r="C447" i="1"/>
  <c r="D447" i="1" s="1"/>
  <c r="C446" i="1"/>
  <c r="D446" i="1" s="1"/>
  <c r="C445" i="1"/>
  <c r="D445" i="1" s="1"/>
  <c r="C444" i="1"/>
  <c r="D444" i="1" s="1"/>
  <c r="C443" i="1"/>
  <c r="D443" i="1" s="1"/>
  <c r="C442" i="1"/>
  <c r="D442" i="1" s="1"/>
  <c r="C441" i="1"/>
  <c r="D441" i="1" s="1"/>
  <c r="C440" i="1"/>
  <c r="D440" i="1" s="1"/>
  <c r="C439" i="1"/>
  <c r="D439" i="1" s="1"/>
  <c r="C438" i="1"/>
  <c r="D438" i="1" s="1"/>
  <c r="C437" i="1"/>
  <c r="D437" i="1" s="1"/>
  <c r="C436" i="1"/>
  <c r="D436" i="1" s="1"/>
  <c r="C435" i="1"/>
  <c r="D435" i="1" s="1"/>
  <c r="C434" i="1"/>
  <c r="D434" i="1" s="1"/>
  <c r="C433" i="1"/>
  <c r="D433" i="1" s="1"/>
  <c r="C432" i="1"/>
  <c r="D432" i="1" s="1"/>
  <c r="C431" i="1"/>
  <c r="D431" i="1" s="1"/>
  <c r="C430" i="1"/>
  <c r="D430" i="1" s="1"/>
  <c r="C429" i="1"/>
  <c r="D429" i="1" s="1"/>
  <c r="C428" i="1"/>
  <c r="D428" i="1" s="1"/>
  <c r="C427" i="1"/>
  <c r="D427" i="1" s="1"/>
  <c r="C426" i="1"/>
  <c r="D426" i="1" s="1"/>
  <c r="C425" i="1"/>
  <c r="D425" i="1" s="1"/>
  <c r="C424" i="1"/>
  <c r="D424" i="1" s="1"/>
  <c r="C423" i="1"/>
  <c r="D423" i="1" s="1"/>
  <c r="C422" i="1"/>
  <c r="D422" i="1" s="1"/>
  <c r="C421" i="1"/>
  <c r="D421" i="1" s="1"/>
  <c r="C420" i="1"/>
  <c r="D420" i="1" s="1"/>
  <c r="C419" i="1"/>
  <c r="D419" i="1" s="1"/>
  <c r="C418" i="1"/>
  <c r="D418" i="1" s="1"/>
  <c r="C417" i="1"/>
  <c r="D417" i="1" s="1"/>
  <c r="C416" i="1"/>
  <c r="D416" i="1" s="1"/>
  <c r="C415" i="1"/>
  <c r="D415" i="1" s="1"/>
  <c r="C414" i="1"/>
  <c r="D414" i="1" s="1"/>
  <c r="C413" i="1"/>
  <c r="D413" i="1" s="1"/>
  <c r="C412" i="1"/>
  <c r="D412" i="1" s="1"/>
  <c r="C411" i="1"/>
  <c r="D411" i="1" s="1"/>
  <c r="C410" i="1"/>
  <c r="D410" i="1" s="1"/>
  <c r="C409" i="1"/>
  <c r="D409" i="1" s="1"/>
  <c r="C408" i="1"/>
  <c r="D408" i="1" s="1"/>
  <c r="C407" i="1"/>
  <c r="D407" i="1" s="1"/>
  <c r="C406" i="1"/>
  <c r="D406" i="1" s="1"/>
  <c r="C405" i="1"/>
  <c r="D405" i="1" s="1"/>
  <c r="C404" i="1"/>
  <c r="D404" i="1" s="1"/>
  <c r="C403" i="1"/>
  <c r="D403" i="1" s="1"/>
  <c r="C402" i="1"/>
  <c r="D402" i="1" s="1"/>
  <c r="C401" i="1"/>
  <c r="D401" i="1" s="1"/>
  <c r="C400" i="1"/>
  <c r="D400" i="1" s="1"/>
  <c r="C399" i="1"/>
  <c r="D399" i="1" s="1"/>
  <c r="C398" i="1"/>
  <c r="D398" i="1" s="1"/>
  <c r="C397" i="1"/>
  <c r="D397" i="1" s="1"/>
  <c r="C396" i="1"/>
  <c r="D396" i="1" s="1"/>
  <c r="C395" i="1"/>
  <c r="D395" i="1" s="1"/>
  <c r="C394" i="1"/>
  <c r="D394" i="1" s="1"/>
  <c r="C393" i="1"/>
  <c r="D393" i="1" s="1"/>
  <c r="C392" i="1"/>
  <c r="D392" i="1" s="1"/>
  <c r="C391" i="1"/>
  <c r="D391" i="1" s="1"/>
  <c r="C390" i="1"/>
  <c r="D390" i="1" s="1"/>
  <c r="C389" i="1"/>
  <c r="D389" i="1" s="1"/>
  <c r="C388" i="1"/>
  <c r="D388" i="1" s="1"/>
  <c r="C387" i="1"/>
  <c r="D387" i="1" s="1"/>
  <c r="C386" i="1"/>
  <c r="D386" i="1" s="1"/>
  <c r="C385" i="1"/>
  <c r="D385" i="1" s="1"/>
  <c r="C384" i="1"/>
  <c r="D384" i="1" s="1"/>
  <c r="C383" i="1"/>
  <c r="D383" i="1" s="1"/>
  <c r="C382" i="1"/>
  <c r="D382" i="1" s="1"/>
  <c r="C381" i="1"/>
  <c r="D381" i="1" s="1"/>
  <c r="C380" i="1"/>
  <c r="D380" i="1" s="1"/>
  <c r="C379" i="1"/>
  <c r="D379" i="1" s="1"/>
  <c r="C378" i="1"/>
  <c r="D378" i="1" s="1"/>
  <c r="C377" i="1"/>
  <c r="D377" i="1" s="1"/>
  <c r="C376" i="1"/>
  <c r="D376" i="1" s="1"/>
  <c r="C375" i="1"/>
  <c r="D375" i="1" s="1"/>
  <c r="C374" i="1"/>
  <c r="D374" i="1" s="1"/>
  <c r="C373" i="1"/>
  <c r="D373" i="1" s="1"/>
  <c r="C372" i="1"/>
  <c r="D372" i="1" s="1"/>
  <c r="C371" i="1"/>
  <c r="D371" i="1" s="1"/>
  <c r="C370" i="1"/>
  <c r="D370" i="1" s="1"/>
  <c r="C369" i="1"/>
  <c r="D369" i="1" s="1"/>
  <c r="C368" i="1"/>
  <c r="D368" i="1" s="1"/>
  <c r="C367" i="1"/>
  <c r="D367" i="1" s="1"/>
  <c r="C366" i="1"/>
  <c r="D366" i="1" s="1"/>
  <c r="C365" i="1"/>
  <c r="D365" i="1" s="1"/>
  <c r="C364" i="1"/>
  <c r="D364" i="1" s="1"/>
  <c r="C363" i="1"/>
  <c r="D363" i="1" s="1"/>
  <c r="C362" i="1"/>
  <c r="D362" i="1" s="1"/>
  <c r="C361" i="1"/>
  <c r="D361" i="1" s="1"/>
  <c r="C360" i="1"/>
  <c r="D360" i="1" s="1"/>
  <c r="C359" i="1"/>
  <c r="D359" i="1" s="1"/>
  <c r="C358" i="1"/>
  <c r="D358" i="1" s="1"/>
  <c r="C357" i="1"/>
  <c r="D357" i="1" s="1"/>
  <c r="C356" i="1"/>
  <c r="D356" i="1" s="1"/>
  <c r="C355" i="1"/>
  <c r="D355" i="1" s="1"/>
  <c r="C354" i="1"/>
  <c r="D354" i="1" s="1"/>
  <c r="C353" i="1"/>
  <c r="D353" i="1" s="1"/>
  <c r="C352" i="1"/>
  <c r="D352" i="1" s="1"/>
  <c r="C351" i="1"/>
  <c r="D351" i="1" s="1"/>
  <c r="C350" i="1"/>
  <c r="D350" i="1" s="1"/>
  <c r="C349" i="1"/>
  <c r="D349" i="1" s="1"/>
  <c r="C348" i="1"/>
  <c r="D348" i="1" s="1"/>
  <c r="C347" i="1"/>
  <c r="D347" i="1" s="1"/>
  <c r="C346" i="1"/>
  <c r="D346" i="1" s="1"/>
  <c r="C345" i="1"/>
  <c r="D345" i="1" s="1"/>
  <c r="C344" i="1"/>
  <c r="D344" i="1" s="1"/>
  <c r="C343" i="1"/>
  <c r="D343" i="1" s="1"/>
  <c r="C342" i="1"/>
  <c r="D342" i="1" s="1"/>
  <c r="C341" i="1"/>
  <c r="D341" i="1" s="1"/>
  <c r="C340" i="1"/>
  <c r="D340" i="1" s="1"/>
  <c r="C339" i="1"/>
  <c r="D339" i="1" s="1"/>
  <c r="C338" i="1"/>
  <c r="D338" i="1" s="1"/>
  <c r="C337" i="1"/>
  <c r="D337" i="1" s="1"/>
  <c r="C336" i="1"/>
  <c r="D336" i="1" s="1"/>
  <c r="C335" i="1"/>
  <c r="D335" i="1" s="1"/>
  <c r="C334" i="1"/>
  <c r="D334" i="1" s="1"/>
  <c r="C333" i="1"/>
  <c r="D333" i="1" s="1"/>
  <c r="C332" i="1"/>
  <c r="D332" i="1" s="1"/>
  <c r="C331" i="1"/>
  <c r="D331" i="1" s="1"/>
  <c r="C330" i="1"/>
  <c r="D330" i="1" s="1"/>
  <c r="C329" i="1"/>
  <c r="D329" i="1" s="1"/>
  <c r="C328" i="1"/>
  <c r="D328" i="1" s="1"/>
  <c r="C327" i="1"/>
  <c r="D327" i="1" s="1"/>
  <c r="C326" i="1"/>
  <c r="D326" i="1" s="1"/>
  <c r="C325" i="1"/>
  <c r="D325" i="1" s="1"/>
  <c r="C324" i="1"/>
  <c r="D324" i="1" s="1"/>
  <c r="C323" i="1"/>
  <c r="D323" i="1" s="1"/>
  <c r="C322" i="1"/>
  <c r="D322" i="1" s="1"/>
  <c r="C321" i="1"/>
  <c r="D321" i="1" s="1"/>
  <c r="C320" i="1"/>
  <c r="D320" i="1" s="1"/>
  <c r="C319" i="1"/>
  <c r="D319" i="1" s="1"/>
  <c r="C318" i="1"/>
  <c r="D318" i="1" s="1"/>
  <c r="C317" i="1"/>
  <c r="D317" i="1" s="1"/>
  <c r="C316" i="1"/>
  <c r="D316" i="1" s="1"/>
  <c r="C315" i="1"/>
  <c r="D315" i="1" s="1"/>
  <c r="C314" i="1"/>
  <c r="D314" i="1" s="1"/>
  <c r="C313" i="1"/>
  <c r="D313" i="1" s="1"/>
  <c r="C312" i="1"/>
  <c r="D312" i="1" s="1"/>
  <c r="C311" i="1"/>
  <c r="D311" i="1" s="1"/>
  <c r="C310" i="1"/>
  <c r="D310" i="1" s="1"/>
  <c r="C309" i="1"/>
  <c r="D309" i="1" s="1"/>
  <c r="C308" i="1"/>
  <c r="D308" i="1" s="1"/>
  <c r="C307" i="1"/>
  <c r="D307" i="1" s="1"/>
  <c r="C306" i="1"/>
  <c r="D306" i="1" s="1"/>
  <c r="C305" i="1"/>
  <c r="D305" i="1" s="1"/>
  <c r="C304" i="1"/>
  <c r="D304" i="1" s="1"/>
  <c r="C303" i="1"/>
  <c r="D303" i="1" s="1"/>
  <c r="C302" i="1"/>
  <c r="D302" i="1" s="1"/>
  <c r="C301" i="1"/>
  <c r="D301" i="1" s="1"/>
  <c r="C300" i="1"/>
  <c r="D300" i="1" s="1"/>
  <c r="C299" i="1"/>
  <c r="D299" i="1" s="1"/>
  <c r="C74" i="7" l="1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2" i="4"/>
  <c r="A9" i="9"/>
  <c r="O33" i="4"/>
  <c r="N33" i="4"/>
  <c r="M33" i="4"/>
  <c r="L33" i="4"/>
  <c r="K33" i="4"/>
  <c r="J33" i="4"/>
  <c r="C4" i="4"/>
  <c r="C3" i="4"/>
  <c r="D21" i="3"/>
  <c r="F11" i="3" s="1"/>
  <c r="D11" i="3"/>
  <c r="H2" i="3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T6" i="1"/>
  <c r="O1" i="4" l="1"/>
  <c r="F19" i="3"/>
</calcChain>
</file>

<file path=xl/comments1.xml><?xml version="1.0" encoding="utf-8"?>
<comments xmlns="http://schemas.openxmlformats.org/spreadsheetml/2006/main">
  <authors>
    <author>HK</author>
  </authors>
  <commentList>
    <comment ref="A3" authorId="0" shapeId="0">
      <text>
        <r>
          <rPr>
            <sz val="9"/>
            <color indexed="81"/>
            <rFont val="돋움"/>
            <family val="3"/>
            <charset val="129"/>
          </rPr>
          <t>작업요령
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파일선택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수수료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시상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③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원본년월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>, 
    2</t>
        </r>
        <r>
          <rPr>
            <sz val="9"/>
            <color indexed="81"/>
            <rFont val="돋움"/>
            <family val="3"/>
            <charset val="129"/>
          </rPr>
          <t>번은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파일정보의</t>
        </r>
        <r>
          <rPr>
            <sz val="9"/>
            <color indexed="81"/>
            <rFont val="Tahoma"/>
            <family val="2"/>
          </rPr>
          <t xml:space="preserve">  y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
④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또는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단추클릭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<sst xmlns="http://schemas.openxmlformats.org/spreadsheetml/2006/main" count="2204" uniqueCount="987">
  <si>
    <t>증권번호</t>
  </si>
  <si>
    <t>월납보험료</t>
  </si>
  <si>
    <t>참조파일</t>
    <phoneticPr fontId="1" type="noConversion"/>
  </si>
  <si>
    <t>파일명</t>
    <phoneticPr fontId="1" type="noConversion"/>
  </si>
  <si>
    <t>시트명</t>
    <phoneticPr fontId="1" type="noConversion"/>
  </si>
  <si>
    <t>참조함수</t>
    <phoneticPr fontId="1" type="noConversion"/>
  </si>
  <si>
    <t>대상컬럼</t>
    <phoneticPr fontId="1" type="noConversion"/>
  </si>
  <si>
    <t>생성결과</t>
    <phoneticPr fontId="1" type="noConversion"/>
  </si>
  <si>
    <t>VLOOKUP</t>
    <phoneticPr fontId="1" type="noConversion"/>
  </si>
  <si>
    <t>경로명</t>
    <phoneticPr fontId="1" type="noConversion"/>
  </si>
  <si>
    <t>탐색컬럼</t>
    <phoneticPr fontId="1" type="noConversion"/>
  </si>
  <si>
    <t>vlookup</t>
    <phoneticPr fontId="1" type="noConversion"/>
  </si>
  <si>
    <t>CODE</t>
    <phoneticPr fontId="1" type="noConversion"/>
  </si>
  <si>
    <t>$C:$G</t>
    <phoneticPr fontId="1" type="noConversion"/>
  </si>
  <si>
    <t>C:\Users\Administrator\Documents\04.수수료작업\201801시상\</t>
    <phoneticPr fontId="1" type="noConversion"/>
  </si>
  <si>
    <t>지점</t>
  </si>
  <si>
    <t>보험회사</t>
  </si>
  <si>
    <t>구분</t>
  </si>
  <si>
    <t>WORKSHEET</t>
    <phoneticPr fontId="1" type="noConversion"/>
  </si>
  <si>
    <t>년월</t>
    <phoneticPr fontId="1" type="noConversion"/>
  </si>
  <si>
    <t>&lt;&lt;수수료&gt;&gt;</t>
    <phoneticPr fontId="1" type="noConversion"/>
  </si>
  <si>
    <t>&lt;&lt;시상파일&gt;&gt;</t>
    <phoneticPr fontId="1" type="noConversion"/>
  </si>
  <si>
    <t>손보</t>
    <phoneticPr fontId="1" type="noConversion"/>
  </si>
  <si>
    <t>작업선택</t>
    <phoneticPr fontId="1" type="noConversion"/>
  </si>
  <si>
    <t>작업선택 및 우측의 가져올 조건을 입력 후 클릭</t>
    <phoneticPr fontId="1" type="noConversion"/>
  </si>
  <si>
    <t>가져올 조건 (헤더명은 반드시 일치해야)</t>
    <phoneticPr fontId="1" type="noConversion"/>
  </si>
  <si>
    <t>지점ID</t>
  </si>
  <si>
    <t>팀</t>
  </si>
  <si>
    <t>팀ID</t>
  </si>
  <si>
    <t>담당</t>
  </si>
  <si>
    <t>담당ID</t>
  </si>
  <si>
    <t>담당명</t>
  </si>
  <si>
    <t>위촉상태</t>
  </si>
  <si>
    <t>계약일</t>
  </si>
  <si>
    <t>대리점</t>
  </si>
  <si>
    <t>보험상품</t>
  </si>
  <si>
    <t>상품코드</t>
  </si>
  <si>
    <t>보종</t>
  </si>
  <si>
    <t>수정보험료</t>
  </si>
  <si>
    <t>조정보험료</t>
  </si>
  <si>
    <t>수정율</t>
  </si>
  <si>
    <t>납입회차</t>
  </si>
  <si>
    <t>총회차</t>
  </si>
  <si>
    <t>피보험자</t>
  </si>
  <si>
    <t>생년월일 / 성별</t>
  </si>
  <si>
    <t>계약자</t>
  </si>
  <si>
    <t>영수일</t>
  </si>
  <si>
    <t>개시일</t>
  </si>
  <si>
    <t>만기일</t>
  </si>
  <si>
    <t>납입방법</t>
  </si>
  <si>
    <t>보장</t>
  </si>
  <si>
    <t>월납</t>
  </si>
  <si>
    <t>아래는 데이터가 복사되어오는 영역임</t>
    <phoneticPr fontId="1" type="noConversion"/>
  </si>
  <si>
    <t>보험회사</t>
    <phoneticPr fontId="1" type="noConversion"/>
  </si>
  <si>
    <t>월납보험료</t>
    <phoneticPr fontId="1" type="noConversion"/>
  </si>
  <si>
    <t>실손월납보</t>
  </si>
  <si>
    <t>실손수정보</t>
  </si>
  <si>
    <t>수수료T</t>
  </si>
  <si>
    <t>수수료H</t>
  </si>
  <si>
    <t>수수료M</t>
  </si>
  <si>
    <t>수수료S</t>
  </si>
  <si>
    <t>보종</t>
    <phoneticPr fontId="1" type="noConversion"/>
  </si>
  <si>
    <t>삭제할 컬럼</t>
    <phoneticPr fontId="1" type="noConversion"/>
  </si>
  <si>
    <t>계약일</t>
    <phoneticPr fontId="1" type="noConversion"/>
  </si>
  <si>
    <t>증권번호</t>
    <phoneticPr fontId="1" type="noConversion"/>
  </si>
  <si>
    <t>지점</t>
    <phoneticPr fontId="1" type="noConversion"/>
  </si>
  <si>
    <t>담당</t>
    <phoneticPr fontId="1" type="noConversion"/>
  </si>
  <si>
    <t xml:space="preserve">    조건에 맞는 데이터 가져오는 기능</t>
    <phoneticPr fontId="1" type="noConversion"/>
  </si>
  <si>
    <t>마감실적 리스트(장기)-201707311747(피스토스지급율정정).xlsx</t>
    <phoneticPr fontId="1" type="noConversion"/>
  </si>
  <si>
    <t>마감실적 리스트(장기)-201708251018.xlsx</t>
    <phoneticPr fontId="1" type="noConversion"/>
  </si>
  <si>
    <t>마감실적 리스트(장기)-201709271015.xlsx</t>
    <phoneticPr fontId="1" type="noConversion"/>
  </si>
  <si>
    <t>마감실적 리스트(장기)-201710261159.xlsx</t>
    <phoneticPr fontId="1" type="noConversion"/>
  </si>
  <si>
    <t>마감실적 리스트(장기)-201711251115.xlsx</t>
    <phoneticPr fontId="1" type="noConversion"/>
  </si>
  <si>
    <t>마감실적 리스트(장기)-201712261750.xlsx</t>
    <phoneticPr fontId="1" type="noConversion"/>
  </si>
  <si>
    <t>마감실적 리스트(장기)-201802271539.xlsx</t>
    <phoneticPr fontId="1" type="noConversion"/>
  </si>
  <si>
    <t>마감실적 리스트(장기)-201706261128.xlsx</t>
    <phoneticPr fontId="1" type="noConversion"/>
  </si>
  <si>
    <t>마감실적 리스트(장기)-201705251807.xlsx</t>
    <phoneticPr fontId="1" type="noConversion"/>
  </si>
  <si>
    <t>마감실적 리스트(장기)-지급정정후.xlsx</t>
    <phoneticPr fontId="1" type="noConversion"/>
  </si>
  <si>
    <t>정산월구분</t>
  </si>
  <si>
    <t>a.b열에 key,value를 넣고</t>
    <phoneticPr fontId="1" type="noConversion"/>
  </si>
  <si>
    <t>f,g열에  key,value를 넣은 후</t>
    <phoneticPr fontId="1" type="noConversion"/>
  </si>
  <si>
    <t>key를 매칭하여 값을 비교함</t>
    <phoneticPr fontId="1" type="noConversion"/>
  </si>
  <si>
    <t>좌측의 비교버튼을 누르면, 해당 함수로</t>
    <phoneticPr fontId="1" type="noConversion"/>
  </si>
  <si>
    <t>y</t>
    <phoneticPr fontId="1" type="noConversion"/>
  </si>
  <si>
    <t>조건은 최대 30행까지 가능</t>
    <phoneticPr fontId="1" type="noConversion"/>
  </si>
  <si>
    <t>보이기,숨기기 토글</t>
    <phoneticPr fontId="1" type="noConversion"/>
  </si>
  <si>
    <t xml:space="preserve">       아래에 복사</t>
    <phoneticPr fontId="1" type="noConversion"/>
  </si>
  <si>
    <t>컬럼 삭제</t>
    <phoneticPr fontId="1" type="noConversion"/>
  </si>
  <si>
    <t>일괄작업포함여부</t>
    <phoneticPr fontId="1" type="noConversion"/>
  </si>
  <si>
    <t>복사할 컬럼</t>
    <phoneticPr fontId="1" type="noConversion"/>
  </si>
  <si>
    <t>마감실적 리스트(장기)-201803270836.xlsx</t>
    <phoneticPr fontId="1" type="noConversion"/>
  </si>
  <si>
    <t>C:\Users\Administrator\Documents\04.수수료작업\</t>
  </si>
  <si>
    <t>C:\Users\Administrator\Documents\04.수수료작업\2016~2017\</t>
  </si>
  <si>
    <t>월납보험료</t>
    <phoneticPr fontId="1" type="noConversion"/>
  </si>
  <si>
    <t>마감실적 리스트(장기)-201804251426.xlsx</t>
    <phoneticPr fontId="1" type="noConversion"/>
  </si>
  <si>
    <t>마감실적 리스트(장기)-201801261142</t>
  </si>
  <si>
    <t>마감실적 리스트(장기)-201801261142.xlsx</t>
    <phoneticPr fontId="1" type="noConversion"/>
  </si>
  <si>
    <t>마감실적 리스트(장기)-201805241349.xlsx</t>
    <phoneticPr fontId="1" type="noConversion"/>
  </si>
  <si>
    <t>수수료</t>
  </si>
  <si>
    <t>상담자</t>
  </si>
  <si>
    <t>y</t>
    <phoneticPr fontId="1" type="noConversion"/>
  </si>
  <si>
    <t>마감실적 리스트(장기)-201806260626.XLSX</t>
    <phoneticPr fontId="1" type="noConversion"/>
  </si>
  <si>
    <t>VALUE? (YES=1)</t>
    <phoneticPr fontId="1" type="noConversion"/>
  </si>
  <si>
    <t>합성컬럼</t>
    <phoneticPr fontId="1" type="noConversion"/>
  </si>
  <si>
    <t>마감실적리스트(장기)-201807280620.XLSX</t>
    <phoneticPr fontId="1" type="noConversion"/>
  </si>
  <si>
    <t>마감실적리스트(장기)-201808290647.xlsx</t>
    <phoneticPr fontId="1" type="noConversion"/>
  </si>
  <si>
    <t>마감실적리스트(장기)-201809230755.XLSX</t>
    <phoneticPr fontId="1" type="noConversion"/>
  </si>
  <si>
    <t>Y</t>
    <phoneticPr fontId="1" type="noConversion"/>
  </si>
  <si>
    <t>마감실적리스트(장기)-201810280907.xlsx</t>
    <phoneticPr fontId="1" type="noConversion"/>
  </si>
  <si>
    <t>사용인코드(KJ).xlsx</t>
    <phoneticPr fontId="1" type="noConversion"/>
  </si>
  <si>
    <t>마감실적리스트(장기)-201811232327.xlsx</t>
    <phoneticPr fontId="1" type="noConversion"/>
  </si>
  <si>
    <t>마감실적리스트(장기)-201812251603.xlsx</t>
    <phoneticPr fontId="1" type="noConversion"/>
  </si>
  <si>
    <t>e:\글로벌백업(180329)\04.수수료작업\201811시상</t>
    <phoneticPr fontId="1" type="noConversion"/>
  </si>
  <si>
    <t>마감실적리스트(장기)-201901241842.xlsx</t>
    <phoneticPr fontId="1" type="noConversion"/>
  </si>
  <si>
    <t>마감실적리스트(장기)-201902261101.xlsx</t>
    <phoneticPr fontId="1" type="noConversion"/>
  </si>
  <si>
    <t>마감실적리스트(장기)-201903271958.XLSX</t>
    <phoneticPr fontId="1" type="noConversion"/>
  </si>
  <si>
    <t>마감실적리스트(장기)-201904251049.xlsx</t>
    <phoneticPr fontId="1" type="noConversion"/>
  </si>
  <si>
    <t>마감실적리스트(장기)-201905261446.xlsx</t>
    <phoneticPr fontId="1" type="noConversion"/>
  </si>
  <si>
    <t>e:\글로벌백업(180329)\04.수수료작업\201712수수료</t>
  </si>
  <si>
    <t>마감실적리스트(장기)-201906261250.xlsx</t>
    <phoneticPr fontId="1" type="noConversion"/>
  </si>
  <si>
    <t>마감실적리스트(장기)-201907251836.xlsx</t>
    <phoneticPr fontId="1" type="noConversion"/>
  </si>
  <si>
    <t>마감실적리스트(장기)-201908261226.xlsx</t>
    <phoneticPr fontId="1" type="noConversion"/>
  </si>
  <si>
    <t>마감실적리스트(장기)-201909260841.XLSX</t>
    <phoneticPr fontId="1" type="noConversion"/>
  </si>
  <si>
    <t>마감실적리스트(장기)-201910241524.xlsx</t>
    <phoneticPr fontId="1" type="noConversion"/>
  </si>
  <si>
    <t>업무담당</t>
  </si>
  <si>
    <t>메모</t>
  </si>
  <si>
    <t>510039274A0826</t>
  </si>
  <si>
    <t>(주)글로벌금융판매(엠피가온)</t>
  </si>
  <si>
    <t>510039274A0712</t>
  </si>
  <si>
    <t>(주)글로벌금융판매(엠피경기)</t>
  </si>
  <si>
    <t>510039274A0242</t>
  </si>
  <si>
    <t>(주)글로벌금융판매(엠피라온)</t>
  </si>
  <si>
    <t>510039274A0607</t>
  </si>
  <si>
    <t>(주)글로벌금융판매(엠피메트로)</t>
  </si>
  <si>
    <t>510039274A0117</t>
  </si>
  <si>
    <t>(주)글로벌금융판매(엠피상동)</t>
  </si>
  <si>
    <t>510039274A0809</t>
  </si>
  <si>
    <t>(주)글로벌금융판매(엠피성공)</t>
  </si>
  <si>
    <t>510039274A0761</t>
  </si>
  <si>
    <t>(주)글로벌금융판매(엠피송내)</t>
  </si>
  <si>
    <t>510039274A0606</t>
  </si>
  <si>
    <t>(주)글로벌금융판매(엠피시흥)</t>
  </si>
  <si>
    <t>510039274A0533</t>
  </si>
  <si>
    <t>(주)글로벌금융판매(엠피아이리치)</t>
  </si>
  <si>
    <t>510039274A0808</t>
  </si>
  <si>
    <t>(주)글로벌금융판매(엠피여주)</t>
  </si>
  <si>
    <t>510039274A0743</t>
  </si>
  <si>
    <t>(주)글로벌금융판매(엠피의정부)</t>
  </si>
  <si>
    <t>510039274A0119</t>
  </si>
  <si>
    <t>(주)글로벌금융판매(엠피조은)</t>
  </si>
  <si>
    <t>510039274A0864</t>
  </si>
  <si>
    <t>(주)글로벌금융판매(엠피프라임)</t>
  </si>
  <si>
    <t>510039274A0208</t>
  </si>
  <si>
    <t>(주)글로벌금융판매(엠피피스토스)</t>
  </si>
  <si>
    <t>마감실적리스트(장기)-201912261626.xlsx</t>
    <phoneticPr fontId="1" type="noConversion"/>
  </si>
  <si>
    <t>마감실적리스트(장기)-201911261525.xlsx</t>
  </si>
  <si>
    <t>기준시트</t>
    <phoneticPr fontId="1" type="noConversion"/>
  </si>
  <si>
    <t>대상시트</t>
    <phoneticPr fontId="1" type="noConversion"/>
  </si>
  <si>
    <t>정산</t>
    <phoneticPr fontId="1" type="noConversion"/>
  </si>
  <si>
    <t>A</t>
    <phoneticPr fontId="1" type="noConversion"/>
  </si>
  <si>
    <t>B</t>
    <phoneticPr fontId="1" type="noConversion"/>
  </si>
  <si>
    <t>비교컬럼1</t>
    <phoneticPr fontId="1" type="noConversion"/>
  </si>
  <si>
    <t>컬럼2</t>
    <phoneticPr fontId="1" type="noConversion"/>
  </si>
  <si>
    <t>컬럼3</t>
    <phoneticPr fontId="1" type="noConversion"/>
  </si>
  <si>
    <t>컬럼4</t>
    <phoneticPr fontId="1" type="noConversion"/>
  </si>
  <si>
    <t>1행</t>
  </si>
  <si>
    <t>파일</t>
    <phoneticPr fontId="1" type="noConversion"/>
  </si>
  <si>
    <t>시트</t>
    <phoneticPr fontId="1" type="noConversion"/>
  </si>
  <si>
    <t>구분</t>
    <phoneticPr fontId="1" type="noConversion"/>
  </si>
  <si>
    <t>아래 지정파일의 컬럼1~컬럼4의 값을 비교하여, 기준시트에 있으나 대상시트에 없는 사원을 추가하는 기능임</t>
    <phoneticPr fontId="1" type="noConversion"/>
  </si>
  <si>
    <t>파일명</t>
    <phoneticPr fontId="1" type="noConversion"/>
  </si>
  <si>
    <t>시트명</t>
    <phoneticPr fontId="1" type="noConversion"/>
  </si>
  <si>
    <t>타겟컬럼</t>
    <phoneticPr fontId="1" type="noConversion"/>
  </si>
  <si>
    <t>[대상파일정보]</t>
    <phoneticPr fontId="1" type="noConversion"/>
  </si>
  <si>
    <t>파일순번</t>
    <phoneticPr fontId="1" type="noConversion"/>
  </si>
  <si>
    <t>글로벌금융_엠피피스</t>
  </si>
  <si>
    <t>글로벌금융_엠피메트로</t>
  </si>
  <si>
    <t>글로벌금융_엠피상동</t>
  </si>
  <si>
    <t>글로벌금융_엠피시흥</t>
  </si>
  <si>
    <t>글로벌금융_엠피가온</t>
  </si>
  <si>
    <t>글로벌금융_엠피라온</t>
  </si>
  <si>
    <t>글로벌금융_엠피방이</t>
  </si>
  <si>
    <t>글로벌금융_엠피아이리치</t>
  </si>
  <si>
    <t>글로벌금융_엠피의정부</t>
  </si>
  <si>
    <t>글로벌금융_엠피송내</t>
  </si>
  <si>
    <t>글로벌금융_엠피성공</t>
  </si>
  <si>
    <t>글로벌금융_엠피레전드</t>
  </si>
  <si>
    <t>글로벌금융_엠피조은</t>
  </si>
  <si>
    <t>글로벌금융_엠피여주</t>
  </si>
  <si>
    <t>글로벌금융_엠피경기</t>
  </si>
  <si>
    <t>1.지사코드(KJ)</t>
    <phoneticPr fontId="1" type="noConversion"/>
  </si>
  <si>
    <t>2.모대리점번호(KJ)</t>
    <phoneticPr fontId="1" type="noConversion"/>
  </si>
  <si>
    <t>버튼을 누른 후 아래 순번(초록부분)을 클릭하면 해당 파일에 생성결과 수식이 복사됨</t>
    <phoneticPr fontId="1" type="noConversion"/>
  </si>
  <si>
    <t>위 정보를 입력하고 D11 을 복사하여 값 붙여넣기 후 = 넣어 사용</t>
    <phoneticPr fontId="1" type="noConversion"/>
  </si>
  <si>
    <t xml:space="preserve">또는 </t>
    <phoneticPr fontId="1" type="noConversion"/>
  </si>
  <si>
    <t>아래의 버튼과 더블클릭으로 복사 실시</t>
    <phoneticPr fontId="1" type="noConversion"/>
  </si>
  <si>
    <t>TO(현재 시트)</t>
    <phoneticPr fontId="1" type="noConversion"/>
  </si>
  <si>
    <t>파일</t>
    <phoneticPr fontId="1" type="noConversion"/>
  </si>
  <si>
    <t>순번더블클릭!!</t>
    <phoneticPr fontId="1" type="noConversion"/>
  </si>
  <si>
    <t>데이터가져오기</t>
    <phoneticPr fontId="1" type="noConversion"/>
  </si>
  <si>
    <t>FROM(데이터가져올 시트)</t>
    <phoneticPr fontId="1" type="noConversion"/>
  </si>
  <si>
    <t>정산파일명</t>
    <phoneticPr fontId="1" type="noConversion"/>
  </si>
  <si>
    <t>VALUE</t>
    <phoneticPr fontId="1" type="noConversion"/>
  </si>
  <si>
    <t>KEY</t>
    <phoneticPr fontId="1" type="noConversion"/>
  </si>
  <si>
    <t>VALUE2</t>
    <phoneticPr fontId="1" type="noConversion"/>
  </si>
  <si>
    <t>KEY</t>
    <phoneticPr fontId="1" type="noConversion"/>
  </si>
  <si>
    <t>VALUE</t>
    <phoneticPr fontId="1" type="noConversion"/>
  </si>
  <si>
    <t>VALUE2</t>
    <phoneticPr fontId="1" type="noConversion"/>
  </si>
  <si>
    <t>A1</t>
    <phoneticPr fontId="1" type="noConversion"/>
  </si>
  <si>
    <t>B1</t>
    <phoneticPr fontId="1" type="noConversion"/>
  </si>
  <si>
    <t>E1</t>
    <phoneticPr fontId="1" type="noConversion"/>
  </si>
  <si>
    <t>F1</t>
    <phoneticPr fontId="1" type="noConversion"/>
  </si>
  <si>
    <t>G1</t>
    <phoneticPr fontId="1" type="noConversion"/>
  </si>
  <si>
    <t xml:space="preserve">가져올 위치 셀을 가져오려면 해당 파일 열고 셀 선택 후 </t>
    <phoneticPr fontId="1" type="noConversion"/>
  </si>
  <si>
    <t>위 부분을 더블클릭하거나, 라이트클릭하면 됨</t>
    <phoneticPr fontId="1" type="noConversion"/>
  </si>
  <si>
    <t>(주)글로벌금융판매엠피가온</t>
  </si>
  <si>
    <t>(주)글로벌금융판매엠피송내</t>
  </si>
  <si>
    <t>(주)글로벌금융판매엠피피스토스</t>
  </si>
  <si>
    <t>(주)글로벌금융판매엠피의정부</t>
  </si>
  <si>
    <t>(주)글로벌금융판매엠피조은</t>
  </si>
  <si>
    <t>(주)글로벌금융판매엠피라온</t>
  </si>
  <si>
    <t>(주)글로벌금융판매엠피성공</t>
  </si>
  <si>
    <t>(주)글로벌금융판매엠피메트로</t>
  </si>
  <si>
    <t>(주)글로벌금융판매엠피레전드</t>
  </si>
  <si>
    <t>(주)글로벌금융판매엠피여주</t>
  </si>
  <si>
    <t>(주)글로벌금융판매엠피아이리치</t>
  </si>
  <si>
    <t>3.흥국화재</t>
    <phoneticPr fontId="1" type="noConversion"/>
  </si>
  <si>
    <t>대상파일 활성시트에서 코드가 있는 첫 셀을 선택 후 코드 종류(1,2,3) 선택 후 버튼 클릭</t>
    <phoneticPr fontId="1" type="noConversion"/>
  </si>
  <si>
    <t>마감실적리스트(장기)-202001221158.xlsx</t>
  </si>
  <si>
    <t>글로벌금융_엠피프라임</t>
  </si>
  <si>
    <t>(주)글로벌금융판매엠피상동</t>
  </si>
  <si>
    <t>(주)글로벌금융판매엠피방이</t>
  </si>
  <si>
    <t>(주)글로벌금융판매엠피시흥</t>
  </si>
  <si>
    <t>(주)글로벌금융판매엠피경기</t>
  </si>
  <si>
    <t>(주)글로벌금융판매엠피프라임</t>
  </si>
  <si>
    <t>글로벌금융판매엠피레전드</t>
  </si>
  <si>
    <t>4.현대해상</t>
    <phoneticPr fontId="1" type="noConversion"/>
  </si>
  <si>
    <t>2S02631</t>
  </si>
  <si>
    <t>엠피피스토스</t>
  </si>
  <si>
    <t>2S02650</t>
  </si>
  <si>
    <t>엠피상동</t>
  </si>
  <si>
    <t>2S05927</t>
  </si>
  <si>
    <t>엠피메트로</t>
  </si>
  <si>
    <t>2S07486</t>
  </si>
  <si>
    <t>엠피의정부</t>
  </si>
  <si>
    <t>2S07593</t>
  </si>
  <si>
    <t>엠피송내</t>
  </si>
  <si>
    <t>2S07910</t>
  </si>
  <si>
    <t>엠피성공</t>
  </si>
  <si>
    <t>2S08386</t>
  </si>
  <si>
    <t>엠피프라임</t>
  </si>
  <si>
    <t>2S07361</t>
  </si>
  <si>
    <t>엠피경기</t>
  </si>
  <si>
    <t>2S08549</t>
  </si>
  <si>
    <t>엠피레전드</t>
  </si>
  <si>
    <t>5.롯데</t>
    <phoneticPr fontId="1" type="noConversion"/>
  </si>
  <si>
    <t>아래는 시상정산의 손보시트에서만 동작함</t>
    <phoneticPr fontId="1" type="noConversion"/>
  </si>
  <si>
    <t>선/맑은고딕/10/바탕없음</t>
    <phoneticPr fontId="1" type="noConversion"/>
  </si>
  <si>
    <t>증번더블클릭해도 됨</t>
    <phoneticPr fontId="1" type="noConversion"/>
  </si>
  <si>
    <t>손보시트 보종컬럼에 작동함</t>
    <phoneticPr fontId="1" type="noConversion"/>
  </si>
  <si>
    <t>차이(D열)가 있는 경우,E열에 본인여부 표시</t>
    <phoneticPr fontId="1" type="noConversion"/>
  </si>
  <si>
    <t>본인이면 위 월납변경으로 처리하면 됨</t>
    <phoneticPr fontId="1" type="noConversion"/>
  </si>
  <si>
    <t>사원별시트의 경우</t>
    <phoneticPr fontId="1" type="noConversion"/>
  </si>
  <si>
    <t>사원별</t>
    <phoneticPr fontId="1" type="noConversion"/>
  </si>
  <si>
    <t>각 사 시트의 경우</t>
    <phoneticPr fontId="1" type="noConversion"/>
  </si>
  <si>
    <t>B</t>
    <phoneticPr fontId="1" type="noConversion"/>
  </si>
  <si>
    <t>D</t>
    <phoneticPr fontId="1" type="noConversion"/>
  </si>
  <si>
    <t>흥국</t>
    <phoneticPr fontId="1" type="noConversion"/>
  </si>
  <si>
    <t>A</t>
    <phoneticPr fontId="1" type="noConversion"/>
  </si>
  <si>
    <t>마감실적리스트(장기)-202002251819.xlsx</t>
  </si>
  <si>
    <t>2S02990</t>
  </si>
  <si>
    <t>엠피라온</t>
    <phoneticPr fontId="1" type="noConversion"/>
  </si>
  <si>
    <t>글로벌금융-엠피여주</t>
  </si>
  <si>
    <t>글로벌금융-엠피방이</t>
  </si>
  <si>
    <t>글로벌금융-엠피레전드</t>
  </si>
  <si>
    <t>글로벌금융-엠피경기</t>
  </si>
  <si>
    <t>글로벌금융-엠피가온</t>
  </si>
  <si>
    <t>글로벌금융-엠피라온</t>
  </si>
  <si>
    <t>글로벌금융-엠피메트로</t>
  </si>
  <si>
    <t>글로벌금융-엠피상동</t>
  </si>
  <si>
    <t>글로벌금융-엠피성공</t>
  </si>
  <si>
    <t>글로벌금융-엠피송내</t>
  </si>
  <si>
    <t>글로벌금융-엠피의정부</t>
  </si>
  <si>
    <t>글로벌금융-엠피피스토스</t>
  </si>
  <si>
    <t>글로벌금융-엠피조은</t>
  </si>
  <si>
    <t>6.한화</t>
    <phoneticPr fontId="1" type="noConversion"/>
  </si>
  <si>
    <t>한화손보</t>
  </si>
  <si>
    <t>엠피가온</t>
  </si>
  <si>
    <t>메리츠화재</t>
    <phoneticPr fontId="1" type="noConversion"/>
  </si>
  <si>
    <t>농협손보</t>
    <phoneticPr fontId="1" type="noConversion"/>
  </si>
  <si>
    <t>흥국화재</t>
    <phoneticPr fontId="1" type="noConversion"/>
  </si>
  <si>
    <t>삼성화재</t>
    <phoneticPr fontId="1" type="noConversion"/>
  </si>
  <si>
    <t>현대해상</t>
    <phoneticPr fontId="1" type="noConversion"/>
  </si>
  <si>
    <t>db손보</t>
    <phoneticPr fontId="1" type="noConversion"/>
  </si>
  <si>
    <t>파일명</t>
    <phoneticPr fontId="1" type="noConversion"/>
  </si>
  <si>
    <t>생보스팟</t>
  </si>
  <si>
    <t>한화</t>
  </si>
  <si>
    <t>KB</t>
  </si>
  <si>
    <t>농협</t>
  </si>
  <si>
    <t>MG</t>
  </si>
  <si>
    <t>롯데</t>
  </si>
  <si>
    <t>DB</t>
  </si>
  <si>
    <t>현대</t>
  </si>
  <si>
    <t>메리츠</t>
  </si>
  <si>
    <t>흥국</t>
  </si>
  <si>
    <t>AIG</t>
  </si>
  <si>
    <t>삼성</t>
  </si>
  <si>
    <t>처브</t>
  </si>
  <si>
    <t>초기화시트</t>
    <phoneticPr fontId="1" type="noConversion"/>
  </si>
  <si>
    <t>자동차</t>
    <phoneticPr fontId="1" type="noConversion"/>
  </si>
  <si>
    <t>일반</t>
    <phoneticPr fontId="1" type="noConversion"/>
  </si>
  <si>
    <t>생보</t>
    <phoneticPr fontId="1" type="noConversion"/>
  </si>
  <si>
    <t>손보</t>
    <phoneticPr fontId="1" type="noConversion"/>
  </si>
  <si>
    <t>목록초기화</t>
    <phoneticPr fontId="1" type="noConversion"/>
  </si>
  <si>
    <t>시상파일의 좌측 각 시트를 초기화하는 매크로</t>
    <phoneticPr fontId="1" type="noConversion"/>
  </si>
  <si>
    <t>목록시트는 2row까지는 남겨둠</t>
    <phoneticPr fontId="1" type="noConversion"/>
  </si>
  <si>
    <t>마감실적리스트(장기)-202003261348.xlsx</t>
  </si>
  <si>
    <t>KB손보</t>
    <phoneticPr fontId="1" type="noConversion"/>
  </si>
  <si>
    <t>MG손보</t>
    <phoneticPr fontId="1" type="noConversion"/>
  </si>
  <si>
    <t>롯데손보</t>
    <phoneticPr fontId="1" type="noConversion"/>
  </si>
  <si>
    <t>마감실적리스트(장기)-202004241000.xlsx</t>
  </si>
  <si>
    <t>2S08005</t>
  </si>
  <si>
    <t>2S07930</t>
  </si>
  <si>
    <t>엠피여주대리점</t>
  </si>
  <si>
    <t>2S09087</t>
  </si>
  <si>
    <t>엠피제이엔제이</t>
  </si>
  <si>
    <t>마감실적리스트(장기)-202005271054.xlsx</t>
  </si>
  <si>
    <t>510039274A0937</t>
  </si>
  <si>
    <t>(주)글로벌금융판매(엠피제이엔제이)</t>
  </si>
  <si>
    <t>(주)글로벌금융판매 엠피제이엔제이</t>
  </si>
  <si>
    <t>프라임</t>
    <phoneticPr fontId="1" type="noConversion"/>
  </si>
  <si>
    <t>글로벌금융_엠피제이엔제이</t>
  </si>
  <si>
    <t>(주)글로벌금융판매엠피제이엔제이</t>
  </si>
  <si>
    <t xml:space="preserve"> ←선택</t>
    <phoneticPr fontId="1" type="noConversion"/>
  </si>
  <si>
    <t>위 열린 파일의 activecell컬럼을 변환하기</t>
    <phoneticPr fontId="1" type="noConversion"/>
  </si>
  <si>
    <t>위 선택영역에 표준서식적용</t>
    <phoneticPr fontId="1" type="noConversion"/>
  </si>
  <si>
    <t>제목행 바로 아래 더블클릭하면 위치가져옴</t>
    <phoneticPr fontId="1" type="noConversion"/>
  </si>
  <si>
    <t>마감실적리스트(장기)-202006251151.xlsx</t>
    <phoneticPr fontId="1" type="noConversion"/>
  </si>
  <si>
    <t>모집사용인</t>
  </si>
  <si>
    <t>변경내역1</t>
  </si>
  <si>
    <t>변경내역2</t>
  </si>
  <si>
    <t>변경내역3</t>
  </si>
  <si>
    <t>변경내역4</t>
  </si>
  <si>
    <t>마감실적리스트(장기)-202007241348.xlsx</t>
    <phoneticPr fontId="1" type="noConversion"/>
  </si>
  <si>
    <t>해지</t>
  </si>
  <si>
    <t>마감실적리스트(장기)-202008260859.xlsx</t>
    <phoneticPr fontId="1" type="noConversion"/>
  </si>
  <si>
    <t>마감실적리스트(장기)-202009261800.xlsx</t>
  </si>
  <si>
    <t>A</t>
  </si>
  <si>
    <t>B</t>
  </si>
  <si>
    <t>마감실적리스트(장기)-202010261221.xlsx</t>
  </si>
  <si>
    <t>차이건 일괄 변경</t>
    <phoneticPr fontId="1" type="noConversion"/>
  </si>
  <si>
    <t>마감실적리스트(장기)-202011261225.xlsx</t>
    <phoneticPr fontId="1" type="noConversion"/>
  </si>
  <si>
    <t>하나</t>
    <phoneticPr fontId="1" type="noConversion"/>
  </si>
  <si>
    <t>마감실적리스트(장기)-202012231837.xlsx</t>
  </si>
  <si>
    <t>n열에 나타남</t>
    <phoneticPr fontId="1" type="noConversion"/>
  </si>
  <si>
    <t>마감실적리스트(장기)-202101261220.xlsx</t>
  </si>
  <si>
    <t>정산</t>
    <phoneticPr fontId="1" type="noConversion"/>
  </si>
  <si>
    <t>2행</t>
  </si>
  <si>
    <t>지점사원</t>
  </si>
  <si>
    <t>e:\글로벌백업(180329)\04.수수료작업\202012수수료\</t>
  </si>
  <si>
    <t>WORKSHEET</t>
  </si>
  <si>
    <t>마감실적리스트(장기)-202102251520.xlsx</t>
  </si>
  <si>
    <t>aig손보</t>
    <phoneticPr fontId="1" type="noConversion"/>
  </si>
  <si>
    <t>2S02058</t>
  </si>
  <si>
    <t>엠피조은</t>
  </si>
  <si>
    <t>각 사별 fc시상 합계컬럼 지정이 맞는지 체크</t>
    <phoneticPr fontId="1" type="noConversion"/>
  </si>
  <si>
    <t>마감실적리스트(장기)-202103260523.xlsx</t>
    <phoneticPr fontId="1" type="noConversion"/>
  </si>
  <si>
    <t>전담당</t>
  </si>
  <si>
    <t>경로</t>
  </si>
  <si>
    <t>기타1</t>
  </si>
  <si>
    <t>2S05327</t>
  </si>
  <si>
    <t>아이리치</t>
    <phoneticPr fontId="1" type="noConversion"/>
  </si>
  <si>
    <t>하나손보</t>
    <phoneticPr fontId="1" type="noConversion"/>
  </si>
  <si>
    <t>증권번호</t>
    <phoneticPr fontId="1" type="noConversion"/>
  </si>
  <si>
    <t xml:space="preserve">(주)글로벌금융판매 엠피메트로        </t>
  </si>
  <si>
    <t xml:space="preserve">글로벌금융엠피피스토스                 </t>
  </si>
  <si>
    <t xml:space="preserve">(주)글로벌금융판매 엠피의정부        </t>
  </si>
  <si>
    <t xml:space="preserve">(주)글로벌금융판매엠피성공            </t>
  </si>
  <si>
    <t xml:space="preserve">(주)글로벌금융판매 엠피상동           </t>
  </si>
  <si>
    <t xml:space="preserve">(주)글로벌금융판매 엠피조은           </t>
  </si>
  <si>
    <t xml:space="preserve">(주)글로벌금융판매엠피송내            </t>
  </si>
  <si>
    <t xml:space="preserve">(주)글로벌금융판매 엠피레전드        </t>
  </si>
  <si>
    <t xml:space="preserve">(주)글로벌금융판매 엠피가온           </t>
  </si>
  <si>
    <t xml:space="preserve">(주)글로벌금융판매엠피여주            </t>
  </si>
  <si>
    <t>7.kb</t>
    <phoneticPr fontId="1" type="noConversion"/>
  </si>
  <si>
    <t>4.현대</t>
  </si>
  <si>
    <t>AE1</t>
    <phoneticPr fontId="1" type="noConversion"/>
  </si>
  <si>
    <t>L1</t>
    <phoneticPr fontId="1" type="noConversion"/>
  </si>
  <si>
    <t>GA수수료</t>
  </si>
  <si>
    <t>D:\</t>
    <phoneticPr fontId="1" type="noConversion"/>
  </si>
  <si>
    <t>J1</t>
    <phoneticPr fontId="1" type="noConversion"/>
  </si>
  <si>
    <t>마감실적리스트(장기)-202105261605.xlsx</t>
  </si>
  <si>
    <t>마감실적리스트(장기)-202104241602.xlsx</t>
  </si>
  <si>
    <t>e:\글로벌백업(180329)\04.수수료작업\202103수수료\</t>
  </si>
  <si>
    <t>e:\글로벌백업(180329)\04.수수료작업\202102수수료\</t>
  </si>
  <si>
    <t>e:\글로벌백업(180329)\04.수수료작업\202101수수료\</t>
  </si>
  <si>
    <t>E:\글로벌백업(180329)\04.수수료작업\202104수수료\</t>
    <phoneticPr fontId="1" type="noConversion"/>
  </si>
  <si>
    <t>본부</t>
  </si>
  <si>
    <t>피보험자 생년월일/성별</t>
  </si>
  <si>
    <t>계약자 생년월일/성별</t>
  </si>
  <si>
    <t>구 ibss컬럼</t>
    <phoneticPr fontId="1" type="noConversion"/>
  </si>
  <si>
    <t>신 ibss컬럼</t>
    <phoneticPr fontId="1" type="noConversion"/>
  </si>
  <si>
    <t>변경내역3</t>
    <phoneticPr fontId="1" type="noConversion"/>
  </si>
  <si>
    <t>변경내역4</t>
    <phoneticPr fontId="1" type="noConversion"/>
  </si>
  <si>
    <t>팀ID</t>
    <phoneticPr fontId="1" type="noConversion"/>
  </si>
  <si>
    <t>ga수수료</t>
    <phoneticPr fontId="1" type="noConversion"/>
  </si>
  <si>
    <t>포맷</t>
    <phoneticPr fontId="1" type="noConversion"/>
  </si>
  <si>
    <t>신</t>
    <phoneticPr fontId="1" type="noConversion"/>
  </si>
  <si>
    <t>구</t>
    <phoneticPr fontId="1" type="noConversion"/>
  </si>
  <si>
    <t>삭제할 컬럼(구양식)</t>
    <phoneticPr fontId="1" type="noConversion"/>
  </si>
  <si>
    <t>GLAD</t>
  </si>
  <si>
    <t>글로벌 글래드총괄</t>
  </si>
  <si>
    <t>220</t>
  </si>
  <si>
    <t>240</t>
  </si>
  <si>
    <t>글래드상동</t>
  </si>
  <si>
    <t>12</t>
  </si>
  <si>
    <t>글래드성공</t>
  </si>
  <si>
    <t>성공1팀</t>
  </si>
  <si>
    <t>지점ID</t>
    <phoneticPr fontId="1" type="noConversion"/>
  </si>
  <si>
    <t>E:\글로벌백업(180329)\04.수수료작업\202105수수료\</t>
    <phoneticPr fontId="1" type="noConversion"/>
  </si>
  <si>
    <t>마감실적리스트(장기)-202106232030.xlsx</t>
  </si>
  <si>
    <t>김정자</t>
  </si>
  <si>
    <t>11</t>
  </si>
  <si>
    <t>E:\글로벌백업(180329)\04.수수료작업\202106수수료\</t>
    <phoneticPr fontId="1" type="noConversion"/>
  </si>
  <si>
    <t>마감실적리스트(장기)-202107240606.xlsx</t>
  </si>
  <si>
    <t>글래드피스토스</t>
  </si>
  <si>
    <t>글래드의정부</t>
  </si>
  <si>
    <t>김옥순</t>
  </si>
  <si>
    <t>6</t>
  </si>
  <si>
    <t>마감실적리스트(장기)-202108240537.xlsx</t>
  </si>
  <si>
    <t>E:\글로벌백업(180329)\04.수수료작업\202107수수료\</t>
    <phoneticPr fontId="1" type="noConversion"/>
  </si>
  <si>
    <t>202107 KJ시상정산.xlsx</t>
  </si>
  <si>
    <t>20210731</t>
  </si>
  <si>
    <t>202107 KJ시상정산.xlsx</t>
    <phoneticPr fontId="1" type="noConversion"/>
  </si>
  <si>
    <t>2021-07-01</t>
  </si>
  <si>
    <t>김혜선</t>
  </si>
  <si>
    <t>3</t>
  </si>
  <si>
    <t>안혜선</t>
  </si>
  <si>
    <t>글래드가온</t>
  </si>
  <si>
    <t>송유자</t>
  </si>
  <si>
    <t>조성임</t>
  </si>
  <si>
    <t>이경주</t>
  </si>
  <si>
    <t>홍미정</t>
  </si>
  <si>
    <t>문연우</t>
  </si>
  <si>
    <t>58행</t>
  </si>
  <si>
    <t>59행</t>
  </si>
  <si>
    <t>78행</t>
  </si>
  <si>
    <t>79행</t>
  </si>
  <si>
    <t>92행</t>
  </si>
  <si>
    <t>110행</t>
  </si>
  <si>
    <t>113행</t>
  </si>
  <si>
    <t>120행</t>
  </si>
  <si>
    <t>d</t>
  </si>
  <si>
    <t>&lt;0</t>
    <phoneticPr fontId="1" type="noConversion"/>
  </si>
  <si>
    <t>글래드송내</t>
  </si>
  <si>
    <t>송내1팀</t>
  </si>
  <si>
    <t>윤상례</t>
  </si>
  <si>
    <t>감액</t>
  </si>
  <si>
    <t>1</t>
  </si>
  <si>
    <t>박현옥</t>
  </si>
  <si>
    <t>230</t>
  </si>
  <si>
    <t>실효</t>
  </si>
  <si>
    <t>1팀</t>
  </si>
  <si>
    <t>2</t>
  </si>
  <si>
    <t>2021-07-31</t>
  </si>
  <si>
    <t>김희재</t>
  </si>
  <si>
    <t>4</t>
  </si>
  <si>
    <t>김진이</t>
  </si>
  <si>
    <t>2021-03-22</t>
  </si>
  <si>
    <t>20210831_F_37_202107_현대해상_기본_배포.xlsx</t>
  </si>
  <si>
    <t>보험계약번호</t>
  </si>
  <si>
    <t>보험계약번호</t>
    <phoneticPr fontId="1" type="noConversion"/>
  </si>
  <si>
    <t>O6</t>
    <phoneticPr fontId="1" type="noConversion"/>
  </si>
  <si>
    <t>an6</t>
    <phoneticPr fontId="1" type="noConversion"/>
  </si>
  <si>
    <t>L02137106897</t>
  </si>
  <si>
    <t>L02137567897</t>
  </si>
  <si>
    <t>L02138915695</t>
  </si>
  <si>
    <t>L02140773398</t>
  </si>
  <si>
    <t>L02137895539</t>
  </si>
  <si>
    <t>L02137159535</t>
  </si>
  <si>
    <t>L02137318789</t>
  </si>
  <si>
    <t>L02137322035</t>
  </si>
  <si>
    <t>L02137667498</t>
  </si>
  <si>
    <t>L02140107794</t>
  </si>
  <si>
    <t>L02139840703</t>
  </si>
  <si>
    <t>L02140107619</t>
  </si>
  <si>
    <t>L02141397440</t>
  </si>
  <si>
    <t>L02138078728</t>
  </si>
  <si>
    <t>L02140060626</t>
  </si>
  <si>
    <t>L02136439438</t>
  </si>
  <si>
    <t>L02136704986</t>
  </si>
  <si>
    <t>L02138821116</t>
  </si>
  <si>
    <t>L02139875694</t>
  </si>
  <si>
    <t>L02141069823</t>
  </si>
  <si>
    <t>L02140464512</t>
  </si>
  <si>
    <t>L02140462266</t>
  </si>
  <si>
    <t>L02139852408</t>
  </si>
  <si>
    <t>L02139681154</t>
  </si>
  <si>
    <t>L02137094515</t>
  </si>
  <si>
    <t>L02137989135</t>
  </si>
  <si>
    <t>L02137176013</t>
  </si>
  <si>
    <t>L02140881081</t>
  </si>
  <si>
    <t>L02140873187</t>
  </si>
  <si>
    <t>L02136248817</t>
  </si>
  <si>
    <t>L02136294156</t>
  </si>
  <si>
    <t>L02137175444</t>
  </si>
  <si>
    <t>L02140048496</t>
  </si>
  <si>
    <t>L02140048935</t>
  </si>
  <si>
    <t>L02136213870</t>
  </si>
  <si>
    <t>L02136313066</t>
  </si>
  <si>
    <t>L02138122073</t>
  </si>
  <si>
    <t>L02138243598</t>
  </si>
  <si>
    <t>L02139697132</t>
  </si>
  <si>
    <t>L02139698648</t>
  </si>
  <si>
    <t>L02138720403</t>
  </si>
  <si>
    <t>L02139399812</t>
  </si>
  <si>
    <t>L02140901143</t>
  </si>
  <si>
    <t>L02137656352</t>
  </si>
  <si>
    <t>L02137499285</t>
  </si>
  <si>
    <t>L02141029323</t>
  </si>
  <si>
    <t>L02139887075</t>
  </si>
  <si>
    <t>L02137096074</t>
  </si>
  <si>
    <t>L02138898690</t>
  </si>
  <si>
    <t>L02139141455</t>
  </si>
  <si>
    <t>L02138186081</t>
  </si>
  <si>
    <t>L02137864726</t>
  </si>
  <si>
    <t>L02138872864</t>
  </si>
  <si>
    <t>L02137866629</t>
  </si>
  <si>
    <t>L02138187325</t>
  </si>
  <si>
    <t>L02138212277</t>
  </si>
  <si>
    <t>L02138878066</t>
  </si>
  <si>
    <t>L02136716254</t>
  </si>
  <si>
    <t>L02136374376</t>
  </si>
  <si>
    <t>L02139944190</t>
  </si>
  <si>
    <t>L02136580669</t>
  </si>
  <si>
    <t>L02136709035</t>
  </si>
  <si>
    <t>L02136689327</t>
  </si>
  <si>
    <t>L02138969185</t>
  </si>
  <si>
    <t>L02136475452</t>
  </si>
  <si>
    <t>L02137141598</t>
  </si>
  <si>
    <t>L02137702636</t>
  </si>
  <si>
    <t>L02137704787</t>
  </si>
  <si>
    <t>L02138074820</t>
  </si>
  <si>
    <t>L02140746412</t>
  </si>
  <si>
    <t>L02139591595</t>
  </si>
  <si>
    <t>L02139592075</t>
  </si>
  <si>
    <t>L02140876651</t>
  </si>
  <si>
    <t>L02141016709</t>
  </si>
  <si>
    <t>L02141087683</t>
  </si>
  <si>
    <t>L02136425242</t>
  </si>
  <si>
    <t>평가실적
(시상지급&amp;태아보정)</t>
  </si>
  <si>
    <t>L02138989447</t>
  </si>
  <si>
    <t>L02138992430</t>
  </si>
  <si>
    <t>L02138026974</t>
  </si>
  <si>
    <t>L02114379180</t>
  </si>
  <si>
    <t>비교1값</t>
    <phoneticPr fontId="1" type="noConversion"/>
  </si>
  <si>
    <t>비교2값</t>
    <phoneticPr fontId="1" type="noConversion"/>
  </si>
  <si>
    <t>차이</t>
    <phoneticPr fontId="1" type="noConversion"/>
  </si>
  <si>
    <t>차이</t>
    <phoneticPr fontId="1" type="noConversion"/>
  </si>
  <si>
    <t>L02114348283</t>
  </si>
  <si>
    <t>L02114350859</t>
  </si>
  <si>
    <t>L02114413523</t>
  </si>
  <si>
    <t>L02102315505</t>
  </si>
  <si>
    <t>L02102472280</t>
  </si>
  <si>
    <t>L02107747138</t>
  </si>
  <si>
    <t>L02110346962</t>
  </si>
  <si>
    <t>L02120722491</t>
  </si>
  <si>
    <t>L02120845623</t>
  </si>
  <si>
    <t>L02128495473</t>
  </si>
  <si>
    <t>오은정</t>
  </si>
  <si>
    <t>2021-05-26</t>
  </si>
  <si>
    <t>현대해상</t>
  </si>
  <si>
    <t>무배당퍼펙트플러스종합보험(연만기갱신형)(Hi2101~) 1,2종(납입면제일반형, 납입면제확장형)</t>
  </si>
  <si>
    <t>21-134F</t>
  </si>
  <si>
    <t>194</t>
  </si>
  <si>
    <t>오정남</t>
  </si>
  <si>
    <t>670115 / 여</t>
  </si>
  <si>
    <t>2041-05-26</t>
  </si>
  <si>
    <t>글래드여주</t>
  </si>
  <si>
    <t>여주</t>
  </si>
  <si>
    <t>이성구</t>
  </si>
  <si>
    <t>2021-04-15</t>
  </si>
  <si>
    <t>무배당굿앤굿어린이종합보험Q(Hi2004~10)</t>
  </si>
  <si>
    <t>21-200A</t>
  </si>
  <si>
    <t>249</t>
  </si>
  <si>
    <t>태아</t>
  </si>
  <si>
    <t>000000 / 기타</t>
  </si>
  <si>
    <t>박준우</t>
  </si>
  <si>
    <t>990404 / 남</t>
  </si>
  <si>
    <t>2041-04-15</t>
  </si>
  <si>
    <t>박진숙</t>
  </si>
  <si>
    <t>2021-04-14</t>
  </si>
  <si>
    <t>무배당실손의료비보장보험(갱신형)(Hi2101~)기본납입형플랜</t>
  </si>
  <si>
    <t>21-209G</t>
  </si>
  <si>
    <t>실손</t>
  </si>
  <si>
    <t>20</t>
  </si>
  <si>
    <t>180</t>
  </si>
  <si>
    <t>최운영</t>
  </si>
  <si>
    <t>760127 / 여</t>
  </si>
  <si>
    <t>2036-04-14</t>
  </si>
  <si>
    <t>성공지점</t>
  </si>
  <si>
    <t>무배당간편한333건강보험(세만기형)(Hi2103)</t>
  </si>
  <si>
    <t>21-226A</t>
  </si>
  <si>
    <t>취소</t>
  </si>
  <si>
    <t>300</t>
  </si>
  <si>
    <t>이치형</t>
  </si>
  <si>
    <t>560329 / 남</t>
  </si>
  <si>
    <t>2046-03-22</t>
  </si>
  <si>
    <t>정인란</t>
  </si>
  <si>
    <t>2021-03-16</t>
  </si>
  <si>
    <t>무배당뉴하이카운전자상해보험(Hi2101~) 1,2종(연만기, 세만기) 기본플랜, 간편플랜</t>
  </si>
  <si>
    <t>21-230S</t>
  </si>
  <si>
    <t>박지선</t>
  </si>
  <si>
    <t>730920 / 여</t>
  </si>
  <si>
    <t>최영</t>
  </si>
  <si>
    <t>660319 / 남</t>
  </si>
  <si>
    <t>2041-03-16</t>
  </si>
  <si>
    <t>국민383690-73-896303</t>
  </si>
  <si>
    <t>장은정</t>
  </si>
  <si>
    <t>810901 / 여</t>
  </si>
  <si>
    <t>김상천</t>
  </si>
  <si>
    <t>2021-02-23</t>
  </si>
  <si>
    <t>200</t>
  </si>
  <si>
    <t>이경남</t>
  </si>
  <si>
    <t>580217 / 여</t>
  </si>
  <si>
    <t>2041-02-23</t>
  </si>
  <si>
    <t>2021-02-05</t>
  </si>
  <si>
    <t>오아름</t>
  </si>
  <si>
    <t>800506 / 여</t>
  </si>
  <si>
    <t>2041-02-05</t>
  </si>
  <si>
    <t>김선옥</t>
  </si>
  <si>
    <t>2021-01-14</t>
  </si>
  <si>
    <t>170</t>
  </si>
  <si>
    <t>김경서</t>
  </si>
  <si>
    <t>660126 / 남</t>
  </si>
  <si>
    <t>2041-01-14</t>
  </si>
  <si>
    <t>2022-01-14</t>
  </si>
  <si>
    <t>피스토스</t>
  </si>
  <si>
    <t>글로벌금융</t>
  </si>
  <si>
    <t>20210831_F_39_202107_현대해상_FC본사시상(영업활성화)_배포.xlsx</t>
  </si>
  <si>
    <t>A161</t>
  </si>
  <si>
    <t>영업활성화 시상 건별(7월업적)</t>
    <phoneticPr fontId="1" type="noConversion"/>
  </si>
  <si>
    <t>메리츠</t>
    <phoneticPr fontId="1" type="noConversion"/>
  </si>
  <si>
    <t>○CY2021 7월 조직별 시책 결과</t>
  </si>
  <si>
    <t>○CY2021 5월 인보험 조직별시책 결과</t>
  </si>
  <si>
    <t>66행</t>
  </si>
  <si>
    <t>○CY2021 4월 인보험 조직별시책 결과</t>
  </si>
  <si>
    <t>67행</t>
  </si>
  <si>
    <t>71행</t>
  </si>
  <si>
    <t>○CY2021 3월 인보험 결과</t>
  </si>
  <si>
    <t>72행</t>
  </si>
  <si>
    <t>77행</t>
  </si>
  <si>
    <t>○CY2021 2월 인보험 조직구간별 결과</t>
  </si>
  <si>
    <t>순번사용인</t>
  </si>
  <si>
    <t>83행</t>
  </si>
  <si>
    <t>○CY2021 1월 조직구간별 시책결과</t>
  </si>
  <si>
    <t>84행</t>
  </si>
  <si>
    <t>90행</t>
  </si>
  <si>
    <t>12월 환수-전략</t>
  </si>
  <si>
    <t>91행</t>
  </si>
  <si>
    <t>100행</t>
  </si>
  <si>
    <t>12월 환수-본부</t>
  </si>
  <si>
    <t>101행</t>
  </si>
  <si>
    <t>2월 본사시상 환수</t>
  </si>
  <si>
    <t>111행</t>
  </si>
  <si>
    <t>임명산글래드가온</t>
  </si>
  <si>
    <t>115행</t>
  </si>
  <si>
    <t>3월본사 시상환수</t>
  </si>
  <si>
    <t>116행</t>
  </si>
  <si>
    <t>본사 시상</t>
  </si>
  <si>
    <t>121행</t>
  </si>
  <si>
    <t>지점</t>
    <phoneticPr fontId="68" type="noConversion"/>
  </si>
  <si>
    <t>사원</t>
    <phoneticPr fontId="68" type="noConversion"/>
  </si>
  <si>
    <t>본점시상
인정보험료</t>
    <phoneticPr fontId="1" type="noConversion"/>
  </si>
  <si>
    <t>시상금</t>
    <phoneticPr fontId="1" type="noConversion"/>
  </si>
  <si>
    <t>이병식</t>
  </si>
  <si>
    <t>6AAAP-113838</t>
  </si>
  <si>
    <t>6AAAX-14710</t>
  </si>
  <si>
    <t>6AACC-26202</t>
  </si>
  <si>
    <t>6AACC-26641</t>
  </si>
  <si>
    <t>6AACC-27538</t>
  </si>
  <si>
    <t>6AACC-28138</t>
  </si>
  <si>
    <t>6AAAU-2528</t>
  </si>
  <si>
    <t>김승희</t>
  </si>
  <si>
    <t>6AAAQ-15026</t>
  </si>
  <si>
    <t>6AAAH-25772</t>
  </si>
  <si>
    <t>6AAAY-21512</t>
  </si>
  <si>
    <t>6AACC-28493</t>
  </si>
  <si>
    <t>6AACC-30282</t>
  </si>
  <si>
    <t>6AAES-4425</t>
  </si>
  <si>
    <t>임명산</t>
  </si>
  <si>
    <t>6AAAH-25002</t>
  </si>
  <si>
    <t>6AAAY-18817</t>
  </si>
  <si>
    <t>6AAEC-26669</t>
  </si>
  <si>
    <t>6AAEG-15018</t>
  </si>
  <si>
    <t>6AAAP-116319</t>
  </si>
  <si>
    <t>6AAEX-2661</t>
  </si>
  <si>
    <t>6AAEW-10380</t>
  </si>
  <si>
    <t>임서윤</t>
  </si>
  <si>
    <t>6AAEW-10132</t>
  </si>
  <si>
    <t>글래드</t>
  </si>
  <si>
    <t>김묘정</t>
  </si>
  <si>
    <t>6AAAY-18571</t>
  </si>
  <si>
    <t>6AAED-19115</t>
  </si>
  <si>
    <t>6AAAK-28323</t>
  </si>
  <si>
    <t>6AAAK-28724</t>
  </si>
  <si>
    <t>6AAAK-29113</t>
  </si>
  <si>
    <t>6AAEC-26093</t>
  </si>
  <si>
    <t>6AACC-25729</t>
  </si>
  <si>
    <t>6AACF-54093</t>
  </si>
  <si>
    <t>6AAEG-15293</t>
  </si>
  <si>
    <t>6AAEG-15336</t>
  </si>
  <si>
    <t>6AAEG-16181</t>
  </si>
  <si>
    <t>6AACC-27447</t>
  </si>
  <si>
    <t>6AAEG-16188</t>
  </si>
  <si>
    <t>6AACF-57115</t>
  </si>
  <si>
    <t>6AAED-22177</t>
  </si>
  <si>
    <t>6AAED-22186</t>
  </si>
  <si>
    <t>6AAED-22190</t>
  </si>
  <si>
    <t>6AAED-22201</t>
  </si>
  <si>
    <t>6AAED-22207</t>
  </si>
  <si>
    <t>6AAEG-16477</t>
  </si>
  <si>
    <t>6AACF-58117</t>
  </si>
  <si>
    <t>6AACF-58546</t>
  </si>
  <si>
    <t>6AACF-59740</t>
  </si>
  <si>
    <t>6AAES-4085</t>
  </si>
  <si>
    <t>6AAEG-17833</t>
  </si>
  <si>
    <t>고경숙</t>
  </si>
  <si>
    <t>6AAEW-9888</t>
  </si>
  <si>
    <t>6AAEW-11205</t>
  </si>
  <si>
    <t>6AACC-29076</t>
  </si>
  <si>
    <t>6AAES-4050</t>
  </si>
  <si>
    <t>6AAED-24377</t>
  </si>
  <si>
    <t>6AACF-51609</t>
  </si>
  <si>
    <t>6AAAK-30800</t>
  </si>
  <si>
    <t>6AAAY-20347</t>
  </si>
  <si>
    <t>6AAAK-32133</t>
  </si>
  <si>
    <t>6AAEX-591</t>
  </si>
  <si>
    <t>6AAAH-26802</t>
  </si>
  <si>
    <t>6AAAP-121132</t>
  </si>
  <si>
    <t>6AAAW-1331</t>
  </si>
  <si>
    <t>6AAAX-16609</t>
  </si>
  <si>
    <t>신현애</t>
  </si>
  <si>
    <t>6AAAP-116714</t>
  </si>
  <si>
    <t>6AAAP-124397</t>
  </si>
  <si>
    <t>6AABC-2152</t>
  </si>
  <si>
    <t>6AACG-485</t>
  </si>
  <si>
    <t>임영신</t>
  </si>
  <si>
    <t>6AAAU-2158</t>
  </si>
  <si>
    <t>6AAAY-18375</t>
  </si>
  <si>
    <t>6AAAK-28197</t>
  </si>
  <si>
    <t>6AACF-49582</t>
  </si>
  <si>
    <t>6AACF-49592</t>
  </si>
  <si>
    <t>6AAEX-227</t>
  </si>
  <si>
    <t>6AAEX-228</t>
  </si>
  <si>
    <t>6AAAH-26694</t>
  </si>
  <si>
    <t>6AACF-58096</t>
  </si>
  <si>
    <t>김순자</t>
  </si>
  <si>
    <t>6AACF-57541</t>
  </si>
  <si>
    <t>고유미</t>
  </si>
  <si>
    <t>6AAAX-15983</t>
  </si>
  <si>
    <t>6AAEC-28580</t>
  </si>
  <si>
    <t>이경화</t>
  </si>
  <si>
    <t>6AABF-7752</t>
  </si>
  <si>
    <t>6AAAH-27729</t>
  </si>
  <si>
    <t>6AAEE-2823</t>
  </si>
  <si>
    <t>이경옥</t>
  </si>
  <si>
    <t>6AAAH-25408</t>
  </si>
  <si>
    <t>6AAAQ-15195</t>
  </si>
  <si>
    <t>6AAAH-26017</t>
  </si>
  <si>
    <t>6AAAH-26019</t>
  </si>
  <si>
    <t>6AAAQ-15303</t>
  </si>
  <si>
    <t>6AAAQ-15306</t>
  </si>
  <si>
    <t>6AAEC-27116</t>
  </si>
  <si>
    <t>6AAAQ-15772</t>
  </si>
  <si>
    <t>6AAAH-26851</t>
  </si>
  <si>
    <t>6AAEC-28036</t>
  </si>
  <si>
    <t>6AAEC-29260</t>
  </si>
  <si>
    <t>6AAAQ-16972</t>
  </si>
  <si>
    <t>6AAAQ-17014</t>
  </si>
  <si>
    <t>손명애</t>
  </si>
  <si>
    <t>6AAAY-18496</t>
  </si>
  <si>
    <t>6AAAK-29786</t>
  </si>
  <si>
    <t>6AAEG-15077</t>
  </si>
  <si>
    <t>6AAEG-15241</t>
  </si>
  <si>
    <t>글래드조은</t>
  </si>
  <si>
    <t>김명주</t>
  </si>
  <si>
    <t>6AAEC-26919</t>
  </si>
  <si>
    <t>6AAEC-29003</t>
  </si>
  <si>
    <t>김민화</t>
  </si>
  <si>
    <t>6AABG-5455</t>
  </si>
  <si>
    <t>6AAAX-16113</t>
  </si>
  <si>
    <t>6AAAX-17276</t>
  </si>
  <si>
    <t>6AAED-23353</t>
  </si>
  <si>
    <t>6AAAX-17732</t>
  </si>
  <si>
    <t>6AABG-6629</t>
  </si>
  <si>
    <t>손수영</t>
  </si>
  <si>
    <t>6AAAK-28819</t>
  </si>
  <si>
    <t>6AAEC-25609</t>
  </si>
  <si>
    <t>6AAEC-25649</t>
  </si>
  <si>
    <t>노희경</t>
  </si>
  <si>
    <t>6AAED-19134</t>
  </si>
  <si>
    <t>6AAEW-388</t>
  </si>
  <si>
    <t>6AAAK-28577</t>
  </si>
  <si>
    <t>6AAAP-111074</t>
  </si>
  <si>
    <t>6AAAH-25334</t>
  </si>
  <si>
    <t>6AAEW-4332</t>
  </si>
  <si>
    <t>6AAEW-4351</t>
  </si>
  <si>
    <t>6AABE-9102</t>
  </si>
  <si>
    <t>6AAEG-15351</t>
  </si>
  <si>
    <t>6AAAP-118763</t>
  </si>
  <si>
    <t>6AACF-55216</t>
  </si>
  <si>
    <t>6AAEX-2597</t>
  </si>
  <si>
    <t>6AAEW-8983</t>
  </si>
  <si>
    <t>6AAAY-21611</t>
  </si>
  <si>
    <t>6AAED-23226</t>
  </si>
  <si>
    <t>6AAED-23227</t>
  </si>
  <si>
    <t>6AAAK-33850</t>
  </si>
  <si>
    <t>6AACF-60712</t>
  </si>
  <si>
    <t>윤숙미</t>
  </si>
  <si>
    <t>6AAAK-28236</t>
  </si>
  <si>
    <t>6AAAP-112128</t>
  </si>
  <si>
    <t>6AAAP-113394</t>
  </si>
  <si>
    <t>6AAAY-19357</t>
  </si>
  <si>
    <t>6AACF-52241</t>
  </si>
  <si>
    <t>6AAAT-1521</t>
  </si>
  <si>
    <t>김종민</t>
  </si>
  <si>
    <t>6AAAP-110035</t>
  </si>
  <si>
    <t>6AAES-1994</t>
  </si>
  <si>
    <t>6AABA-11136</t>
  </si>
  <si>
    <t>6AAEC-26373</t>
  </si>
  <si>
    <t>6AAAK-31841</t>
  </si>
  <si>
    <t>차은주</t>
  </si>
  <si>
    <t>6AAAP-120735</t>
  </si>
  <si>
    <t>글래드경기</t>
  </si>
  <si>
    <t>조정호</t>
  </si>
  <si>
    <t>6AAAP-109977</t>
  </si>
  <si>
    <t>유창백</t>
  </si>
  <si>
    <t>6AAAK-31658</t>
  </si>
  <si>
    <t>강명희</t>
  </si>
  <si>
    <t>6AAAY-18318</t>
  </si>
  <si>
    <t>6AACC-23194</t>
  </si>
  <si>
    <t>6AABF-7176</t>
  </si>
  <si>
    <t>6AADX-13188</t>
  </si>
  <si>
    <t>6AACF-50853</t>
  </si>
  <si>
    <t>6AACC-24610</t>
  </si>
  <si>
    <t>6AACF-52598</t>
  </si>
  <si>
    <t>6AACF-56551</t>
  </si>
  <si>
    <t>6AACF-56729</t>
  </si>
  <si>
    <t>6AACC-28281</t>
  </si>
  <si>
    <t>6AAEW-9862</t>
  </si>
  <si>
    <t>6AAEW-9864</t>
  </si>
  <si>
    <t>6AACC-29213</t>
  </si>
  <si>
    <t>6AAEW-12360</t>
  </si>
  <si>
    <t>6AAEW-13098</t>
  </si>
  <si>
    <t>6AAEW-13380</t>
  </si>
  <si>
    <t>6AAEW-13528</t>
  </si>
  <si>
    <t>6AAEW-13537</t>
  </si>
  <si>
    <t>6AAEW-13900</t>
  </si>
  <si>
    <t>6AAAY-18847</t>
  </si>
  <si>
    <t>6AAEX-657</t>
  </si>
  <si>
    <t>6AAEX-684</t>
  </si>
  <si>
    <t>6AACC-25104</t>
  </si>
  <si>
    <t>6AACF-57047</t>
  </si>
  <si>
    <t>6AAAP-128414</t>
  </si>
  <si>
    <t>6AAAP-132926</t>
  </si>
  <si>
    <t>6AAAP-134619</t>
  </si>
  <si>
    <t>이선영</t>
  </si>
  <si>
    <t>6AACC-29473</t>
  </si>
  <si>
    <t>6AAAU-2224</t>
  </si>
  <si>
    <t>6AADX-14123</t>
  </si>
  <si>
    <t>6AAEG-15837</t>
  </si>
  <si>
    <t>6AAAK-31860</t>
  </si>
  <si>
    <t>6AAAP-111960</t>
  </si>
  <si>
    <t>6AAAP-111965</t>
  </si>
  <si>
    <t>6AAAP-111967</t>
  </si>
  <si>
    <t>6AACF-50770</t>
  </si>
  <si>
    <t>6AABE-9249</t>
  </si>
  <si>
    <t>6AAAP-125783</t>
  </si>
  <si>
    <t>6AAAP-125806</t>
  </si>
  <si>
    <t>6AAAP-125808</t>
  </si>
  <si>
    <t>6AABE-9974</t>
  </si>
  <si>
    <t>6AACF-59318</t>
  </si>
  <si>
    <t>6AAED-19013</t>
  </si>
  <si>
    <t>6AAED-19757</t>
  </si>
  <si>
    <t>6AAAK-29949</t>
  </si>
  <si>
    <t>6AACF-52569</t>
  </si>
  <si>
    <t>6AAAP-121205</t>
  </si>
  <si>
    <t>6AAEW-7255</t>
  </si>
  <si>
    <t>6AAEW-7847</t>
  </si>
  <si>
    <t>6AABG-6007</t>
  </si>
  <si>
    <t>6AAES-3131</t>
  </si>
  <si>
    <t>6AAAK-32372</t>
  </si>
  <si>
    <t>송정희</t>
  </si>
  <si>
    <t>6AAED-21538</t>
  </si>
  <si>
    <t>6AAEC-31117</t>
  </si>
  <si>
    <t>이복종</t>
  </si>
  <si>
    <t>6AAAY-18914</t>
  </si>
  <si>
    <t>6AAEC-25728</t>
  </si>
  <si>
    <t>6AACC-24899</t>
  </si>
  <si>
    <t>6AACF-52779</t>
  </si>
  <si>
    <t>6AAEC-24881</t>
  </si>
  <si>
    <t>6AAEC-24897</t>
  </si>
  <si>
    <t>6AAEC-24924</t>
  </si>
  <si>
    <t>이숙자</t>
  </si>
  <si>
    <t>6AACF-53358</t>
  </si>
  <si>
    <t>채경미</t>
  </si>
  <si>
    <t>6AACF-59606</t>
  </si>
  <si>
    <t>최경은</t>
  </si>
  <si>
    <t>6AAED-19199</t>
  </si>
  <si>
    <t>6AAAP-129627</t>
  </si>
  <si>
    <t>6AABG-6402</t>
  </si>
  <si>
    <t>6AAES-4379</t>
  </si>
  <si>
    <t>글래드프라임</t>
  </si>
  <si>
    <t>이상희</t>
  </si>
  <si>
    <t>6AAEW-11681</t>
  </si>
  <si>
    <t>6AAEW-11760</t>
  </si>
  <si>
    <t>최은재</t>
  </si>
  <si>
    <t>6AAAP-109129</t>
  </si>
  <si>
    <t>6AAAP-109683</t>
  </si>
  <si>
    <t>6AAAP-110065</t>
  </si>
  <si>
    <t>6AAAU-2200</t>
  </si>
  <si>
    <t>6AACF-50605</t>
  </si>
  <si>
    <t>김윤정</t>
  </si>
  <si>
    <t>6AAEG-15633</t>
  </si>
  <si>
    <t>6AAEW-10387</t>
  </si>
  <si>
    <t>6AAEW-13422</t>
  </si>
  <si>
    <t>6AAEW-13816</t>
  </si>
  <si>
    <t>이현숙</t>
  </si>
  <si>
    <t>6AABE-8393</t>
  </si>
  <si>
    <t>6AACF-53269</t>
  </si>
  <si>
    <t>6AAAT-1587</t>
  </si>
  <si>
    <t>6AACF-57930</t>
  </si>
  <si>
    <t>6AAEW-10163</t>
  </si>
  <si>
    <t>6AACF-57194</t>
  </si>
  <si>
    <t>김용현</t>
  </si>
  <si>
    <t>6AACF-56028</t>
  </si>
  <si>
    <t>김주희</t>
  </si>
  <si>
    <t>6AAAK-31276</t>
  </si>
  <si>
    <t>연경숙</t>
  </si>
  <si>
    <t>6AAAP-109759</t>
  </si>
  <si>
    <t>6AAAQ-14562</t>
  </si>
  <si>
    <t>6AAAK-29385</t>
  </si>
  <si>
    <t>6AAAX-15276</t>
  </si>
  <si>
    <t>6AAAX-15282</t>
  </si>
  <si>
    <t>현혜경</t>
  </si>
  <si>
    <t>6AAEW-12763</t>
  </si>
  <si>
    <t>장인순</t>
  </si>
  <si>
    <t>6AAEW-4409</t>
  </si>
  <si>
    <t>6AAAP-128313</t>
  </si>
  <si>
    <t>서하연</t>
  </si>
  <si>
    <t>6AAAX-16840</t>
  </si>
  <si>
    <t>6AAAK-28276</t>
  </si>
  <si>
    <t>유병남</t>
  </si>
  <si>
    <t>6AAAP-109777</t>
  </si>
  <si>
    <t>6AACC-28267</t>
  </si>
  <si>
    <t>6AACC-30554</t>
  </si>
  <si>
    <t>6AAAP-116420</t>
  </si>
  <si>
    <t>6AACC-25530</t>
  </si>
  <si>
    <t>6AAES-2822</t>
  </si>
  <si>
    <t>6AAAK-32081</t>
  </si>
  <si>
    <t>6AACF-58458</t>
  </si>
  <si>
    <t>6AAAK-34156</t>
  </si>
  <si>
    <t>6AAAX-17667</t>
  </si>
  <si>
    <t>황지영</t>
  </si>
  <si>
    <t>6AACF-50184</t>
  </si>
  <si>
    <t>6AAAH-26844</t>
  </si>
  <si>
    <t>6AAAP-118402</t>
  </si>
  <si>
    <t>6AAAP-118871</t>
  </si>
  <si>
    <t>6AACC-26181</t>
  </si>
  <si>
    <t>6AACF-54167</t>
  </si>
  <si>
    <t>6AACF-54579</t>
  </si>
  <si>
    <t>6AAEC-27653</t>
  </si>
  <si>
    <t>6AAAP-119445</t>
  </si>
  <si>
    <t>6AAAP-119448</t>
  </si>
  <si>
    <t>6AACF-54682</t>
  </si>
  <si>
    <t>신용란</t>
  </si>
  <si>
    <t>6AAAK-28754</t>
  </si>
  <si>
    <t>6AAEC-26529</t>
  </si>
  <si>
    <t>6AAAP-125398</t>
  </si>
  <si>
    <t>6AAAP-125644</t>
  </si>
  <si>
    <t>6AAAK-28664</t>
  </si>
  <si>
    <t>6AAAK-30441</t>
  </si>
  <si>
    <t>6AAAP-117681</t>
  </si>
  <si>
    <t>6AAEX-2673</t>
  </si>
  <si>
    <t>6AACF-57642</t>
  </si>
  <si>
    <t>202108 KJ시상정산.xlsx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</si>
</sst>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1" formatCode="_-* #,##0_-;\-* #,##0_-;_-* &quot;-&quot;_-;_-@_-"/>
    <numFmt numFmtId="176" formatCode="#,###"/>
    <numFmt numFmtId="177" formatCode="_-[$€-2]* #,##0.00_-;\-[$€-2]* #,##0.00_-;_-[$€-2]* &quot;-&quot;??_-"/>
    <numFmt numFmtId="178" formatCode="_ * #,##0_ ;_ * \-#,##0_ ;_ * &quot;-&quot;_ ;_ @_ "/>
    <numFmt numFmtId="179" formatCode="_ * #,##0.00_ ;_ * \-#,##0.00_ ;_ * &quot;-&quot;??_ ;_ @_ "/>
    <numFmt numFmtId="180" formatCode="_(&quot;$&quot;* #,##0_);_(&quot;$&quot;* \(#,##0\);_(&quot;$&quot;* &quot;-&quot;_);_(@_)"/>
    <numFmt numFmtId="181" formatCode="_(&quot;$&quot;* #,##0.00_);_(&quot;$&quot;* \(#,##0.00\);_(&quot;$&quot;* &quot;-&quot;??_);_(@_)"/>
    <numFmt numFmtId="182" formatCode="[$-412]yyyy&quot;년&quot;\ m&quot;월&quot;\ d&quot;일&quot;\ dddd"/>
    <numFmt numFmtId="183" formatCode="[$-412]General"/>
    <numFmt numFmtId="184" formatCode="0_);[Red]\(0\)"/>
  </numFmts>
  <fonts count="6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나눔고딕"/>
      <family val="3"/>
      <charset val="129"/>
    </font>
    <font>
      <sz val="11"/>
      <color theme="0" tint="-0.249977111117893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Calibri"/>
      <family val="2"/>
    </font>
    <font>
      <b/>
      <sz val="11"/>
      <color rgb="FF00206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color theme="0" tint="-0.499984740745262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Calibri"/>
      <family val="2"/>
    </font>
    <font>
      <sz val="11"/>
      <color theme="1"/>
      <name val="맑은 고딕"/>
      <family val="3"/>
      <charset val="129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sz val="9"/>
      <name val="Microsoft Sans Serif"/>
      <family val="2"/>
    </font>
    <font>
      <sz val="11"/>
      <color rgb="FF000000"/>
      <name val="맑은 고딕"/>
      <family val="3"/>
      <charset val="129"/>
    </font>
    <font>
      <sz val="10"/>
      <name val="돋움체"/>
      <family val="3"/>
      <charset val="129"/>
    </font>
    <font>
      <sz val="9"/>
      <color theme="1"/>
      <name val="맑은 고딕"/>
      <family val="2"/>
      <charset val="129"/>
    </font>
    <font>
      <sz val="11"/>
      <color indexed="8"/>
      <name val="맑은 고딕"/>
      <family val="2"/>
      <scheme val="minor"/>
    </font>
    <font>
      <sz val="11"/>
      <color rgb="FF9C6500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indexed="8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indexed="36"/>
      <name val="°¡´A°￠AøA|¸nA¼"/>
      <family val="1"/>
      <charset val="129"/>
    </font>
    <font>
      <sz val="12"/>
      <name val="¹UAAA¼"/>
      <family val="1"/>
      <charset val="129"/>
    </font>
    <font>
      <u/>
      <sz val="11"/>
      <color indexed="12"/>
      <name val="°¡´A°￠AøA|¸nA¼"/>
      <family val="1"/>
      <charset val="129"/>
    </font>
    <font>
      <sz val="10"/>
      <name val="Times New Roman"/>
      <family val="1"/>
    </font>
    <font>
      <u/>
      <sz val="11"/>
      <color indexed="36"/>
      <name val="돋움"/>
      <family val="3"/>
      <charset val="129"/>
    </font>
    <font>
      <sz val="10"/>
      <color indexed="8"/>
      <name val="Arial"/>
      <family val="2"/>
    </font>
    <font>
      <sz val="12"/>
      <name val="바탕체"/>
      <family val="1"/>
      <charset val="129"/>
    </font>
    <font>
      <sz val="11"/>
      <color rgb="FFFF0000"/>
      <name val="맑은 고딕"/>
      <family val="2"/>
      <charset val="129"/>
      <scheme val="minor"/>
    </font>
    <font>
      <sz val="11"/>
      <name val="맑은 고딕"/>
      <family val="3"/>
      <charset val="129"/>
    </font>
    <font>
      <sz val="11"/>
      <color theme="2" tint="-9.9978637043366805E-2"/>
      <name val="맑은 고딕"/>
      <family val="2"/>
      <charset val="129"/>
      <scheme val="minor"/>
    </font>
    <font>
      <sz val="9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ajor"/>
    </font>
    <font>
      <sz val="10"/>
      <color theme="4" tint="-0.249977111117893"/>
      <name val="나눔고딕"/>
      <family val="3"/>
      <charset val="129"/>
    </font>
    <font>
      <sz val="11"/>
      <color rgb="FF002060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indexed="15"/>
      <name val="맑은 고딕"/>
      <family val="2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9"/>
      <color rgb="FFFF0000"/>
      <name val="맑은 고딕"/>
      <family val="2"/>
      <charset val="129"/>
      <scheme val="minor"/>
    </font>
    <font>
      <sz val="9"/>
      <color theme="1"/>
      <name val="우리돋움"/>
      <family val="2"/>
      <charset val="129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sz val="11"/>
      <color indexed="14"/>
      <name val="맑은 고딕"/>
      <family val="2"/>
      <charset val="129"/>
      <scheme val="minor"/>
    </font>
    <font>
      <sz val="9"/>
      <name val="돋움"/>
      <family val="3"/>
      <charset val="129"/>
    </font>
    <font>
      <b/>
      <sz val="11"/>
      <color rgb="FFC00000"/>
      <name val="맑은 고딕"/>
      <family val="3"/>
      <charset val="129"/>
      <scheme val="minor"/>
    </font>
    <font>
      <sz val="9"/>
      <name val="바탕체"/>
      <family val="1"/>
      <charset val="129"/>
    </font>
    <font>
      <b/>
      <sz val="10"/>
      <color indexed="8"/>
      <name val="맑은 고딕"/>
      <family val="3"/>
      <charset val="129"/>
      <scheme val="major"/>
    </font>
    <font>
      <sz val="11"/>
      <color theme="1"/>
      <name val="맑은 고딕"/>
      <family val="2"/>
      <charset val="129"/>
    </font>
    <font>
      <sz val="9"/>
      <color theme="1"/>
      <name val="우리돋움"/>
      <family val="1"/>
      <charset val="129"/>
    </font>
    <font>
      <b/>
      <sz val="9"/>
      <name val="맑은 고딕"/>
      <family val="3"/>
      <charset val="129"/>
      <scheme val="minor"/>
    </font>
    <font>
      <sz val="11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sz val="11"/>
      <color rgb="FF0000FF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8"/>
      <name val="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BBBBBB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207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9" fillId="0" borderId="0"/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/>
    <xf numFmtId="41" fontId="20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0" fontId="17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22" fillId="0" borderId="0">
      <alignment vertical="center"/>
    </xf>
    <xf numFmtId="9" fontId="22" fillId="0" borderId="0">
      <alignment vertical="center"/>
    </xf>
    <xf numFmtId="41" fontId="23" fillId="0" borderId="0" applyFont="0" applyFill="0" applyBorder="0" applyAlignment="0" applyProtection="0"/>
    <xf numFmtId="41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" fillId="0" borderId="0">
      <alignment vertical="center"/>
    </xf>
    <xf numFmtId="41" fontId="24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3" fillId="0" borderId="0"/>
    <xf numFmtId="0" fontId="25" fillId="0" borderId="0">
      <alignment vertical="center"/>
    </xf>
    <xf numFmtId="0" fontId="2" fillId="0" borderId="0">
      <alignment vertical="center"/>
    </xf>
    <xf numFmtId="41" fontId="25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18" fillId="0" borderId="0"/>
    <xf numFmtId="0" fontId="18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17" fillId="0" borderId="0">
      <alignment vertical="center"/>
    </xf>
    <xf numFmtId="41" fontId="23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8" fillId="0" borderId="0" applyFont="0" applyFill="0" applyBorder="0" applyAlignment="0" applyProtection="0">
      <alignment vertical="center"/>
    </xf>
    <xf numFmtId="41" fontId="28" fillId="0" borderId="0" applyFont="0" applyFill="0" applyBorder="0" applyAlignment="0" applyProtection="0">
      <alignment vertical="center"/>
    </xf>
    <xf numFmtId="41" fontId="18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9" fillId="0" borderId="0"/>
    <xf numFmtId="177" fontId="2" fillId="0" borderId="0">
      <alignment vertical="center"/>
    </xf>
    <xf numFmtId="177" fontId="29" fillId="0" borderId="0"/>
    <xf numFmtId="41" fontId="29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7" fillId="0" borderId="0" applyFont="0" applyFill="0" applyBorder="0" applyAlignment="0" applyProtection="0">
      <alignment vertical="center"/>
    </xf>
    <xf numFmtId="41" fontId="18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9" fillId="0" borderId="0" applyFont="0" applyFill="0" applyBorder="0" applyAlignment="0" applyProtection="0">
      <alignment vertical="center"/>
    </xf>
    <xf numFmtId="41" fontId="18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18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7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18" fillId="0" borderId="0">
      <alignment vertical="center"/>
    </xf>
    <xf numFmtId="177" fontId="29" fillId="0" borderId="0"/>
    <xf numFmtId="177" fontId="2" fillId="0" borderId="0">
      <alignment vertical="center"/>
    </xf>
    <xf numFmtId="177" fontId="2" fillId="0" borderId="0">
      <alignment vertical="center"/>
    </xf>
    <xf numFmtId="0" fontId="30" fillId="0" borderId="0" applyNumberFormat="0" applyFill="0" applyBorder="0" applyAlignment="0" applyProtection="0">
      <alignment vertical="top"/>
      <protection locked="0"/>
    </xf>
    <xf numFmtId="178" fontId="31" fillId="0" borderId="0" applyFont="0" applyFill="0" applyBorder="0" applyAlignment="0" applyProtection="0"/>
    <xf numFmtId="179" fontId="31" fillId="0" borderId="0" applyFont="0" applyFill="0" applyBorder="0" applyAlignment="0" applyProtection="0"/>
    <xf numFmtId="0" fontId="31" fillId="0" borderId="0"/>
    <xf numFmtId="0" fontId="32" fillId="0" borderId="0" applyNumberFormat="0" applyFill="0" applyBorder="0" applyAlignment="0" applyProtection="0">
      <alignment vertical="top"/>
      <protection locked="0"/>
    </xf>
    <xf numFmtId="178" fontId="19" fillId="0" borderId="0" applyFont="0" applyFill="0" applyBorder="0" applyAlignment="0" applyProtection="0"/>
    <xf numFmtId="179" fontId="19" fillId="0" borderId="0" applyFont="0" applyFill="0" applyBorder="0" applyAlignment="0" applyProtection="0"/>
    <xf numFmtId="180" fontId="19" fillId="0" borderId="0" applyFont="0" applyFill="0" applyBorder="0" applyAlignment="0" applyProtection="0"/>
    <xf numFmtId="181" fontId="19" fillId="0" borderId="0" applyFont="0" applyFill="0" applyBorder="0" applyAlignment="0" applyProtection="0"/>
    <xf numFmtId="0" fontId="33" fillId="0" borderId="0"/>
    <xf numFmtId="0" fontId="34" fillId="0" borderId="0" applyNumberFormat="0" applyFill="0" applyBorder="0" applyAlignment="0" applyProtection="0">
      <alignment vertical="top"/>
      <protection locked="0"/>
    </xf>
    <xf numFmtId="15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41" fontId="27" fillId="0" borderId="0" applyFont="0" applyFill="0" applyBorder="0" applyAlignment="0" applyProtection="0"/>
    <xf numFmtId="15" fontId="35" fillId="0" borderId="0"/>
    <xf numFmtId="15" fontId="35" fillId="0" borderId="0"/>
    <xf numFmtId="15" fontId="35" fillId="0" borderId="0"/>
    <xf numFmtId="15" fontId="35" fillId="0" borderId="0"/>
    <xf numFmtId="182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182" fontId="35" fillId="0" borderId="0"/>
    <xf numFmtId="182" fontId="35" fillId="0" borderId="0"/>
    <xf numFmtId="15" fontId="35" fillId="0" borderId="0"/>
    <xf numFmtId="15" fontId="35" fillId="0" borderId="0"/>
    <xf numFmtId="15" fontId="35" fillId="0" borderId="0"/>
    <xf numFmtId="15" fontId="35" fillId="0" borderId="0"/>
    <xf numFmtId="0" fontId="19" fillId="0" borderId="0" applyNumberFormat="0" applyFill="0" applyBorder="0" applyAlignment="0" applyProtection="0"/>
    <xf numFmtId="178" fontId="36" fillId="0" borderId="0" applyFont="0" applyFill="0" applyBorder="0" applyAlignment="0" applyProtection="0"/>
    <xf numFmtId="179" fontId="36" fillId="0" borderId="0" applyFont="0" applyFill="0" applyBorder="0" applyAlignment="0" applyProtection="0"/>
    <xf numFmtId="0" fontId="27" fillId="0" borderId="0"/>
    <xf numFmtId="0" fontId="27" fillId="0" borderId="0"/>
    <xf numFmtId="0" fontId="28" fillId="0" borderId="0">
      <alignment vertical="center"/>
    </xf>
    <xf numFmtId="0" fontId="1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0" fillId="0" borderId="0" applyFont="0" applyFill="0" applyBorder="0" applyAlignment="0" applyProtection="0">
      <alignment vertical="center"/>
    </xf>
    <xf numFmtId="183" fontId="18" fillId="10" borderId="0" applyNumberFormat="0" applyBorder="0" applyAlignment="0" applyProtection="0">
      <alignment vertical="center"/>
    </xf>
    <xf numFmtId="0" fontId="51" fillId="0" borderId="0">
      <alignment vertical="center"/>
    </xf>
    <xf numFmtId="0" fontId="18" fillId="0" borderId="0">
      <alignment vertical="center"/>
    </xf>
    <xf numFmtId="177" fontId="2" fillId="0" borderId="0">
      <alignment vertical="center"/>
    </xf>
    <xf numFmtId="0" fontId="27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59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8" fillId="0" borderId="0">
      <alignment vertical="center"/>
    </xf>
    <xf numFmtId="0" fontId="2" fillId="0" borderId="0">
      <alignment vertical="center"/>
    </xf>
  </cellStyleXfs>
  <cellXfs count="135">
    <xf numFmtId="0" fontId="0" fillId="0" borderId="0" xfId="0">
      <alignment vertical="center"/>
    </xf>
    <xf numFmtId="0" fontId="0" fillId="0" borderId="0" xfId="0" applyAlignment="1"/>
    <xf numFmtId="176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41" fontId="0" fillId="0" borderId="0" xfId="1" applyFont="1" applyAlignment="1"/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  <xf numFmtId="0" fontId="0" fillId="5" borderId="1" xfId="0" applyFill="1" applyBorder="1" applyAlignment="1"/>
    <xf numFmtId="0" fontId="0" fillId="5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/>
    </xf>
    <xf numFmtId="0" fontId="7" fillId="6" borderId="0" xfId="0" applyFont="1" applyFill="1">
      <alignment vertical="center"/>
    </xf>
    <xf numFmtId="0" fontId="8" fillId="6" borderId="0" xfId="0" applyFont="1" applyFill="1">
      <alignment vertical="center"/>
    </xf>
    <xf numFmtId="0" fontId="0" fillId="0" borderId="1" xfId="0" applyBorder="1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10" fillId="7" borderId="0" xfId="0" applyFont="1" applyFill="1">
      <alignment vertical="center"/>
    </xf>
    <xf numFmtId="0" fontId="0" fillId="7" borderId="0" xfId="0" applyFill="1">
      <alignment vertical="center"/>
    </xf>
    <xf numFmtId="0" fontId="0" fillId="0" borderId="0" xfId="0" applyAlignment="1">
      <alignment horizontal="center" vertical="center"/>
    </xf>
    <xf numFmtId="0" fontId="11" fillId="0" borderId="0" xfId="0" applyFont="1">
      <alignment vertical="center"/>
    </xf>
    <xf numFmtId="0" fontId="6" fillId="0" borderId="1" xfId="0" applyFont="1" applyFill="1" applyBorder="1" applyAlignment="1">
      <alignment vertical="center"/>
    </xf>
    <xf numFmtId="0" fontId="6" fillId="0" borderId="1" xfId="0" applyFont="1" applyFill="1" applyBorder="1">
      <alignment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vertical="center"/>
    </xf>
    <xf numFmtId="0" fontId="0" fillId="0" borderId="0" xfId="0">
      <alignment vertical="center"/>
    </xf>
    <xf numFmtId="0" fontId="0" fillId="0" borderId="0" xfId="0" applyAlignment="1"/>
    <xf numFmtId="176" fontId="37" fillId="0" borderId="0" xfId="0" applyNumberFormat="1" applyFont="1" applyFill="1">
      <alignment vertical="center"/>
    </xf>
    <xf numFmtId="0" fontId="0" fillId="0" borderId="0" xfId="0" applyAlignment="1">
      <alignment horizontal="left" vertical="center"/>
    </xf>
    <xf numFmtId="0" fontId="0" fillId="4" borderId="0" xfId="0" applyFill="1">
      <alignment vertical="center"/>
    </xf>
    <xf numFmtId="0" fontId="38" fillId="4" borderId="3" xfId="11" applyFont="1" applyFill="1" applyBorder="1">
      <alignment vertical="center"/>
    </xf>
    <xf numFmtId="176" fontId="40" fillId="10" borderId="0" xfId="197" applyNumberFormat="1" applyFont="1" applyAlignment="1">
      <alignment horizontal="center" vertical="center" wrapText="1"/>
    </xf>
    <xf numFmtId="176" fontId="41" fillId="0" borderId="0" xfId="0" applyNumberFormat="1" applyFont="1" applyAlignment="1">
      <alignment horizontal="center" vertical="center"/>
    </xf>
    <xf numFmtId="3" fontId="2" fillId="0" borderId="0" xfId="9" applyNumberFormat="1" applyAlignment="1"/>
    <xf numFmtId="41" fontId="44" fillId="0" borderId="0" xfId="1" applyFont="1" applyFill="1" applyBorder="1" applyAlignment="1">
      <alignment vertical="center"/>
    </xf>
    <xf numFmtId="0" fontId="0" fillId="5" borderId="0" xfId="0" applyFill="1">
      <alignment vertical="center"/>
    </xf>
    <xf numFmtId="0" fontId="41" fillId="0" borderId="1" xfId="0" applyFont="1" applyBorder="1">
      <alignment vertical="center"/>
    </xf>
    <xf numFmtId="0" fontId="42" fillId="0" borderId="1" xfId="0" applyFont="1" applyBorder="1">
      <alignment vertical="center"/>
    </xf>
    <xf numFmtId="0" fontId="42" fillId="0" borderId="1" xfId="0" applyFont="1" applyBorder="1" applyAlignment="1">
      <alignment vertical="center"/>
    </xf>
    <xf numFmtId="0" fontId="42" fillId="0" borderId="1" xfId="0" applyFont="1" applyBorder="1" applyAlignment="1">
      <alignment horizontal="center" vertical="center"/>
    </xf>
    <xf numFmtId="0" fontId="45" fillId="0" borderId="0" xfId="0" applyFont="1">
      <alignment vertical="center"/>
    </xf>
    <xf numFmtId="0" fontId="0" fillId="11" borderId="1" xfId="0" applyFill="1" applyBorder="1">
      <alignment vertical="center"/>
    </xf>
    <xf numFmtId="0" fontId="39" fillId="11" borderId="1" xfId="0" applyFont="1" applyFill="1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3" xfId="0" applyFill="1" applyBorder="1">
      <alignment vertical="center"/>
    </xf>
    <xf numFmtId="0" fontId="5" fillId="0" borderId="1" xfId="0" applyFont="1" applyBorder="1">
      <alignment vertical="center"/>
    </xf>
    <xf numFmtId="0" fontId="46" fillId="2" borderId="1" xfId="0" applyFont="1" applyFill="1" applyBorder="1">
      <alignment vertical="center"/>
    </xf>
    <xf numFmtId="0" fontId="46" fillId="2" borderId="1" xfId="0" applyFont="1" applyFill="1" applyBorder="1" applyAlignment="1">
      <alignment horizontal="left" vertical="center"/>
    </xf>
    <xf numFmtId="0" fontId="0" fillId="12" borderId="0" xfId="0" applyFill="1" applyAlignment="1">
      <alignment horizontal="center" vertical="center"/>
    </xf>
    <xf numFmtId="0" fontId="0" fillId="12" borderId="0" xfId="0" applyFill="1">
      <alignment vertical="center"/>
    </xf>
    <xf numFmtId="176" fontId="42" fillId="0" borderId="0" xfId="0" applyNumberFormat="1" applyFont="1" applyFill="1">
      <alignment vertical="center"/>
    </xf>
    <xf numFmtId="176" fontId="41" fillId="0" borderId="0" xfId="0" applyNumberFormat="1" applyFont="1">
      <alignment vertical="center"/>
    </xf>
    <xf numFmtId="0" fontId="47" fillId="0" borderId="1" xfId="0" applyFont="1" applyBorder="1" applyAlignment="1">
      <alignment horizontal="center" vertical="center"/>
    </xf>
    <xf numFmtId="0" fontId="47" fillId="7" borderId="1" xfId="0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0" applyFont="1" applyAlignment="1">
      <alignment vertical="center" wrapText="1"/>
    </xf>
    <xf numFmtId="0" fontId="41" fillId="0" borderId="0" xfId="0" applyFont="1" applyAlignment="1">
      <alignment vertical="center" wrapText="1"/>
    </xf>
    <xf numFmtId="38" fontId="0" fillId="0" borderId="0" xfId="0" applyNumberFormat="1">
      <alignment vertical="center"/>
    </xf>
    <xf numFmtId="41" fontId="48" fillId="0" borderId="0" xfId="1" applyFont="1" applyAlignment="1"/>
    <xf numFmtId="0" fontId="37" fillId="0" borderId="0" xfId="0" applyFont="1">
      <alignment vertical="center"/>
    </xf>
    <xf numFmtId="0" fontId="0" fillId="0" borderId="0" xfId="0" applyFill="1" applyAlignment="1">
      <alignment horizontal="center" vertical="center"/>
    </xf>
    <xf numFmtId="0" fontId="49" fillId="0" borderId="0" xfId="0" applyFont="1">
      <alignment vertical="center"/>
    </xf>
    <xf numFmtId="0" fontId="50" fillId="0" borderId="0" xfId="0" applyFont="1">
      <alignment vertical="center"/>
    </xf>
    <xf numFmtId="0" fontId="0" fillId="0" borderId="0" xfId="0" applyBorder="1">
      <alignment vertical="center"/>
    </xf>
    <xf numFmtId="0" fontId="52" fillId="0" borderId="0" xfId="0" applyFont="1" applyFill="1" applyBorder="1">
      <alignment vertical="center"/>
    </xf>
    <xf numFmtId="0" fontId="53" fillId="0" borderId="0" xfId="0" applyFont="1">
      <alignment vertical="center"/>
    </xf>
    <xf numFmtId="0" fontId="54" fillId="0" borderId="0" xfId="0" applyFont="1" applyAlignment="1"/>
    <xf numFmtId="0" fontId="52" fillId="0" borderId="0" xfId="0" applyFont="1" applyFill="1" applyBorder="1" applyAlignment="1">
      <alignment horizontal="center" vertical="center"/>
    </xf>
    <xf numFmtId="0" fontId="52" fillId="0" borderId="0" xfId="0" applyFont="1" applyFill="1" applyBorder="1" applyAlignment="1">
      <alignment vertical="center"/>
    </xf>
    <xf numFmtId="0" fontId="55" fillId="0" borderId="1" xfId="198" applyFont="1" applyBorder="1" applyAlignment="1">
      <alignment horizontal="left" vertical="center"/>
    </xf>
    <xf numFmtId="0" fontId="55" fillId="0" borderId="1" xfId="198" applyFont="1" applyBorder="1" applyAlignment="1">
      <alignment horizontal="left" vertical="center" shrinkToFit="1"/>
    </xf>
    <xf numFmtId="0" fontId="55" fillId="0" borderId="1" xfId="199" applyFont="1" applyBorder="1" applyAlignment="1">
      <alignment horizontal="left" vertical="center"/>
    </xf>
    <xf numFmtId="0" fontId="55" fillId="0" borderId="1" xfId="0" applyFont="1" applyBorder="1" applyAlignment="1">
      <alignment horizontal="left" vertical="center"/>
    </xf>
    <xf numFmtId="0" fontId="55" fillId="0" borderId="0" xfId="0" applyFont="1" applyAlignment="1">
      <alignment horizontal="left" vertical="center"/>
    </xf>
    <xf numFmtId="0" fontId="55" fillId="0" borderId="0" xfId="0" applyFont="1" applyFill="1" applyAlignment="1">
      <alignment horizontal="left" vertical="center"/>
    </xf>
    <xf numFmtId="0" fontId="55" fillId="0" borderId="1" xfId="0" applyFont="1" applyFill="1" applyBorder="1" applyAlignment="1">
      <alignment horizontal="left" vertical="center"/>
    </xf>
    <xf numFmtId="0" fontId="56" fillId="0" borderId="0" xfId="0" applyFont="1">
      <alignment vertical="center"/>
    </xf>
    <xf numFmtId="0" fontId="57" fillId="0" borderId="1" xfId="198" applyFont="1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7" xfId="0" applyFill="1" applyBorder="1" applyAlignment="1">
      <alignment horizontal="left" vertical="center"/>
    </xf>
    <xf numFmtId="0" fontId="37" fillId="11" borderId="7" xfId="0" applyFont="1" applyFill="1" applyBorder="1" applyAlignment="1">
      <alignment horizontal="left" vertical="center"/>
    </xf>
    <xf numFmtId="0" fontId="57" fillId="0" borderId="8" xfId="198" applyFont="1" applyBorder="1" applyAlignment="1">
      <alignment horizontal="center" vertical="center"/>
    </xf>
    <xf numFmtId="0" fontId="57" fillId="0" borderId="8" xfId="198" applyFont="1" applyBorder="1" applyAlignment="1">
      <alignment horizontal="center" vertical="center" shrinkToFit="1"/>
    </xf>
    <xf numFmtId="0" fontId="55" fillId="0" borderId="7" xfId="0" applyFont="1" applyBorder="1" applyAlignment="1">
      <alignment horizontal="left" vertical="center"/>
    </xf>
    <xf numFmtId="0" fontId="54" fillId="4" borderId="0" xfId="0" applyFont="1" applyFill="1">
      <alignment vertical="center"/>
    </xf>
    <xf numFmtId="0" fontId="54" fillId="0" borderId="0" xfId="0" applyFont="1">
      <alignment vertical="center"/>
    </xf>
    <xf numFmtId="0" fontId="58" fillId="0" borderId="6" xfId="0" applyFont="1" applyBorder="1" applyAlignment="1">
      <alignment horizontal="center" vertical="center"/>
    </xf>
    <xf numFmtId="49" fontId="60" fillId="0" borderId="2" xfId="205" applyNumberFormat="1" applyFont="1" applyBorder="1" applyAlignment="1">
      <alignment horizontal="center" vertical="center" shrinkToFit="1"/>
    </xf>
    <xf numFmtId="0" fontId="0" fillId="0" borderId="9" xfId="0" applyNumberFormat="1" applyFill="1" applyBorder="1" applyAlignment="1">
      <alignment horizontal="center" vertical="center" shrinkToFit="1"/>
    </xf>
    <xf numFmtId="0" fontId="0" fillId="0" borderId="9" xfId="0" applyFill="1" applyBorder="1" applyAlignment="1">
      <alignment vertical="center" shrinkToFit="1"/>
    </xf>
    <xf numFmtId="3" fontId="61" fillId="0" borderId="0" xfId="0" applyNumberFormat="1" applyFont="1" applyFill="1" applyAlignment="1">
      <alignment horizontal="center" vertical="center" wrapText="1"/>
    </xf>
    <xf numFmtId="0" fontId="62" fillId="0" borderId="0" xfId="0" applyFont="1">
      <alignment vertical="center"/>
    </xf>
    <xf numFmtId="0" fontId="57" fillId="0" borderId="7" xfId="198" applyFont="1" applyFill="1" applyBorder="1" applyAlignment="1">
      <alignment horizontal="center" vertical="center"/>
    </xf>
    <xf numFmtId="0" fontId="57" fillId="0" borderId="10" xfId="198" applyFont="1" applyFill="1" applyBorder="1" applyAlignment="1">
      <alignment horizontal="center" vertical="center" shrinkToFit="1"/>
    </xf>
    <xf numFmtId="49" fontId="55" fillId="0" borderId="4" xfId="0" applyNumberFormat="1" applyFont="1" applyBorder="1" applyAlignment="1">
      <alignment horizontal="center" vertical="center"/>
    </xf>
    <xf numFmtId="49" fontId="40" fillId="0" borderId="0" xfId="0" applyNumberFormat="1" applyFont="1" applyFill="1" applyAlignment="1">
      <alignment horizontal="left" vertical="center" wrapText="1" shrinkToFit="1"/>
    </xf>
    <xf numFmtId="49" fontId="43" fillId="0" borderId="0" xfId="29" applyNumberFormat="1" applyFont="1" applyFill="1" applyBorder="1" applyAlignment="1" applyProtection="1">
      <alignment horizontal="left" vertical="center"/>
    </xf>
    <xf numFmtId="49" fontId="40" fillId="0" borderId="0" xfId="0" applyNumberFormat="1" applyFont="1" applyFill="1" applyBorder="1" applyAlignment="1">
      <alignment horizontal="left" vertical="center" shrinkToFit="1"/>
    </xf>
    <xf numFmtId="49" fontId="0" fillId="0" borderId="0" xfId="0" applyNumberFormat="1" applyBorder="1" applyAlignment="1">
      <alignment horizontal="left" vertical="center"/>
    </xf>
    <xf numFmtId="49" fontId="40" fillId="0" borderId="6" xfId="0" applyNumberFormat="1" applyFont="1" applyFill="1" applyBorder="1" applyAlignment="1">
      <alignment horizontal="left" vertical="center" shrinkToFit="1"/>
    </xf>
    <xf numFmtId="49" fontId="43" fillId="0" borderId="6" xfId="29" applyNumberFormat="1" applyFont="1" applyFill="1" applyBorder="1" applyAlignment="1" applyProtection="1">
      <alignment horizontal="left" vertical="center"/>
    </xf>
    <xf numFmtId="49" fontId="0" fillId="0" borderId="6" xfId="0" applyNumberFormat="1" applyBorder="1" applyAlignment="1">
      <alignment horizontal="left" vertical="center"/>
    </xf>
    <xf numFmtId="0" fontId="43" fillId="0" borderId="6" xfId="29" applyNumberFormat="1" applyFont="1" applyFill="1" applyBorder="1" applyAlignment="1" applyProtection="1">
      <alignment horizontal="left" vertical="center"/>
    </xf>
    <xf numFmtId="184" fontId="40" fillId="0" borderId="6" xfId="0" applyNumberFormat="1" applyFont="1" applyFill="1" applyBorder="1" applyAlignment="1">
      <alignment horizontal="left" vertical="center" shrinkToFit="1"/>
    </xf>
    <xf numFmtId="0" fontId="0" fillId="0" borderId="6" xfId="0" applyNumberFormat="1" applyBorder="1" applyAlignment="1">
      <alignment horizontal="left" vertical="center"/>
    </xf>
    <xf numFmtId="0" fontId="43" fillId="0" borderId="0" xfId="29" applyNumberFormat="1" applyFont="1" applyFill="1" applyBorder="1" applyAlignment="1" applyProtection="1">
      <alignment horizontal="left"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49" fontId="52" fillId="13" borderId="7" xfId="0" applyNumberFormat="1" applyFont="1" applyFill="1" applyBorder="1">
      <alignment vertical="center"/>
    </xf>
    <xf numFmtId="184" fontId="40" fillId="0" borderId="0" xfId="0" applyNumberFormat="1" applyFont="1" applyFill="1" applyBorder="1" applyAlignment="1">
      <alignment horizontal="left" vertical="center" shrinkToFit="1"/>
    </xf>
    <xf numFmtId="0" fontId="52" fillId="0" borderId="12" xfId="0" applyFont="1" applyFill="1" applyBorder="1" applyAlignment="1">
      <alignment horizontal="center" vertical="center"/>
    </xf>
    <xf numFmtId="0" fontId="52" fillId="0" borderId="12" xfId="0" applyFont="1" applyFill="1" applyBorder="1">
      <alignment vertical="center"/>
    </xf>
    <xf numFmtId="49" fontId="0" fillId="0" borderId="13" xfId="0" applyNumberFormat="1" applyBorder="1" applyAlignment="1">
      <alignment vertical="center" wrapText="1"/>
    </xf>
    <xf numFmtId="0" fontId="0" fillId="5" borderId="0" xfId="0" applyFill="1" applyAlignment="1"/>
    <xf numFmtId="0" fontId="0" fillId="12" borderId="0" xfId="0" applyFill="1" applyAlignment="1"/>
    <xf numFmtId="0" fontId="0" fillId="0" borderId="4" xfId="0" applyFill="1" applyBorder="1">
      <alignment vertical="center"/>
    </xf>
    <xf numFmtId="49" fontId="0" fillId="14" borderId="13" xfId="0" applyNumberFormat="1" applyFill="1" applyBorder="1" applyAlignment="1">
      <alignment vertical="center" wrapText="1"/>
    </xf>
    <xf numFmtId="3" fontId="0" fillId="14" borderId="13" xfId="0" applyNumberFormat="1" applyFill="1" applyBorder="1" applyAlignment="1">
      <alignment vertical="center" wrapText="1"/>
    </xf>
    <xf numFmtId="0" fontId="38" fillId="4" borderId="11" xfId="11" applyFont="1" applyFill="1" applyBorder="1">
      <alignment vertical="center"/>
    </xf>
    <xf numFmtId="0" fontId="0" fillId="5" borderId="4" xfId="0" applyFill="1" applyBorder="1">
      <alignment vertical="center"/>
    </xf>
    <xf numFmtId="184" fontId="63" fillId="0" borderId="11" xfId="0" applyNumberFormat="1" applyFont="1" applyBorder="1" applyAlignment="1">
      <alignment horizontal="center" vertical="center"/>
    </xf>
    <xf numFmtId="0" fontId="0" fillId="0" borderId="6" xfId="0" applyNumberFormat="1" applyBorder="1" applyAlignment="1">
      <alignment horizontal="left"/>
    </xf>
    <xf numFmtId="0" fontId="40" fillId="0" borderId="0" xfId="0" applyFont="1" applyAlignment="1">
      <alignment horizontal="center" vertical="center"/>
    </xf>
    <xf numFmtId="49" fontId="0" fillId="0" borderId="14" xfId="0" applyNumberFormat="1" applyBorder="1" applyAlignment="1">
      <alignment horizontal="center" vertical="center" shrinkToFit="1"/>
    </xf>
    <xf numFmtId="49" fontId="0" fillId="15" borderId="13" xfId="0" applyNumberFormat="1" applyFill="1" applyBorder="1" applyAlignment="1">
      <alignment vertical="center" wrapText="1"/>
    </xf>
    <xf numFmtId="3" fontId="0" fillId="15" borderId="13" xfId="0" applyNumberFormat="1" applyFill="1" applyBorder="1" applyAlignment="1">
      <alignment vertical="center" wrapText="1"/>
    </xf>
    <xf numFmtId="0" fontId="67" fillId="0" borderId="7" xfId="0" applyFont="1" applyFill="1" applyBorder="1" applyAlignment="1">
      <alignment horizontal="center" vertical="center" wrapText="1"/>
    </xf>
    <xf numFmtId="41" fontId="67" fillId="0" borderId="7" xfId="1" applyFont="1" applyFill="1" applyBorder="1" applyAlignment="1">
      <alignment horizontal="center" vertical="center" wrapText="1"/>
    </xf>
    <xf numFmtId="0" fontId="52" fillId="0" borderId="7" xfId="0" applyNumberFormat="1" applyFont="1" applyFill="1" applyBorder="1" applyAlignment="1">
      <alignment horizontal="center" vertical="center"/>
    </xf>
    <xf numFmtId="0" fontId="52" fillId="0" borderId="7" xfId="0" applyFont="1" applyFill="1" applyBorder="1" applyAlignment="1">
      <alignment horizontal="center" vertical="center"/>
    </xf>
    <xf numFmtId="41" fontId="52" fillId="0" borderId="7" xfId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5" fillId="0" borderId="1" xfId="0" applyFont="1" applyFill="1" applyBorder="1" applyAlignment="1">
      <alignment horizontal="left" vertical="center"/>
    </xf>
  </cellXfs>
  <cellStyles count="207">
    <cellStyle name="¿­¾iº≫ CIAIÆU¸μAⓒ" xfId="142"/>
    <cellStyle name="20% - 강조색1 10 2" xfId="197"/>
    <cellStyle name="60% - 강조색3 2" xfId="51"/>
    <cellStyle name="AÞ¸¶ [0]_5¿u½C½A" xfId="143"/>
    <cellStyle name="AÞ¸¶_5¿u½C½A" xfId="144"/>
    <cellStyle name="C￥AØ_~wlC2F0" xfId="145"/>
    <cellStyle name="CIAIÆU¸μAⓒ" xfId="146"/>
    <cellStyle name="Comma [0]_laroux" xfId="147"/>
    <cellStyle name="Comma_laroux" xfId="148"/>
    <cellStyle name="Currency [0]_laroux" xfId="149"/>
    <cellStyle name="Currency_laroux" xfId="150"/>
    <cellStyle name="Normal_Certs Q2" xfId="151"/>
    <cellStyle name="뒤에 오는 하이퍼링크" xfId="152"/>
    <cellStyle name="백분율 19" xfId="57"/>
    <cellStyle name="백분율 2" xfId="26"/>
    <cellStyle name="백분율 2 3" xfId="37"/>
    <cellStyle name="백분율 2 3 3" xfId="39"/>
    <cellStyle name="백분율 3" xfId="19"/>
    <cellStyle name="백분율 3 2" xfId="72"/>
    <cellStyle name="백분율 5" xfId="52"/>
    <cellStyle name="백분율 5 8" xfId="55"/>
    <cellStyle name="백분율 9" xfId="22"/>
    <cellStyle name="보통 2" xfId="50"/>
    <cellStyle name="쉼표 [0]" xfId="1" builtinId="6"/>
    <cellStyle name="쉼표 [0] 10" xfId="46"/>
    <cellStyle name="쉼표 [0] 10 2" xfId="62"/>
    <cellStyle name="쉼표 [0] 10 2 2" xfId="154"/>
    <cellStyle name="쉼표 [0] 10 2 2 2 2" xfId="63"/>
    <cellStyle name="쉼표 [0] 10 3" xfId="153"/>
    <cellStyle name="쉼표 [0] 10 4" xfId="49"/>
    <cellStyle name="쉼표 [0] 10 4 2" xfId="59"/>
    <cellStyle name="쉼표 [0] 11" xfId="21"/>
    <cellStyle name="쉼표 [0] 11 2" xfId="155"/>
    <cellStyle name="쉼표 [0] 11 2 2" xfId="32"/>
    <cellStyle name="쉼표 [0] 11 3" xfId="73"/>
    <cellStyle name="쉼표 [0] 12" xfId="74"/>
    <cellStyle name="쉼표 [0] 12 2" xfId="156"/>
    <cellStyle name="쉼표 [0] 13" xfId="75"/>
    <cellStyle name="쉼표 [0] 13 2" xfId="157"/>
    <cellStyle name="쉼표 [0] 14" xfId="76"/>
    <cellStyle name="쉼표 [0] 14 2" xfId="158"/>
    <cellStyle name="쉼표 [0] 15" xfId="77"/>
    <cellStyle name="쉼표 [0] 15 2" xfId="159"/>
    <cellStyle name="쉼표 [0] 16" xfId="78"/>
    <cellStyle name="쉼표 [0] 16 2" xfId="160"/>
    <cellStyle name="쉼표 [0] 17" xfId="79"/>
    <cellStyle name="쉼표 [0] 17 2" xfId="161"/>
    <cellStyle name="쉼표 [0] 18" xfId="80"/>
    <cellStyle name="쉼표 [0] 18 2" xfId="162"/>
    <cellStyle name="쉼표 [0] 19" xfId="81"/>
    <cellStyle name="쉼표 [0] 19 2" xfId="163"/>
    <cellStyle name="쉼표 [0] 2" xfId="17"/>
    <cellStyle name="쉼표 [0] 2 10" xfId="82"/>
    <cellStyle name="쉼표 [0] 2 13 2 2" xfId="83"/>
    <cellStyle name="쉼표 [0] 2 2" xfId="20"/>
    <cellStyle name="쉼표 [0] 2 2 18" xfId="25"/>
    <cellStyle name="쉼표 [0] 2 2 2" xfId="47"/>
    <cellStyle name="쉼표 [0] 2 3" xfId="3"/>
    <cellStyle name="쉼표 [0] 2 3 2" xfId="40"/>
    <cellStyle name="쉼표 [0] 2 3 3" xfId="36"/>
    <cellStyle name="쉼표 [0] 2 3 8" xfId="38"/>
    <cellStyle name="쉼표 [0] 2 4" xfId="71"/>
    <cellStyle name="쉼표 [0] 2 6" xfId="203"/>
    <cellStyle name="쉼표 [0] 20" xfId="61"/>
    <cellStyle name="쉼표 [0] 20 2" xfId="164"/>
    <cellStyle name="쉼표 [0] 21" xfId="84"/>
    <cellStyle name="쉼표 [0] 21 2" xfId="165"/>
    <cellStyle name="쉼표 [0] 22" xfId="85"/>
    <cellStyle name="쉼표 [0] 22 2" xfId="166"/>
    <cellStyle name="쉼표 [0] 23" xfId="86"/>
    <cellStyle name="쉼표 [0] 23 2" xfId="167"/>
    <cellStyle name="쉼표 [0] 24" xfId="87"/>
    <cellStyle name="쉼표 [0] 24 2" xfId="168"/>
    <cellStyle name="쉼표 [0] 25" xfId="88"/>
    <cellStyle name="쉼표 [0] 25 2" xfId="89"/>
    <cellStyle name="쉼표 [0] 25 3" xfId="169"/>
    <cellStyle name="쉼표 [0] 26" xfId="170"/>
    <cellStyle name="쉼표 [0] 27" xfId="171"/>
    <cellStyle name="쉼표 [0] 28" xfId="172"/>
    <cellStyle name="쉼표 [0] 29" xfId="173"/>
    <cellStyle name="쉼표 [0] 3" xfId="33"/>
    <cellStyle name="쉼표 [0] 3 2" xfId="41"/>
    <cellStyle name="쉼표 [0] 3 2 2" xfId="174"/>
    <cellStyle name="쉼표 [0] 3 4" xfId="202"/>
    <cellStyle name="쉼표 [0] 3 8" xfId="196"/>
    <cellStyle name="쉼표 [0] 30" xfId="175"/>
    <cellStyle name="쉼표 [0] 31" xfId="176"/>
    <cellStyle name="쉼표 [0] 32" xfId="177"/>
    <cellStyle name="쉼표 [0] 33" xfId="178"/>
    <cellStyle name="쉼표 [0] 34" xfId="90"/>
    <cellStyle name="쉼표 [0] 35" xfId="64"/>
    <cellStyle name="쉼표 [0] 35 2 3" xfId="91"/>
    <cellStyle name="쉼표 [0] 36" xfId="7"/>
    <cellStyle name="쉼표 [0] 4" xfId="14"/>
    <cellStyle name="쉼표 [0] 4 2" xfId="179"/>
    <cellStyle name="쉼표 [0] 4 3" xfId="92"/>
    <cellStyle name="쉼표 [0] 5" xfId="5"/>
    <cellStyle name="쉼표 [0] 5 2" xfId="180"/>
    <cellStyle name="쉼표 [0] 5 3" xfId="18"/>
    <cellStyle name="쉼표 [0] 5 9" xfId="54"/>
    <cellStyle name="쉼표 [0] 6" xfId="93"/>
    <cellStyle name="쉼표 [0] 6 2" xfId="181"/>
    <cellStyle name="쉼표 [0] 60" xfId="194"/>
    <cellStyle name="쉼표 [0] 7" xfId="94"/>
    <cellStyle name="쉼표 [0] 7 2" xfId="182"/>
    <cellStyle name="쉼표 [0] 8" xfId="95"/>
    <cellStyle name="쉼표 [0] 8 2" xfId="183"/>
    <cellStyle name="쉼표 [0] 9" xfId="96"/>
    <cellStyle name="쉼표 [0] 9 2" xfId="184"/>
    <cellStyle name="스타일 1" xfId="185"/>
    <cellStyle name="콤마 [0]_~wl2D1" xfId="186"/>
    <cellStyle name="콤마_~wl2D1" xfId="187"/>
    <cellStyle name="표준" xfId="0" builtinId="0"/>
    <cellStyle name="표준 10" xfId="12"/>
    <cellStyle name="표준 10 10 2" xfId="15"/>
    <cellStyle name="표준 10 2" xfId="31"/>
    <cellStyle name="표준 10 2 2" xfId="206"/>
    <cellStyle name="표준 10 3" xfId="97"/>
    <cellStyle name="표준 10 5" xfId="16"/>
    <cellStyle name="표준 10 8" xfId="205"/>
    <cellStyle name="표준 11" xfId="23"/>
    <cellStyle name="표준 11 2" xfId="99"/>
    <cellStyle name="표준 11 3" xfId="98"/>
    <cellStyle name="표준 112 2" xfId="30"/>
    <cellStyle name="표준 118" xfId="2"/>
    <cellStyle name="표준 12" xfId="100"/>
    <cellStyle name="표준 12 4" xfId="48"/>
    <cellStyle name="표준 12 4 2" xfId="58"/>
    <cellStyle name="표준 13" xfId="101"/>
    <cellStyle name="표준 14" xfId="65"/>
    <cellStyle name="표준 14 2" xfId="69"/>
    <cellStyle name="표준 145" xfId="56"/>
    <cellStyle name="표준 15" xfId="102"/>
    <cellStyle name="표준 15 46" xfId="24"/>
    <cellStyle name="표준 154" xfId="193"/>
    <cellStyle name="표준 154 2" xfId="200"/>
    <cellStyle name="표준 16" xfId="103"/>
    <cellStyle name="표준 16 2" xfId="104"/>
    <cellStyle name="표준 168 2" xfId="35"/>
    <cellStyle name="표준 19" xfId="60"/>
    <cellStyle name="표준 19 3" xfId="45"/>
    <cellStyle name="표준 2" xfId="11"/>
    <cellStyle name="표준 2 10" xfId="105"/>
    <cellStyle name="표준 2 2" xfId="29"/>
    <cellStyle name="표준 2 2 2" xfId="188"/>
    <cellStyle name="표준 2 2 4" xfId="6"/>
    <cellStyle name="표준 2 2 4 6 2" xfId="53"/>
    <cellStyle name="표준 2 3" xfId="27"/>
    <cellStyle name="표준 2 4" xfId="68"/>
    <cellStyle name="표준 2 4 2 2" xfId="201"/>
    <cellStyle name="표준 2 46" xfId="28"/>
    <cellStyle name="표준 2 6" xfId="43"/>
    <cellStyle name="표준 20 3" xfId="34"/>
    <cellStyle name="표준 21" xfId="106"/>
    <cellStyle name="표준 242" xfId="8"/>
    <cellStyle name="표준 245 4" xfId="66"/>
    <cellStyle name="표준 245 4 2" xfId="67"/>
    <cellStyle name="표준 245 4 2 2" xfId="107"/>
    <cellStyle name="표준 245 4 3" xfId="108"/>
    <cellStyle name="표준 26" xfId="109"/>
    <cellStyle name="표준 27" xfId="110"/>
    <cellStyle name="표준 28" xfId="111"/>
    <cellStyle name="표준 29" xfId="112"/>
    <cellStyle name="표준 3" xfId="9"/>
    <cellStyle name="표준 3 2" xfId="42"/>
    <cellStyle name="표준 3 2 2" xfId="189"/>
    <cellStyle name="표준 3 3" xfId="70"/>
    <cellStyle name="표준 317" xfId="198"/>
    <cellStyle name="표준 37" xfId="113"/>
    <cellStyle name="표준 37 10" xfId="114"/>
    <cellStyle name="표준 37 11" xfId="115"/>
    <cellStyle name="표준 37 12" xfId="116"/>
    <cellStyle name="표준 37 13" xfId="117"/>
    <cellStyle name="표준 37 2" xfId="118"/>
    <cellStyle name="표준 37 3" xfId="119"/>
    <cellStyle name="표준 37 4" xfId="120"/>
    <cellStyle name="표준 37 5" xfId="121"/>
    <cellStyle name="표준 37 6" xfId="122"/>
    <cellStyle name="표준 37 7" xfId="123"/>
    <cellStyle name="표준 37 8" xfId="124"/>
    <cellStyle name="표준 37 9" xfId="125"/>
    <cellStyle name="표준 4" xfId="4"/>
    <cellStyle name="표준 4 2" xfId="190"/>
    <cellStyle name="표준 4 2 7" xfId="204"/>
    <cellStyle name="표준 4 3" xfId="126"/>
    <cellStyle name="표준 4 3 3 2" xfId="199"/>
    <cellStyle name="표준 40" xfId="127"/>
    <cellStyle name="표준 41" xfId="128"/>
    <cellStyle name="표준 42" xfId="129"/>
    <cellStyle name="표준 43" xfId="130"/>
    <cellStyle name="표준 44" xfId="131"/>
    <cellStyle name="표준 5" xfId="10"/>
    <cellStyle name="표준 5 2" xfId="191"/>
    <cellStyle name="표준 5 2 2" xfId="195"/>
    <cellStyle name="표준 5 3" xfId="132"/>
    <cellStyle name="표준 6" xfId="133"/>
    <cellStyle name="표준 6 2" xfId="192"/>
    <cellStyle name="표준 64" xfId="134"/>
    <cellStyle name="표준 65" xfId="135"/>
    <cellStyle name="표준 67" xfId="136"/>
    <cellStyle name="표준 68" xfId="137"/>
    <cellStyle name="표준 69" xfId="138"/>
    <cellStyle name="표준 7" xfId="44"/>
    <cellStyle name="표준 7 2" xfId="139"/>
    <cellStyle name="표준 8" xfId="13"/>
    <cellStyle name="표준 8 2" xfId="140"/>
    <cellStyle name="표준 9" xfId="14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261937</xdr:colOff>
      <xdr:row>2</xdr:row>
      <xdr:rowOff>151342</xdr:rowOff>
    </xdr:from>
    <xdr:to>
      <xdr:col>10</xdr:col>
      <xdr:colOff>777345</xdr:colOff>
      <xdr:row>5</xdr:row>
      <xdr:rowOff>8467</xdr:rowOff>
    </xdr:to>
    <xdr:sp macro="[0]!compareValue_vlookup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358562" y="579967"/>
          <a:ext cx="1205971" cy="500063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vlookup</a:t>
          </a:r>
          <a:r>
            <a:rPr lang="ko-KR" altLang="en-US" sz="1100"/>
            <a:t>으로 비교</a:t>
          </a:r>
        </a:p>
      </xdr:txBody>
    </xdr:sp>
    <xdr:clientData/>
  </xdr:twoCellAnchor>
  <xdr:twoCellAnchor>
    <xdr:from>
      <xdr:col>9</xdr:col>
      <xdr:colOff>273844</xdr:colOff>
      <xdr:row>5</xdr:row>
      <xdr:rowOff>189442</xdr:rowOff>
    </xdr:from>
    <xdr:to>
      <xdr:col>10</xdr:col>
      <xdr:colOff>833702</xdr:colOff>
      <xdr:row>8</xdr:row>
      <xdr:rowOff>52917</xdr:rowOff>
    </xdr:to>
    <xdr:sp macro="[0]!compareValue_sumif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370469" y="1261005"/>
          <a:ext cx="1250421" cy="506412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sum</a:t>
          </a:r>
          <a:r>
            <a:rPr lang="ko-KR" altLang="en-US" sz="1100"/>
            <a:t>으로 비교</a:t>
          </a:r>
        </a:p>
      </xdr:txBody>
    </xdr:sp>
    <xdr:clientData/>
  </xdr:twoCellAnchor>
  <xdr:twoCellAnchor>
    <xdr:from>
      <xdr:col>11</xdr:col>
      <xdr:colOff>631029</xdr:colOff>
      <xdr:row>1</xdr:row>
      <xdr:rowOff>71439</xdr:rowOff>
    </xdr:from>
    <xdr:to>
      <xdr:col>18</xdr:col>
      <xdr:colOff>166687</xdr:colOff>
      <xdr:row>8</xdr:row>
      <xdr:rowOff>119063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3501685" y="285752"/>
          <a:ext cx="4691065" cy="154781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900"/>
            <a:t>사용순서</a:t>
          </a:r>
          <a:endParaRPr lang="en-US" altLang="ko-KR" sz="900"/>
        </a:p>
        <a:p>
          <a:r>
            <a:rPr lang="en-US" altLang="ko-KR" sz="900"/>
            <a:t>1. FROM</a:t>
          </a:r>
          <a:r>
            <a:rPr lang="ko-KR" altLang="en-US" sz="900"/>
            <a:t>파일에서 현재시트로 복사하려면  초록색  파일순번을 더블클릭</a:t>
          </a:r>
          <a:endParaRPr lang="en-US" altLang="ko-KR" sz="900"/>
        </a:p>
        <a:p>
          <a:r>
            <a:rPr lang="en-US" altLang="ko-KR" sz="900"/>
            <a:t>  (</a:t>
          </a:r>
          <a:r>
            <a:rPr lang="ko-KR" altLang="en-US" sz="900"/>
            <a:t>가져올 컬럼 위치 확인 필수</a:t>
          </a:r>
          <a:r>
            <a:rPr lang="en-US" altLang="ko-KR" sz="900"/>
            <a:t>!!)</a:t>
          </a:r>
        </a:p>
        <a:p>
          <a:r>
            <a:rPr lang="en-US" altLang="ko-KR" sz="900"/>
            <a:t>2. SUM </a:t>
          </a:r>
          <a:r>
            <a:rPr lang="ko-KR" altLang="en-US" sz="900"/>
            <a:t>으로 비교 버튼 클릭</a:t>
          </a:r>
          <a:endParaRPr lang="en-US" altLang="ko-KR" sz="900"/>
        </a:p>
        <a:p>
          <a:r>
            <a:rPr lang="en-US" altLang="ko-KR" sz="900"/>
            <a:t>3. </a:t>
          </a:r>
          <a:r>
            <a:rPr lang="ko-KR" altLang="en-US" sz="900"/>
            <a:t>차이나는 경우 </a:t>
          </a:r>
          <a:endParaRPr lang="en-US" altLang="ko-KR" sz="900"/>
        </a:p>
        <a:p>
          <a:r>
            <a:rPr lang="en-US" altLang="ko-KR" sz="900"/>
            <a:t> - </a:t>
          </a:r>
          <a:r>
            <a:rPr lang="ko-KR" altLang="en-US" sz="900"/>
            <a:t>본인계약확인 버튼</a:t>
          </a:r>
          <a:endParaRPr lang="en-US" altLang="ko-KR" sz="900"/>
        </a:p>
        <a:p>
          <a:r>
            <a:rPr lang="en-US" altLang="ko-KR" sz="900"/>
            <a:t>- </a:t>
          </a:r>
          <a:r>
            <a:rPr lang="ko-KR" altLang="en-US" sz="900"/>
            <a:t>월납변경 </a:t>
          </a:r>
          <a:r>
            <a:rPr lang="en-US" altLang="ko-KR" sz="900"/>
            <a:t>-</a:t>
          </a:r>
          <a:r>
            <a:rPr lang="ko-KR" altLang="en-US" sz="900"/>
            <a:t> </a:t>
          </a:r>
          <a:r>
            <a:rPr lang="en-US" altLang="ko-KR" sz="900"/>
            <a:t>A</a:t>
          </a:r>
          <a:r>
            <a:rPr lang="ko-KR" altLang="en-US" sz="900"/>
            <a:t>의 증번을 더블클릭</a:t>
          </a:r>
          <a:r>
            <a:rPr lang="en-US" altLang="ko-KR" sz="900"/>
            <a:t>(</a:t>
          </a:r>
          <a:r>
            <a:rPr lang="ko-KR" altLang="en-US" sz="900"/>
            <a:t>또는 월납변경버튼</a:t>
          </a:r>
          <a:r>
            <a:rPr lang="en-US" altLang="ko-KR" sz="900"/>
            <a:t>)</a:t>
          </a:r>
          <a:r>
            <a:rPr lang="ko-KR" altLang="en-US" sz="900"/>
            <a:t>하면 시상시트의  월납을 변경함</a:t>
          </a:r>
        </a:p>
      </xdr:txBody>
    </xdr:sp>
    <xdr:clientData/>
  </xdr:twoCellAnchor>
  <xdr:twoCellAnchor>
    <xdr:from>
      <xdr:col>9</xdr:col>
      <xdr:colOff>366714</xdr:colOff>
      <xdr:row>20</xdr:row>
      <xdr:rowOff>150019</xdr:rowOff>
    </xdr:from>
    <xdr:to>
      <xdr:col>10</xdr:col>
      <xdr:colOff>926572</xdr:colOff>
      <xdr:row>23</xdr:row>
      <xdr:rowOff>8731</xdr:rowOff>
    </xdr:to>
    <xdr:sp macro="[0]!월납변경" textlink="">
      <xdr:nvSpPr>
        <xdr:cNvPr id="5" name="직사각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491914" y="4521994"/>
          <a:ext cx="1226608" cy="51593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월납변경</a:t>
          </a:r>
        </a:p>
      </xdr:txBody>
    </xdr:sp>
    <xdr:clientData/>
  </xdr:twoCellAnchor>
  <xdr:twoCellAnchor>
    <xdr:from>
      <xdr:col>9</xdr:col>
      <xdr:colOff>376239</xdr:colOff>
      <xdr:row>23</xdr:row>
      <xdr:rowOff>140494</xdr:rowOff>
    </xdr:from>
    <xdr:to>
      <xdr:col>10</xdr:col>
      <xdr:colOff>936097</xdr:colOff>
      <xdr:row>25</xdr:row>
      <xdr:rowOff>218281</xdr:rowOff>
    </xdr:to>
    <xdr:sp macro="[0]!보종변경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501439" y="5169694"/>
          <a:ext cx="1226608" cy="51593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실손→보장 </a:t>
          </a:r>
        </a:p>
      </xdr:txBody>
    </xdr:sp>
    <xdr:clientData/>
  </xdr:twoCellAnchor>
  <xdr:twoCellAnchor>
    <xdr:from>
      <xdr:col>9</xdr:col>
      <xdr:colOff>400050</xdr:colOff>
      <xdr:row>26</xdr:row>
      <xdr:rowOff>209549</xdr:rowOff>
    </xdr:from>
    <xdr:to>
      <xdr:col>10</xdr:col>
      <xdr:colOff>959908</xdr:colOff>
      <xdr:row>30</xdr:row>
      <xdr:rowOff>142874</xdr:rowOff>
    </xdr:to>
    <xdr:sp macro="[0]!본인여부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544300" y="5781674"/>
          <a:ext cx="1250421" cy="790575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본인계약 여부</a:t>
          </a:r>
          <a:endParaRPr lang="en-US" altLang="ko-KR" sz="1100"/>
        </a:p>
        <a:p>
          <a:pPr algn="ctr"/>
          <a:r>
            <a:rPr lang="en-US" altLang="ko-KR" sz="1100"/>
            <a:t>(</a:t>
          </a:r>
          <a:r>
            <a:rPr lang="ko-KR" altLang="en-US" sz="1100"/>
            <a:t>차이건</a:t>
          </a:r>
          <a:r>
            <a:rPr lang="en-US" altLang="ko-KR" sz="1100"/>
            <a:t>)</a:t>
          </a:r>
          <a:endParaRPr lang="ko-KR" altLang="en-US" sz="1100"/>
        </a:p>
      </xdr:txBody>
    </xdr:sp>
    <xdr:clientData/>
  </xdr:twoCellAnchor>
  <xdr:twoCellAnchor>
    <xdr:from>
      <xdr:col>9</xdr:col>
      <xdr:colOff>381000</xdr:colOff>
      <xdr:row>32</xdr:row>
      <xdr:rowOff>23812</xdr:rowOff>
    </xdr:from>
    <xdr:to>
      <xdr:col>10</xdr:col>
      <xdr:colOff>940858</xdr:colOff>
      <xdr:row>34</xdr:row>
      <xdr:rowOff>96837</xdr:rowOff>
    </xdr:to>
    <xdr:sp macro="[0]!월납변경ALL" textlink="">
      <xdr:nvSpPr>
        <xdr:cNvPr id="8" name="직사각형 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501438" y="6881812"/>
          <a:ext cx="1218670" cy="50165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월납변경</a:t>
          </a:r>
          <a:r>
            <a:rPr lang="en-US" altLang="ko-KR" sz="1100"/>
            <a:t>all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266700</xdr:colOff>
          <xdr:row>21</xdr:row>
          <xdr:rowOff>99060</xdr:rowOff>
        </xdr:from>
        <xdr:to>
          <xdr:col>1</xdr:col>
          <xdr:colOff>617220</xdr:colOff>
          <xdr:row>23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열린 파일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670560</xdr:colOff>
          <xdr:row>12</xdr:row>
          <xdr:rowOff>22860</xdr:rowOff>
        </xdr:from>
        <xdr:to>
          <xdr:col>6</xdr:col>
          <xdr:colOff>723900</xdr:colOff>
          <xdr:row>13</xdr:row>
          <xdr:rowOff>152400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문자를 숫자로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</xdr:colOff>
          <xdr:row>2</xdr:row>
          <xdr:rowOff>106680</xdr:rowOff>
        </xdr:from>
        <xdr:to>
          <xdr:col>7</xdr:col>
          <xdr:colOff>449580</xdr:colOff>
          <xdr:row>4</xdr:row>
          <xdr:rowOff>38100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KJ지사 식별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670560</xdr:colOff>
          <xdr:row>14</xdr:row>
          <xdr:rowOff>137160</xdr:rowOff>
        </xdr:from>
        <xdr:to>
          <xdr:col>6</xdr:col>
          <xdr:colOff>708660</xdr:colOff>
          <xdr:row>16</xdr:row>
          <xdr:rowOff>60960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음수로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22860</xdr:colOff>
          <xdr:row>20</xdr:row>
          <xdr:rowOff>76200</xdr:rowOff>
        </xdr:from>
        <xdr:to>
          <xdr:col>6</xdr:col>
          <xdr:colOff>731520</xdr:colOff>
          <xdr:row>21</xdr:row>
          <xdr:rowOff>182880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22860</xdr:colOff>
          <xdr:row>23</xdr:row>
          <xdr:rowOff>106680</xdr:rowOff>
        </xdr:from>
        <xdr:to>
          <xdr:col>6</xdr:col>
          <xdr:colOff>731520</xdr:colOff>
          <xdr:row>24</xdr:row>
          <xdr:rowOff>213360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숫자서식적용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</xdr:row>
          <xdr:rowOff>213360</xdr:rowOff>
        </xdr:from>
        <xdr:to>
          <xdr:col>7</xdr:col>
          <xdr:colOff>121920</xdr:colOff>
          <xdr:row>7</xdr:row>
          <xdr:rowOff>213360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불필요 컬럼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4</xdr:row>
          <xdr:rowOff>213360</xdr:rowOff>
        </xdr:from>
        <xdr:to>
          <xdr:col>2</xdr:col>
          <xdr:colOff>609600</xdr:colOff>
          <xdr:row>7</xdr:row>
          <xdr:rowOff>121920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1. 조건데이터 가져오기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(From 지정월 파일)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274320</xdr:colOff>
          <xdr:row>5</xdr:row>
          <xdr:rowOff>213360</xdr:rowOff>
        </xdr:from>
        <xdr:to>
          <xdr:col>8</xdr:col>
          <xdr:colOff>365760</xdr:colOff>
          <xdr:row>7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지정컬럼만 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7</xdr:row>
          <xdr:rowOff>213360</xdr:rowOff>
        </xdr:from>
        <xdr:to>
          <xdr:col>8</xdr:col>
          <xdr:colOff>571500</xdr:colOff>
          <xdr:row>9</xdr:row>
          <xdr:rowOff>213360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조건영역확대,축소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678180</xdr:colOff>
          <xdr:row>4</xdr:row>
          <xdr:rowOff>213360</xdr:rowOff>
        </xdr:from>
        <xdr:to>
          <xdr:col>4</xdr:col>
          <xdr:colOff>533400</xdr:colOff>
          <xdr:row>7</xdr:row>
          <xdr:rowOff>106680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2. 조건데이터가져오기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(From 'y'표시 모든 파일)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175260</xdr:colOff>
          <xdr:row>5</xdr:row>
          <xdr:rowOff>152400</xdr:rowOff>
        </xdr:from>
        <xdr:to>
          <xdr:col>3</xdr:col>
          <xdr:colOff>236220</xdr:colOff>
          <xdr:row>7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컬럼비교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1</xdr:row>
          <xdr:rowOff>99060</xdr:rowOff>
        </xdr:from>
        <xdr:to>
          <xdr:col>8</xdr:col>
          <xdr:colOff>22860</xdr:colOff>
          <xdr:row>3</xdr:row>
          <xdr:rowOff>99060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693420</xdr:colOff>
          <xdr:row>6</xdr:row>
          <xdr:rowOff>213360</xdr:rowOff>
        </xdr:from>
        <xdr:to>
          <xdr:col>12</xdr:col>
          <xdr:colOff>563880</xdr:colOff>
          <xdr:row>8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시트크기ㅣ점검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594360</xdr:colOff>
          <xdr:row>10</xdr:row>
          <xdr:rowOff>198120</xdr:rowOff>
        </xdr:from>
        <xdr:to>
          <xdr:col>8</xdr:col>
          <xdr:colOff>259080</xdr:colOff>
          <xdr:row>13</xdr:row>
          <xdr:rowOff>30480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합계참조컬럼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체크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1342"/>
  <sheetViews>
    <sheetView topLeftCell="A64" zoomScale="80" zoomScaleNormal="80" zoomScaleSheetLayoutView="98" workbookViewId="0">
      <selection activeCell="G14" sqref="G14"/>
    </sheetView>
  </sheetViews>
  <sheetFormatPr defaultRowHeight="17.399999999999999"/>
  <cols>
    <col min="1" max="1" width="18.5" style="1" bestFit="1" customWidth="1"/>
    <col min="2" max="2" width="13" style="4" bestFit="1" customWidth="1"/>
    <col min="3" max="3" width="14.59765625" style="3" bestFit="1" customWidth="1"/>
    <col min="4" max="4" width="20.59765625" style="2" customWidth="1"/>
    <col min="6" max="6" width="21.3984375" style="107" customWidth="1"/>
    <col min="7" max="7" width="17.09765625" style="2" customWidth="1"/>
    <col min="8" max="8" width="17.09765625" style="3" customWidth="1"/>
    <col min="9" max="9" width="14.59765625" style="2" customWidth="1"/>
    <col min="11" max="11" width="13.59765625" customWidth="1"/>
    <col min="12" max="12" width="12" customWidth="1"/>
    <col min="15" max="15" width="10.3984375" customWidth="1"/>
  </cols>
  <sheetData>
    <row r="1" spans="1:20" ht="26.4">
      <c r="A1" s="26" t="s">
        <v>0</v>
      </c>
      <c r="B1" s="26" t="s">
        <v>1</v>
      </c>
      <c r="C1" s="2" t="s">
        <v>556</v>
      </c>
      <c r="D1" s="2" t="s">
        <v>557</v>
      </c>
      <c r="E1" s="26" t="s">
        <v>37</v>
      </c>
      <c r="F1" s="95" t="s">
        <v>470</v>
      </c>
      <c r="G1" s="90" t="s">
        <v>550</v>
      </c>
      <c r="H1" s="31" t="s">
        <v>555</v>
      </c>
      <c r="I1" s="2" t="s">
        <v>558</v>
      </c>
      <c r="J1" s="2"/>
      <c r="K1" s="2"/>
      <c r="M1" s="7"/>
    </row>
    <row r="2" spans="1:20">
      <c r="A2" s="26" t="s">
        <v>508</v>
      </c>
      <c r="B2" s="4">
        <v>38840</v>
      </c>
      <c r="C2" s="2">
        <f>SUMIFS($G$2:$G$77,$F$2:$F$77,$A2)</f>
        <v>38840</v>
      </c>
      <c r="D2" s="27">
        <f xml:space="preserve"> $B2-$C2</f>
        <v>0</v>
      </c>
      <c r="E2" s="66" t="s">
        <v>50</v>
      </c>
      <c r="F2" s="96" t="s">
        <v>508</v>
      </c>
      <c r="G2" s="25">
        <v>38840</v>
      </c>
      <c r="H2" s="32">
        <f>SUMIFS($B$2:$B$83,$A$2:$A$83,$F2)</f>
        <v>38840</v>
      </c>
      <c r="I2" s="2">
        <f xml:space="preserve"> $G2-$H2</f>
        <v>0</v>
      </c>
      <c r="K2">
        <v>1000</v>
      </c>
      <c r="M2" s="7"/>
    </row>
    <row r="3" spans="1:20">
      <c r="A3" s="26" t="s">
        <v>503</v>
      </c>
      <c r="B3" s="4">
        <v>56700</v>
      </c>
      <c r="C3" s="2">
        <f t="shared" ref="C3:C66" si="0">SUMIFS($G$2:$G$77,$F$2:$F$77,$A3)</f>
        <v>56700</v>
      </c>
      <c r="D3" s="27">
        <f t="shared" ref="D3:D66" si="1" xml:space="preserve"> $B3-$C3</f>
        <v>0</v>
      </c>
      <c r="E3" s="26" t="s">
        <v>50</v>
      </c>
      <c r="F3" s="96" t="s">
        <v>503</v>
      </c>
      <c r="G3" s="25">
        <v>56700</v>
      </c>
      <c r="H3" s="32">
        <f t="shared" ref="H3:H66" si="2">SUMIFS($B$2:$B$83,$A$2:$A$83,$F3)</f>
        <v>56700</v>
      </c>
      <c r="I3" s="2">
        <f t="shared" ref="I3:I66" si="3" xml:space="preserve"> $G3-$H3</f>
        <v>0</v>
      </c>
      <c r="L3" t="s">
        <v>79</v>
      </c>
    </row>
    <row r="4" spans="1:20">
      <c r="A4" s="26" t="s">
        <v>504</v>
      </c>
      <c r="B4" s="4">
        <v>136680</v>
      </c>
      <c r="C4" s="2">
        <f t="shared" si="0"/>
        <v>136680</v>
      </c>
      <c r="D4" s="27">
        <f t="shared" si="1"/>
        <v>0</v>
      </c>
      <c r="E4" s="26" t="s">
        <v>50</v>
      </c>
      <c r="F4" s="105" t="s">
        <v>504</v>
      </c>
      <c r="G4" s="25">
        <v>136680</v>
      </c>
      <c r="H4" s="32">
        <f t="shared" si="2"/>
        <v>136680</v>
      </c>
      <c r="I4" s="2">
        <f t="shared" si="3"/>
        <v>0</v>
      </c>
      <c r="L4" t="s">
        <v>80</v>
      </c>
    </row>
    <row r="5" spans="1:20">
      <c r="A5" s="26" t="s">
        <v>509</v>
      </c>
      <c r="B5" s="4">
        <v>44820</v>
      </c>
      <c r="C5" s="2">
        <f t="shared" si="0"/>
        <v>44820</v>
      </c>
      <c r="D5" s="27">
        <f t="shared" si="1"/>
        <v>0</v>
      </c>
      <c r="E5" s="66" t="s">
        <v>50</v>
      </c>
      <c r="F5" s="109" t="s">
        <v>509</v>
      </c>
      <c r="G5" s="25">
        <v>44820</v>
      </c>
      <c r="H5" s="32">
        <f t="shared" si="2"/>
        <v>44820</v>
      </c>
      <c r="I5" s="2">
        <f t="shared" si="3"/>
        <v>0</v>
      </c>
      <c r="T5" t="s">
        <v>201</v>
      </c>
    </row>
    <row r="6" spans="1:20">
      <c r="A6" s="26" t="s">
        <v>532</v>
      </c>
      <c r="B6" s="4">
        <v>30000</v>
      </c>
      <c r="C6" s="2">
        <f t="shared" si="0"/>
        <v>30000</v>
      </c>
      <c r="D6" s="27">
        <f t="shared" si="1"/>
        <v>0</v>
      </c>
      <c r="E6" s="26" t="s">
        <v>50</v>
      </c>
      <c r="F6" s="106" t="s">
        <v>532</v>
      </c>
      <c r="G6" s="25">
        <v>30000</v>
      </c>
      <c r="H6" s="32">
        <f t="shared" si="2"/>
        <v>30000</v>
      </c>
      <c r="I6" s="2">
        <f t="shared" si="3"/>
        <v>0</v>
      </c>
      <c r="L6" t="s">
        <v>82</v>
      </c>
      <c r="T6" s="51" t="str">
        <f>L13</f>
        <v>202107 KJ시상정산.xlsx</v>
      </c>
    </row>
    <row r="7" spans="1:20">
      <c r="A7" s="26" t="s">
        <v>549</v>
      </c>
      <c r="B7" s="4">
        <v>62600</v>
      </c>
      <c r="C7" s="2">
        <f t="shared" si="0"/>
        <v>62600</v>
      </c>
      <c r="D7" s="27">
        <f t="shared" si="1"/>
        <v>0</v>
      </c>
      <c r="E7" s="26" t="s">
        <v>50</v>
      </c>
      <c r="F7" s="106" t="s">
        <v>549</v>
      </c>
      <c r="G7" s="25">
        <v>62600</v>
      </c>
      <c r="H7" s="32">
        <f t="shared" si="2"/>
        <v>62600</v>
      </c>
      <c r="I7" s="2">
        <f t="shared" si="3"/>
        <v>0</v>
      </c>
      <c r="L7" t="s">
        <v>81</v>
      </c>
    </row>
    <row r="8" spans="1:20">
      <c r="A8" s="26" t="s">
        <v>489</v>
      </c>
      <c r="B8" s="4">
        <v>76930</v>
      </c>
      <c r="C8" s="2">
        <f t="shared" si="0"/>
        <v>76930</v>
      </c>
      <c r="D8" s="27">
        <f t="shared" si="1"/>
        <v>0</v>
      </c>
      <c r="E8" s="66" t="s">
        <v>50</v>
      </c>
      <c r="F8" s="98" t="s">
        <v>489</v>
      </c>
      <c r="G8" s="25">
        <v>76930</v>
      </c>
      <c r="H8" s="32">
        <f t="shared" si="2"/>
        <v>76930</v>
      </c>
      <c r="I8" s="2">
        <f t="shared" si="3"/>
        <v>0</v>
      </c>
      <c r="L8" s="1"/>
      <c r="M8" s="7"/>
    </row>
    <row r="9" spans="1:20">
      <c r="A9" s="26" t="s">
        <v>538</v>
      </c>
      <c r="B9" s="4">
        <v>28000</v>
      </c>
      <c r="C9" s="2">
        <f t="shared" si="0"/>
        <v>28000</v>
      </c>
      <c r="D9" s="27">
        <f t="shared" si="1"/>
        <v>0</v>
      </c>
      <c r="E9" s="26" t="s">
        <v>50</v>
      </c>
      <c r="F9" s="106" t="s">
        <v>538</v>
      </c>
      <c r="G9" s="25">
        <v>28000</v>
      </c>
      <c r="H9" s="32">
        <f t="shared" si="2"/>
        <v>28000</v>
      </c>
      <c r="I9" s="2">
        <f t="shared" si="3"/>
        <v>0</v>
      </c>
    </row>
    <row r="10" spans="1:20">
      <c r="A10" s="26" t="s">
        <v>534</v>
      </c>
      <c r="B10" s="4">
        <v>61000</v>
      </c>
      <c r="C10" s="2">
        <f t="shared" si="0"/>
        <v>61000</v>
      </c>
      <c r="D10" s="27">
        <f t="shared" si="1"/>
        <v>0</v>
      </c>
      <c r="E10" s="66" t="s">
        <v>50</v>
      </c>
      <c r="F10" s="109" t="s">
        <v>534</v>
      </c>
      <c r="G10" s="25">
        <v>61000</v>
      </c>
      <c r="H10" s="32">
        <f t="shared" si="2"/>
        <v>61000</v>
      </c>
      <c r="I10" s="2">
        <f t="shared" si="3"/>
        <v>0</v>
      </c>
      <c r="K10" s="59" t="s">
        <v>199</v>
      </c>
      <c r="L10" s="27" t="s">
        <v>198</v>
      </c>
    </row>
    <row r="11" spans="1:20">
      <c r="A11" s="26" t="s">
        <v>536</v>
      </c>
      <c r="B11" s="26">
        <v>30560</v>
      </c>
      <c r="C11" s="2">
        <f t="shared" si="0"/>
        <v>30560</v>
      </c>
      <c r="D11" s="27">
        <f t="shared" si="1"/>
        <v>0</v>
      </c>
      <c r="E11" s="66" t="s">
        <v>50</v>
      </c>
      <c r="F11" s="105" t="s">
        <v>536</v>
      </c>
      <c r="G11" s="25">
        <v>30560</v>
      </c>
      <c r="H11" s="32">
        <f t="shared" si="2"/>
        <v>30560</v>
      </c>
      <c r="I11" s="2">
        <f t="shared" si="3"/>
        <v>0</v>
      </c>
      <c r="L11" t="s">
        <v>197</v>
      </c>
      <c r="N11" s="7" t="s">
        <v>200</v>
      </c>
      <c r="R11" s="54" t="s">
        <v>196</v>
      </c>
    </row>
    <row r="12" spans="1:20">
      <c r="A12" s="26" t="s">
        <v>490</v>
      </c>
      <c r="B12" s="4">
        <v>110140</v>
      </c>
      <c r="C12" s="2">
        <f t="shared" si="0"/>
        <v>110140</v>
      </c>
      <c r="D12" s="27">
        <f t="shared" si="1"/>
        <v>0</v>
      </c>
      <c r="E12" s="66" t="s">
        <v>50</v>
      </c>
      <c r="F12" s="106" t="s">
        <v>490</v>
      </c>
      <c r="G12" s="25">
        <v>110140</v>
      </c>
      <c r="H12" s="32">
        <f t="shared" si="2"/>
        <v>110140</v>
      </c>
      <c r="I12" s="2">
        <f t="shared" si="3"/>
        <v>0</v>
      </c>
      <c r="N12" s="52" t="s">
        <v>203</v>
      </c>
      <c r="O12" s="52" t="s">
        <v>202</v>
      </c>
      <c r="P12" s="52" t="s">
        <v>204</v>
      </c>
      <c r="R12" s="52" t="s">
        <v>205</v>
      </c>
      <c r="S12" s="52" t="s">
        <v>206</v>
      </c>
      <c r="T12" s="52" t="s">
        <v>207</v>
      </c>
    </row>
    <row r="13" spans="1:20">
      <c r="A13" s="26" t="s">
        <v>535</v>
      </c>
      <c r="B13" s="4">
        <v>122840</v>
      </c>
      <c r="C13" s="2">
        <f t="shared" si="0"/>
        <v>122840</v>
      </c>
      <c r="D13" s="27">
        <f t="shared" si="1"/>
        <v>0</v>
      </c>
      <c r="E13" s="66" t="s">
        <v>50</v>
      </c>
      <c r="F13" s="97" t="s">
        <v>535</v>
      </c>
      <c r="G13" s="25">
        <v>122840</v>
      </c>
      <c r="H13" s="32">
        <f t="shared" si="2"/>
        <v>122840</v>
      </c>
      <c r="I13" s="2">
        <f t="shared" si="3"/>
        <v>0</v>
      </c>
      <c r="K13" s="49">
        <v>1</v>
      </c>
      <c r="L13" s="50" t="s">
        <v>431</v>
      </c>
      <c r="N13" s="52" t="s">
        <v>386</v>
      </c>
      <c r="O13" s="52" t="s">
        <v>387</v>
      </c>
      <c r="P13" s="52" t="s">
        <v>390</v>
      </c>
      <c r="R13" s="52" t="s">
        <v>208</v>
      </c>
      <c r="S13" s="52" t="s">
        <v>209</v>
      </c>
      <c r="T13" s="52" t="s">
        <v>210</v>
      </c>
    </row>
    <row r="14" spans="1:20">
      <c r="A14" s="25" t="s">
        <v>531</v>
      </c>
      <c r="B14" s="4">
        <v>40000</v>
      </c>
      <c r="C14" s="2">
        <f t="shared" si="0"/>
        <v>40000</v>
      </c>
      <c r="D14" s="27">
        <f t="shared" si="1"/>
        <v>0</v>
      </c>
      <c r="E14" s="66" t="s">
        <v>50</v>
      </c>
      <c r="F14" s="106" t="s">
        <v>531</v>
      </c>
      <c r="G14" s="25">
        <v>40000</v>
      </c>
      <c r="H14" s="32">
        <f t="shared" si="2"/>
        <v>40000</v>
      </c>
      <c r="I14" s="2">
        <f t="shared" si="3"/>
        <v>0</v>
      </c>
      <c r="K14" s="49">
        <v>2</v>
      </c>
      <c r="L14" s="50" t="s">
        <v>469</v>
      </c>
      <c r="N14" s="53" t="s">
        <v>472</v>
      </c>
      <c r="O14" s="53" t="s">
        <v>473</v>
      </c>
      <c r="P14" s="52"/>
      <c r="R14" s="52" t="s">
        <v>211</v>
      </c>
      <c r="S14" s="52" t="s">
        <v>212</v>
      </c>
      <c r="T14" s="52"/>
    </row>
    <row r="15" spans="1:20" ht="17.25" customHeight="1">
      <c r="A15" s="26" t="s">
        <v>498</v>
      </c>
      <c r="B15" s="4">
        <v>38000</v>
      </c>
      <c r="C15" s="2">
        <f t="shared" si="0"/>
        <v>38000</v>
      </c>
      <c r="D15" s="27">
        <f t="shared" si="1"/>
        <v>0</v>
      </c>
      <c r="E15" s="66" t="s">
        <v>50</v>
      </c>
      <c r="F15" s="105" t="s">
        <v>498</v>
      </c>
      <c r="G15" s="25">
        <v>38000</v>
      </c>
      <c r="H15" s="32">
        <f t="shared" si="2"/>
        <v>38000</v>
      </c>
      <c r="I15" s="2">
        <f t="shared" si="3"/>
        <v>0</v>
      </c>
      <c r="K15" s="49"/>
      <c r="L15" s="50"/>
      <c r="N15" s="56" t="s">
        <v>471</v>
      </c>
      <c r="O15" s="55" t="s">
        <v>373</v>
      </c>
    </row>
    <row r="16" spans="1:20">
      <c r="A16" s="26" t="s">
        <v>521</v>
      </c>
      <c r="B16" s="4">
        <v>50000</v>
      </c>
      <c r="C16" s="2">
        <f t="shared" si="0"/>
        <v>50000</v>
      </c>
      <c r="D16" s="27">
        <f t="shared" si="1"/>
        <v>0</v>
      </c>
      <c r="E16" s="66" t="s">
        <v>50</v>
      </c>
      <c r="F16" s="105" t="s">
        <v>521</v>
      </c>
      <c r="G16" s="25">
        <v>50000</v>
      </c>
      <c r="H16" s="32">
        <f t="shared" si="2"/>
        <v>50000</v>
      </c>
      <c r="I16" s="2">
        <f t="shared" si="3"/>
        <v>0</v>
      </c>
      <c r="K16" s="25"/>
      <c r="O16" s="57"/>
    </row>
    <row r="17" spans="1:14">
      <c r="A17" s="26" t="s">
        <v>474</v>
      </c>
      <c r="B17" s="4">
        <v>73710</v>
      </c>
      <c r="C17" s="2">
        <f t="shared" si="0"/>
        <v>73710</v>
      </c>
      <c r="D17" s="27">
        <f t="shared" si="1"/>
        <v>0</v>
      </c>
      <c r="E17" s="26" t="s">
        <v>50</v>
      </c>
      <c r="F17" s="105" t="s">
        <v>474</v>
      </c>
      <c r="G17" s="25">
        <v>73710</v>
      </c>
      <c r="H17" s="32">
        <f t="shared" si="2"/>
        <v>73710</v>
      </c>
      <c r="I17" s="2">
        <f t="shared" si="3"/>
        <v>0</v>
      </c>
      <c r="N17" t="s">
        <v>213</v>
      </c>
    </row>
    <row r="18" spans="1:14">
      <c r="A18" s="26" t="s">
        <v>539</v>
      </c>
      <c r="B18" s="4">
        <v>12540</v>
      </c>
      <c r="C18" s="2">
        <f t="shared" si="0"/>
        <v>12540</v>
      </c>
      <c r="D18" s="27">
        <f t="shared" si="1"/>
        <v>0</v>
      </c>
      <c r="E18" s="66" t="s">
        <v>50</v>
      </c>
      <c r="F18" s="106" t="s">
        <v>539</v>
      </c>
      <c r="G18" s="25">
        <v>12540</v>
      </c>
      <c r="H18" s="32">
        <f t="shared" si="2"/>
        <v>12540</v>
      </c>
      <c r="I18" s="2">
        <f t="shared" si="3"/>
        <v>0</v>
      </c>
      <c r="N18" t="s">
        <v>214</v>
      </c>
    </row>
    <row r="19" spans="1:14">
      <c r="A19" s="26" t="s">
        <v>479</v>
      </c>
      <c r="B19" s="4">
        <v>82390</v>
      </c>
      <c r="C19" s="2">
        <f t="shared" si="0"/>
        <v>82390</v>
      </c>
      <c r="D19" s="27">
        <f t="shared" si="1"/>
        <v>0</v>
      </c>
      <c r="E19" s="66" t="s">
        <v>50</v>
      </c>
      <c r="F19" s="106" t="s">
        <v>479</v>
      </c>
      <c r="G19" s="25">
        <v>82390</v>
      </c>
      <c r="H19" s="32">
        <f t="shared" si="2"/>
        <v>82390</v>
      </c>
      <c r="I19" s="2">
        <f t="shared" si="3"/>
        <v>0</v>
      </c>
      <c r="K19" s="25"/>
    </row>
    <row r="20" spans="1:14">
      <c r="A20" s="26" t="s">
        <v>505</v>
      </c>
      <c r="B20" s="4">
        <v>89770</v>
      </c>
      <c r="C20" s="2">
        <f t="shared" si="0"/>
        <v>89770</v>
      </c>
      <c r="D20" s="27">
        <f t="shared" si="1"/>
        <v>0</v>
      </c>
      <c r="E20" s="66" t="s">
        <v>50</v>
      </c>
      <c r="F20" s="106" t="s">
        <v>505</v>
      </c>
      <c r="G20" s="25">
        <v>89770</v>
      </c>
      <c r="H20" s="32">
        <f t="shared" si="2"/>
        <v>89770</v>
      </c>
      <c r="I20" s="2">
        <f t="shared" si="3"/>
        <v>0</v>
      </c>
      <c r="K20" t="s">
        <v>256</v>
      </c>
    </row>
    <row r="21" spans="1:14">
      <c r="A21" s="26" t="s">
        <v>500</v>
      </c>
      <c r="B21" s="4">
        <v>104000</v>
      </c>
      <c r="C21" s="2">
        <f t="shared" si="0"/>
        <v>104000</v>
      </c>
      <c r="D21" s="27">
        <f t="shared" si="1"/>
        <v>0</v>
      </c>
      <c r="E21" s="66" t="s">
        <v>50</v>
      </c>
      <c r="F21" s="98" t="s">
        <v>500</v>
      </c>
      <c r="G21" s="25">
        <v>104000</v>
      </c>
      <c r="H21" s="32">
        <f t="shared" si="2"/>
        <v>104000</v>
      </c>
      <c r="I21" s="2">
        <f t="shared" si="3"/>
        <v>0</v>
      </c>
    </row>
    <row r="22" spans="1:14">
      <c r="A22" s="26" t="s">
        <v>480</v>
      </c>
      <c r="B22" s="4">
        <v>24940</v>
      </c>
      <c r="C22" s="2">
        <f t="shared" si="0"/>
        <v>24940</v>
      </c>
      <c r="D22" s="27">
        <f t="shared" si="1"/>
        <v>0</v>
      </c>
      <c r="E22" s="66" t="s">
        <v>50</v>
      </c>
      <c r="F22" s="105" t="s">
        <v>480</v>
      </c>
      <c r="G22" s="25">
        <v>24940</v>
      </c>
      <c r="H22" s="32">
        <f t="shared" si="2"/>
        <v>24940</v>
      </c>
      <c r="I22" s="2">
        <f t="shared" si="3"/>
        <v>0</v>
      </c>
      <c r="L22" t="s">
        <v>258</v>
      </c>
    </row>
    <row r="23" spans="1:14">
      <c r="A23" s="26" t="s">
        <v>481</v>
      </c>
      <c r="B23" s="4">
        <v>36380</v>
      </c>
      <c r="C23" s="2">
        <f t="shared" si="0"/>
        <v>36380</v>
      </c>
      <c r="D23" s="27">
        <f t="shared" si="1"/>
        <v>0</v>
      </c>
      <c r="E23" s="66" t="s">
        <v>50</v>
      </c>
      <c r="F23" s="98" t="s">
        <v>481</v>
      </c>
      <c r="G23" s="25">
        <v>36380</v>
      </c>
      <c r="H23" s="32">
        <f t="shared" si="2"/>
        <v>36380</v>
      </c>
      <c r="I23" s="2">
        <f t="shared" si="3"/>
        <v>0</v>
      </c>
    </row>
    <row r="24" spans="1:14">
      <c r="A24" s="26" t="s">
        <v>518</v>
      </c>
      <c r="B24" s="4">
        <v>25000</v>
      </c>
      <c r="C24" s="2">
        <f t="shared" si="0"/>
        <v>25000</v>
      </c>
      <c r="D24" s="27">
        <f t="shared" si="1"/>
        <v>0</v>
      </c>
      <c r="E24" s="66" t="s">
        <v>50</v>
      </c>
      <c r="F24" s="98" t="s">
        <v>518</v>
      </c>
      <c r="G24" s="25">
        <v>25000</v>
      </c>
      <c r="H24" s="32">
        <f t="shared" si="2"/>
        <v>25000</v>
      </c>
      <c r="I24" s="2">
        <f t="shared" si="3"/>
        <v>0</v>
      </c>
    </row>
    <row r="25" spans="1:14">
      <c r="A25" s="26" t="s">
        <v>475</v>
      </c>
      <c r="B25" s="4">
        <v>75310</v>
      </c>
      <c r="C25" s="2">
        <f t="shared" si="0"/>
        <v>75310</v>
      </c>
      <c r="D25" s="27">
        <f t="shared" si="1"/>
        <v>0</v>
      </c>
      <c r="E25" s="26" t="s">
        <v>50</v>
      </c>
      <c r="F25" s="106" t="s">
        <v>475</v>
      </c>
      <c r="G25" s="25">
        <v>75310</v>
      </c>
      <c r="H25" s="32">
        <f t="shared" si="2"/>
        <v>75310</v>
      </c>
      <c r="I25" s="2">
        <f t="shared" si="3"/>
        <v>0</v>
      </c>
      <c r="L25">
        <v>0</v>
      </c>
    </row>
    <row r="26" spans="1:14">
      <c r="A26" s="26" t="s">
        <v>517</v>
      </c>
      <c r="B26" s="4">
        <v>49000</v>
      </c>
      <c r="C26" s="2">
        <f t="shared" si="0"/>
        <v>49000</v>
      </c>
      <c r="D26" s="27">
        <f t="shared" si="1"/>
        <v>0</v>
      </c>
      <c r="E26" s="66" t="s">
        <v>50</v>
      </c>
      <c r="F26" s="105" t="s">
        <v>517</v>
      </c>
      <c r="G26" s="25">
        <v>49000</v>
      </c>
      <c r="H26" s="32">
        <f t="shared" si="2"/>
        <v>49000</v>
      </c>
      <c r="I26" s="2">
        <f t="shared" si="3"/>
        <v>0</v>
      </c>
      <c r="L26" t="s">
        <v>259</v>
      </c>
    </row>
    <row r="27" spans="1:14">
      <c r="A27" s="26" t="s">
        <v>482</v>
      </c>
      <c r="B27" s="4">
        <v>44420</v>
      </c>
      <c r="C27" s="2">
        <f t="shared" si="0"/>
        <v>44420</v>
      </c>
      <c r="D27" s="27">
        <f t="shared" si="1"/>
        <v>0</v>
      </c>
      <c r="E27" s="66" t="s">
        <v>50</v>
      </c>
      <c r="F27" s="106" t="s">
        <v>482</v>
      </c>
      <c r="G27" s="25">
        <v>44420</v>
      </c>
      <c r="H27" s="32">
        <f t="shared" si="2"/>
        <v>44420</v>
      </c>
      <c r="I27" s="2">
        <f t="shared" si="3"/>
        <v>0</v>
      </c>
    </row>
    <row r="28" spans="1:14">
      <c r="A28" s="26" t="s">
        <v>540</v>
      </c>
      <c r="B28" s="4">
        <v>23150</v>
      </c>
      <c r="C28" s="2">
        <f t="shared" si="0"/>
        <v>23150</v>
      </c>
      <c r="D28" s="27">
        <f t="shared" si="1"/>
        <v>0</v>
      </c>
      <c r="E28" s="66" t="s">
        <v>50</v>
      </c>
      <c r="F28" s="102" t="s">
        <v>540</v>
      </c>
      <c r="G28" s="25">
        <v>23150</v>
      </c>
      <c r="H28" s="32">
        <f t="shared" si="2"/>
        <v>23150</v>
      </c>
      <c r="I28" s="2">
        <f t="shared" si="3"/>
        <v>0</v>
      </c>
    </row>
    <row r="29" spans="1:14">
      <c r="A29" s="26" t="s">
        <v>541</v>
      </c>
      <c r="B29" s="4">
        <v>15780</v>
      </c>
      <c r="C29" s="2">
        <f t="shared" si="0"/>
        <v>15780</v>
      </c>
      <c r="D29" s="27">
        <f t="shared" si="1"/>
        <v>0</v>
      </c>
      <c r="E29" s="66" t="s">
        <v>50</v>
      </c>
      <c r="F29" s="100" t="s">
        <v>541</v>
      </c>
      <c r="G29" s="25">
        <v>15780</v>
      </c>
      <c r="H29" s="32">
        <f t="shared" si="2"/>
        <v>15780</v>
      </c>
      <c r="I29" s="2">
        <f t="shared" si="3"/>
        <v>0</v>
      </c>
      <c r="L29" t="s">
        <v>260</v>
      </c>
    </row>
    <row r="30" spans="1:14">
      <c r="A30" s="26" t="s">
        <v>525</v>
      </c>
      <c r="B30" s="4">
        <v>58270</v>
      </c>
      <c r="C30" s="2">
        <f t="shared" si="0"/>
        <v>58270</v>
      </c>
      <c r="D30" s="27">
        <f t="shared" si="1"/>
        <v>0</v>
      </c>
      <c r="E30" s="66" t="s">
        <v>50</v>
      </c>
      <c r="F30" s="104" t="s">
        <v>525</v>
      </c>
      <c r="G30" s="25">
        <v>58270</v>
      </c>
      <c r="H30" s="32">
        <f t="shared" si="2"/>
        <v>58270</v>
      </c>
      <c r="I30" s="2">
        <f t="shared" si="3"/>
        <v>0</v>
      </c>
      <c r="K30" s="20"/>
      <c r="L30" t="s">
        <v>261</v>
      </c>
    </row>
    <row r="31" spans="1:14">
      <c r="A31" s="26" t="s">
        <v>527</v>
      </c>
      <c r="B31" s="4">
        <v>12000</v>
      </c>
      <c r="C31" s="2">
        <f t="shared" si="0"/>
        <v>12000</v>
      </c>
      <c r="D31" s="27">
        <f t="shared" si="1"/>
        <v>0</v>
      </c>
      <c r="E31" s="66" t="s">
        <v>50</v>
      </c>
      <c r="F31" s="102" t="s">
        <v>527</v>
      </c>
      <c r="G31" s="25">
        <v>12000</v>
      </c>
      <c r="H31" s="32">
        <f t="shared" si="2"/>
        <v>12000</v>
      </c>
      <c r="I31" s="2">
        <f t="shared" si="3"/>
        <v>0</v>
      </c>
      <c r="K31" s="20"/>
    </row>
    <row r="32" spans="1:14">
      <c r="A32" s="26" t="s">
        <v>478</v>
      </c>
      <c r="B32" s="4">
        <v>25000</v>
      </c>
      <c r="C32" s="2">
        <f t="shared" si="0"/>
        <v>25000</v>
      </c>
      <c r="D32" s="27">
        <f t="shared" si="1"/>
        <v>0</v>
      </c>
      <c r="E32" s="66" t="s">
        <v>50</v>
      </c>
      <c r="F32" s="102" t="s">
        <v>478</v>
      </c>
      <c r="G32" s="25">
        <v>25000</v>
      </c>
      <c r="H32" s="32">
        <f t="shared" si="2"/>
        <v>25000</v>
      </c>
      <c r="I32" s="2">
        <f t="shared" si="3"/>
        <v>0</v>
      </c>
    </row>
    <row r="33" spans="1:12">
      <c r="A33" s="26" t="s">
        <v>499</v>
      </c>
      <c r="B33" s="4">
        <v>23600</v>
      </c>
      <c r="C33" s="2">
        <f t="shared" si="0"/>
        <v>23600</v>
      </c>
      <c r="D33" s="27">
        <f t="shared" si="1"/>
        <v>0</v>
      </c>
      <c r="E33" s="66" t="s">
        <v>50</v>
      </c>
      <c r="F33" s="100" t="s">
        <v>499</v>
      </c>
      <c r="G33" s="25">
        <v>23600</v>
      </c>
      <c r="H33" s="32">
        <f t="shared" si="2"/>
        <v>23600</v>
      </c>
      <c r="I33" s="2">
        <f t="shared" si="3"/>
        <v>0</v>
      </c>
      <c r="L33" t="s">
        <v>350</v>
      </c>
    </row>
    <row r="34" spans="1:12">
      <c r="A34" s="25" t="s">
        <v>553</v>
      </c>
      <c r="B34" s="34">
        <v>-45800</v>
      </c>
      <c r="C34" s="2">
        <f t="shared" si="0"/>
        <v>0</v>
      </c>
      <c r="D34" s="27">
        <f t="shared" si="1"/>
        <v>-45800</v>
      </c>
      <c r="E34" s="26" t="s">
        <v>50</v>
      </c>
      <c r="F34" s="102" t="s">
        <v>542</v>
      </c>
      <c r="G34" s="25">
        <v>10000</v>
      </c>
      <c r="H34" s="32">
        <f t="shared" si="2"/>
        <v>10000</v>
      </c>
      <c r="I34" s="2">
        <f t="shared" si="3"/>
        <v>0</v>
      </c>
    </row>
    <row r="35" spans="1:12">
      <c r="A35" s="26" t="s">
        <v>553</v>
      </c>
      <c r="B35" s="4">
        <v>45800</v>
      </c>
      <c r="C35" s="2">
        <f t="shared" si="0"/>
        <v>0</v>
      </c>
      <c r="D35" s="27">
        <f t="shared" si="1"/>
        <v>45800</v>
      </c>
      <c r="E35" s="66" t="s">
        <v>50</v>
      </c>
      <c r="F35" s="101" t="s">
        <v>487</v>
      </c>
      <c r="G35" s="25">
        <v>30000</v>
      </c>
      <c r="H35" s="32">
        <f t="shared" si="2"/>
        <v>30000</v>
      </c>
      <c r="I35" s="2">
        <f t="shared" si="3"/>
        <v>0</v>
      </c>
    </row>
    <row r="36" spans="1:12">
      <c r="A36" s="26" t="s">
        <v>542</v>
      </c>
      <c r="B36" s="4">
        <v>10000</v>
      </c>
      <c r="C36" s="2">
        <f t="shared" si="0"/>
        <v>10000</v>
      </c>
      <c r="D36" s="27">
        <f t="shared" si="1"/>
        <v>0</v>
      </c>
      <c r="E36" s="66" t="s">
        <v>50</v>
      </c>
      <c r="F36" s="101" t="s">
        <v>510</v>
      </c>
      <c r="G36" s="25">
        <v>55560</v>
      </c>
      <c r="H36" s="32">
        <f t="shared" si="2"/>
        <v>55560</v>
      </c>
      <c r="I36" s="2">
        <f t="shared" si="3"/>
        <v>0</v>
      </c>
    </row>
    <row r="37" spans="1:12">
      <c r="A37" s="26" t="s">
        <v>487</v>
      </c>
      <c r="B37" s="4">
        <v>30000</v>
      </c>
      <c r="C37" s="2">
        <f t="shared" si="0"/>
        <v>30000</v>
      </c>
      <c r="D37" s="27">
        <f t="shared" si="1"/>
        <v>0</v>
      </c>
      <c r="E37" s="66" t="s">
        <v>50</v>
      </c>
      <c r="F37" s="99" t="s">
        <v>524</v>
      </c>
      <c r="G37" s="25">
        <v>80600</v>
      </c>
      <c r="H37" s="32">
        <f t="shared" si="2"/>
        <v>80600</v>
      </c>
      <c r="I37" s="2">
        <f t="shared" si="3"/>
        <v>0</v>
      </c>
    </row>
    <row r="38" spans="1:12">
      <c r="A38" s="26" t="s">
        <v>510</v>
      </c>
      <c r="B38" s="4">
        <v>55560</v>
      </c>
      <c r="C38" s="2">
        <f t="shared" si="0"/>
        <v>55560</v>
      </c>
      <c r="D38" s="27">
        <f t="shared" si="1"/>
        <v>0</v>
      </c>
      <c r="E38" s="66" t="s">
        <v>50</v>
      </c>
      <c r="F38" s="102" t="s">
        <v>528</v>
      </c>
      <c r="G38" s="25">
        <v>15300</v>
      </c>
      <c r="H38" s="32">
        <f t="shared" si="2"/>
        <v>15300</v>
      </c>
      <c r="I38" s="2">
        <f t="shared" si="3"/>
        <v>0</v>
      </c>
    </row>
    <row r="39" spans="1:12">
      <c r="A39" s="25" t="s">
        <v>524</v>
      </c>
      <c r="B39" s="34">
        <v>80600</v>
      </c>
      <c r="C39" s="2">
        <f t="shared" si="0"/>
        <v>80600</v>
      </c>
      <c r="D39" s="27">
        <f t="shared" si="1"/>
        <v>0</v>
      </c>
      <c r="E39" s="66" t="s">
        <v>50</v>
      </c>
      <c r="F39" s="104" t="s">
        <v>529</v>
      </c>
      <c r="G39" s="25">
        <v>18000</v>
      </c>
      <c r="H39" s="32">
        <f t="shared" si="2"/>
        <v>18000</v>
      </c>
      <c r="I39" s="2">
        <f t="shared" si="3"/>
        <v>0</v>
      </c>
    </row>
    <row r="40" spans="1:12">
      <c r="A40" s="25" t="s">
        <v>528</v>
      </c>
      <c r="B40" s="34">
        <v>15300</v>
      </c>
      <c r="C40" s="2">
        <f t="shared" si="0"/>
        <v>15300</v>
      </c>
      <c r="D40" s="27">
        <f t="shared" si="1"/>
        <v>0</v>
      </c>
      <c r="E40" s="66" t="s">
        <v>50</v>
      </c>
      <c r="F40" s="104" t="s">
        <v>511</v>
      </c>
      <c r="G40" s="25">
        <v>27320</v>
      </c>
      <c r="H40" s="32">
        <f t="shared" si="2"/>
        <v>27320</v>
      </c>
      <c r="I40" s="2">
        <f t="shared" si="3"/>
        <v>0</v>
      </c>
    </row>
    <row r="41" spans="1:12">
      <c r="A41" s="26" t="s">
        <v>529</v>
      </c>
      <c r="B41" s="4">
        <v>18000</v>
      </c>
      <c r="C41" s="2">
        <f t="shared" si="0"/>
        <v>18000</v>
      </c>
      <c r="D41" s="27">
        <f t="shared" si="1"/>
        <v>0</v>
      </c>
      <c r="E41" s="66" t="s">
        <v>50</v>
      </c>
      <c r="F41" s="102" t="s">
        <v>514</v>
      </c>
      <c r="G41" s="25">
        <v>55350</v>
      </c>
      <c r="H41" s="32">
        <f t="shared" si="2"/>
        <v>55350</v>
      </c>
      <c r="I41" s="2">
        <f t="shared" si="3"/>
        <v>0</v>
      </c>
    </row>
    <row r="42" spans="1:12">
      <c r="A42" s="26" t="s">
        <v>511</v>
      </c>
      <c r="B42" s="4">
        <v>27320</v>
      </c>
      <c r="C42" s="2">
        <f t="shared" si="0"/>
        <v>27320</v>
      </c>
      <c r="D42" s="27">
        <f t="shared" si="1"/>
        <v>0</v>
      </c>
      <c r="E42" s="66" t="s">
        <v>50</v>
      </c>
      <c r="F42" s="101" t="s">
        <v>491</v>
      </c>
      <c r="G42" s="25">
        <v>30000</v>
      </c>
      <c r="H42" s="32">
        <f t="shared" si="2"/>
        <v>30000</v>
      </c>
      <c r="I42" s="2">
        <f t="shared" si="3"/>
        <v>0</v>
      </c>
    </row>
    <row r="43" spans="1:12">
      <c r="A43" s="26" t="s">
        <v>514</v>
      </c>
      <c r="B43" s="4">
        <v>55350</v>
      </c>
      <c r="C43" s="2">
        <f t="shared" si="0"/>
        <v>55350</v>
      </c>
      <c r="D43" s="27">
        <f t="shared" si="1"/>
        <v>0</v>
      </c>
      <c r="E43" s="66" t="s">
        <v>50</v>
      </c>
      <c r="F43" s="104" t="s">
        <v>526</v>
      </c>
      <c r="G43" s="25">
        <v>58000</v>
      </c>
      <c r="H43" s="32">
        <f t="shared" si="2"/>
        <v>58000</v>
      </c>
      <c r="I43" s="2">
        <f t="shared" si="3"/>
        <v>0</v>
      </c>
    </row>
    <row r="44" spans="1:12">
      <c r="A44" s="26" t="s">
        <v>491</v>
      </c>
      <c r="B44" s="4">
        <v>30000</v>
      </c>
      <c r="C44" s="2">
        <f t="shared" si="0"/>
        <v>30000</v>
      </c>
      <c r="D44" s="27">
        <f t="shared" si="1"/>
        <v>0</v>
      </c>
      <c r="E44" s="66" t="s">
        <v>50</v>
      </c>
      <c r="F44" s="101" t="s">
        <v>530</v>
      </c>
      <c r="G44" s="25">
        <v>24740</v>
      </c>
      <c r="H44" s="32">
        <f t="shared" si="2"/>
        <v>24740</v>
      </c>
      <c r="I44" s="2">
        <f t="shared" si="3"/>
        <v>0</v>
      </c>
    </row>
    <row r="45" spans="1:12">
      <c r="A45" s="26" t="s">
        <v>526</v>
      </c>
      <c r="B45" s="4">
        <v>58000</v>
      </c>
      <c r="C45" s="2">
        <f t="shared" si="0"/>
        <v>58000</v>
      </c>
      <c r="D45" s="27">
        <f t="shared" si="1"/>
        <v>0</v>
      </c>
      <c r="E45" s="66" t="s">
        <v>50</v>
      </c>
      <c r="F45" s="104" t="s">
        <v>522</v>
      </c>
      <c r="G45" s="25">
        <v>37320</v>
      </c>
      <c r="H45" s="32">
        <f t="shared" si="2"/>
        <v>37320</v>
      </c>
      <c r="I45" s="2">
        <f t="shared" si="3"/>
        <v>0</v>
      </c>
    </row>
    <row r="46" spans="1:12">
      <c r="A46" s="25" t="s">
        <v>530</v>
      </c>
      <c r="B46" s="34">
        <v>24740</v>
      </c>
      <c r="C46" s="2">
        <f t="shared" si="0"/>
        <v>24740</v>
      </c>
      <c r="D46" s="27">
        <f t="shared" si="1"/>
        <v>0</v>
      </c>
      <c r="E46" s="66" t="s">
        <v>50</v>
      </c>
      <c r="F46" s="99" t="s">
        <v>476</v>
      </c>
      <c r="G46" s="25">
        <v>35540</v>
      </c>
      <c r="H46" s="32">
        <f t="shared" si="2"/>
        <v>35540</v>
      </c>
      <c r="I46" s="2">
        <f t="shared" si="3"/>
        <v>0</v>
      </c>
    </row>
    <row r="47" spans="1:12">
      <c r="A47" s="26" t="s">
        <v>522</v>
      </c>
      <c r="B47" s="4">
        <v>37320</v>
      </c>
      <c r="C47" s="2">
        <f t="shared" si="0"/>
        <v>37320</v>
      </c>
      <c r="D47" s="27">
        <f t="shared" si="1"/>
        <v>0</v>
      </c>
      <c r="E47" s="66" t="s">
        <v>50</v>
      </c>
      <c r="F47" s="102" t="s">
        <v>537</v>
      </c>
      <c r="G47" s="25">
        <v>33630</v>
      </c>
      <c r="H47" s="32">
        <f t="shared" si="2"/>
        <v>33630</v>
      </c>
      <c r="I47" s="2">
        <f t="shared" si="3"/>
        <v>0</v>
      </c>
    </row>
    <row r="48" spans="1:12">
      <c r="A48" s="26" t="s">
        <v>476</v>
      </c>
      <c r="B48" s="4">
        <v>35540</v>
      </c>
      <c r="C48" s="2">
        <f t="shared" si="0"/>
        <v>35540</v>
      </c>
      <c r="D48" s="27">
        <f t="shared" si="1"/>
        <v>0</v>
      </c>
      <c r="E48" s="66" t="s">
        <v>50</v>
      </c>
      <c r="F48" s="104" t="s">
        <v>523</v>
      </c>
      <c r="G48" s="25">
        <v>52000</v>
      </c>
      <c r="H48" s="32">
        <f t="shared" si="2"/>
        <v>52000</v>
      </c>
      <c r="I48" s="2">
        <f t="shared" si="3"/>
        <v>0</v>
      </c>
    </row>
    <row r="49" spans="1:9">
      <c r="A49" s="26" t="s">
        <v>537</v>
      </c>
      <c r="B49" s="4">
        <v>33630</v>
      </c>
      <c r="C49" s="2">
        <f t="shared" si="0"/>
        <v>33630</v>
      </c>
      <c r="D49" s="27">
        <f t="shared" si="1"/>
        <v>0</v>
      </c>
      <c r="E49" s="66" t="s">
        <v>50</v>
      </c>
      <c r="F49" s="102" t="s">
        <v>515</v>
      </c>
      <c r="G49" s="25">
        <v>30000</v>
      </c>
      <c r="H49" s="32">
        <f t="shared" si="2"/>
        <v>30000</v>
      </c>
      <c r="I49" s="2">
        <f t="shared" si="3"/>
        <v>0</v>
      </c>
    </row>
    <row r="50" spans="1:9">
      <c r="A50" s="26" t="s">
        <v>551</v>
      </c>
      <c r="B50" s="4">
        <v>-30050</v>
      </c>
      <c r="C50" s="2">
        <f t="shared" si="0"/>
        <v>0</v>
      </c>
      <c r="D50" s="27">
        <f t="shared" si="1"/>
        <v>-30050</v>
      </c>
      <c r="E50" s="66" t="s">
        <v>50</v>
      </c>
      <c r="F50" s="102" t="s">
        <v>544</v>
      </c>
      <c r="G50" s="25">
        <v>69514</v>
      </c>
      <c r="H50" s="32">
        <f t="shared" si="2"/>
        <v>69514</v>
      </c>
      <c r="I50" s="2">
        <f t="shared" si="3"/>
        <v>0</v>
      </c>
    </row>
    <row r="51" spans="1:9">
      <c r="A51" s="26" t="s">
        <v>551</v>
      </c>
      <c r="B51" s="4">
        <v>30050</v>
      </c>
      <c r="C51" s="2">
        <f t="shared" si="0"/>
        <v>0</v>
      </c>
      <c r="D51" s="27">
        <f t="shared" si="1"/>
        <v>30050</v>
      </c>
      <c r="E51" s="26" t="s">
        <v>50</v>
      </c>
      <c r="F51" s="104" t="s">
        <v>545</v>
      </c>
      <c r="G51" s="25">
        <v>12040</v>
      </c>
      <c r="H51" s="32">
        <f t="shared" si="2"/>
        <v>12040</v>
      </c>
      <c r="I51" s="2">
        <f t="shared" si="3"/>
        <v>0</v>
      </c>
    </row>
    <row r="52" spans="1:9">
      <c r="A52" s="26" t="s">
        <v>552</v>
      </c>
      <c r="B52" s="4">
        <v>-32480</v>
      </c>
      <c r="C52" s="2">
        <f t="shared" si="0"/>
        <v>0</v>
      </c>
      <c r="D52" s="27">
        <f t="shared" si="1"/>
        <v>-32480</v>
      </c>
      <c r="E52" s="66" t="s">
        <v>50</v>
      </c>
      <c r="F52" s="100" t="s">
        <v>497</v>
      </c>
      <c r="G52" s="25">
        <v>30200</v>
      </c>
      <c r="H52" s="32">
        <f t="shared" si="2"/>
        <v>30200</v>
      </c>
      <c r="I52" s="2">
        <f t="shared" si="3"/>
        <v>0</v>
      </c>
    </row>
    <row r="53" spans="1:9">
      <c r="A53" s="26" t="s">
        <v>552</v>
      </c>
      <c r="B53" s="4">
        <v>32480</v>
      </c>
      <c r="C53" s="2">
        <f t="shared" si="0"/>
        <v>0</v>
      </c>
      <c r="D53" s="27">
        <f t="shared" si="1"/>
        <v>32480</v>
      </c>
      <c r="E53" s="66" t="s">
        <v>50</v>
      </c>
      <c r="F53" s="104" t="s">
        <v>512</v>
      </c>
      <c r="G53" s="25">
        <v>58200</v>
      </c>
      <c r="H53" s="32">
        <f t="shared" si="2"/>
        <v>58200</v>
      </c>
      <c r="I53" s="2">
        <f t="shared" si="3"/>
        <v>0</v>
      </c>
    </row>
    <row r="54" spans="1:9">
      <c r="A54" s="26" t="s">
        <v>523</v>
      </c>
      <c r="B54" s="4">
        <v>52000</v>
      </c>
      <c r="C54" s="2">
        <f t="shared" si="0"/>
        <v>52000</v>
      </c>
      <c r="D54" s="27">
        <f t="shared" si="1"/>
        <v>0</v>
      </c>
      <c r="E54" s="66" t="s">
        <v>50</v>
      </c>
      <c r="F54" s="102" t="s">
        <v>513</v>
      </c>
      <c r="G54" s="25">
        <v>64410</v>
      </c>
      <c r="H54" s="32">
        <f t="shared" si="2"/>
        <v>64410</v>
      </c>
      <c r="I54" s="2">
        <f t="shared" si="3"/>
        <v>0</v>
      </c>
    </row>
    <row r="55" spans="1:9">
      <c r="A55" s="26" t="s">
        <v>515</v>
      </c>
      <c r="B55" s="4">
        <v>30000</v>
      </c>
      <c r="C55" s="2">
        <f t="shared" si="0"/>
        <v>30000</v>
      </c>
      <c r="D55" s="27">
        <f t="shared" si="1"/>
        <v>0</v>
      </c>
      <c r="E55" s="66" t="s">
        <v>50</v>
      </c>
      <c r="F55" s="102" t="s">
        <v>484</v>
      </c>
      <c r="G55" s="25">
        <v>129000</v>
      </c>
      <c r="H55" s="32">
        <f t="shared" si="2"/>
        <v>129000</v>
      </c>
      <c r="I55" s="2">
        <f t="shared" si="3"/>
        <v>0</v>
      </c>
    </row>
    <row r="56" spans="1:9">
      <c r="A56" s="26" t="s">
        <v>544</v>
      </c>
      <c r="B56" s="4">
        <v>69514</v>
      </c>
      <c r="C56" s="2">
        <f t="shared" si="0"/>
        <v>69514</v>
      </c>
      <c r="D56" s="27">
        <f t="shared" si="1"/>
        <v>0</v>
      </c>
      <c r="E56" s="26" t="s">
        <v>50</v>
      </c>
      <c r="F56" s="102" t="s">
        <v>496</v>
      </c>
      <c r="G56" s="25">
        <v>35000</v>
      </c>
      <c r="H56" s="32">
        <f t="shared" si="2"/>
        <v>35000</v>
      </c>
      <c r="I56" s="2">
        <f t="shared" si="3"/>
        <v>0</v>
      </c>
    </row>
    <row r="57" spans="1:9">
      <c r="A57" s="26" t="s">
        <v>545</v>
      </c>
      <c r="B57" s="4">
        <v>12040</v>
      </c>
      <c r="C57" s="2">
        <f t="shared" si="0"/>
        <v>12040</v>
      </c>
      <c r="D57" s="27">
        <f t="shared" si="1"/>
        <v>0</v>
      </c>
      <c r="E57" s="26" t="s">
        <v>50</v>
      </c>
      <c r="F57" s="102" t="s">
        <v>492</v>
      </c>
      <c r="G57" s="25">
        <v>30000</v>
      </c>
      <c r="H57" s="32">
        <f t="shared" si="2"/>
        <v>30000</v>
      </c>
      <c r="I57" s="2">
        <f t="shared" si="3"/>
        <v>0</v>
      </c>
    </row>
    <row r="58" spans="1:9">
      <c r="A58" s="26" t="s">
        <v>497</v>
      </c>
      <c r="B58" s="4">
        <v>30200</v>
      </c>
      <c r="C58" s="2">
        <f t="shared" si="0"/>
        <v>30200</v>
      </c>
      <c r="D58" s="27">
        <f t="shared" si="1"/>
        <v>0</v>
      </c>
      <c r="E58" s="26" t="s">
        <v>50</v>
      </c>
      <c r="F58" s="102" t="s">
        <v>520</v>
      </c>
      <c r="G58" s="25">
        <v>31000</v>
      </c>
      <c r="H58" s="32">
        <f t="shared" si="2"/>
        <v>31000</v>
      </c>
      <c r="I58" s="2">
        <f t="shared" si="3"/>
        <v>0</v>
      </c>
    </row>
    <row r="59" spans="1:9">
      <c r="A59" s="26" t="s">
        <v>512</v>
      </c>
      <c r="B59" s="4">
        <v>58200</v>
      </c>
      <c r="C59" s="2">
        <f t="shared" si="0"/>
        <v>58200</v>
      </c>
      <c r="D59" s="27">
        <f t="shared" si="1"/>
        <v>0</v>
      </c>
      <c r="E59" s="66" t="s">
        <v>50</v>
      </c>
      <c r="F59" s="102" t="s">
        <v>533</v>
      </c>
      <c r="G59" s="25">
        <v>24240</v>
      </c>
      <c r="H59" s="32">
        <f t="shared" si="2"/>
        <v>24240</v>
      </c>
      <c r="I59" s="2">
        <f t="shared" si="3"/>
        <v>0</v>
      </c>
    </row>
    <row r="60" spans="1:9">
      <c r="A60" s="26" t="s">
        <v>513</v>
      </c>
      <c r="B60" s="4">
        <v>64410</v>
      </c>
      <c r="C60" s="2">
        <f t="shared" si="0"/>
        <v>64410</v>
      </c>
      <c r="D60" s="27">
        <f t="shared" si="1"/>
        <v>0</v>
      </c>
      <c r="E60" s="66" t="s">
        <v>50</v>
      </c>
      <c r="F60" s="104" t="s">
        <v>506</v>
      </c>
      <c r="G60" s="25">
        <v>147352</v>
      </c>
      <c r="H60" s="32">
        <f t="shared" si="2"/>
        <v>147352</v>
      </c>
      <c r="I60" s="2">
        <f t="shared" si="3"/>
        <v>0</v>
      </c>
    </row>
    <row r="61" spans="1:9">
      <c r="A61" s="25" t="s">
        <v>484</v>
      </c>
      <c r="B61" s="34">
        <v>129000</v>
      </c>
      <c r="C61" s="2">
        <f t="shared" si="0"/>
        <v>129000</v>
      </c>
      <c r="D61" s="27">
        <f t="shared" si="1"/>
        <v>0</v>
      </c>
      <c r="E61" s="66" t="s">
        <v>50</v>
      </c>
      <c r="F61" s="102" t="s">
        <v>507</v>
      </c>
      <c r="G61" s="25">
        <v>12040</v>
      </c>
      <c r="H61" s="32">
        <f t="shared" si="2"/>
        <v>12040</v>
      </c>
      <c r="I61" s="2">
        <f t="shared" si="3"/>
        <v>0</v>
      </c>
    </row>
    <row r="62" spans="1:9">
      <c r="A62" s="25" t="s">
        <v>496</v>
      </c>
      <c r="B62" s="34">
        <v>35000</v>
      </c>
      <c r="C62" s="2">
        <f t="shared" si="0"/>
        <v>35000</v>
      </c>
      <c r="D62" s="27">
        <f t="shared" si="1"/>
        <v>0</v>
      </c>
      <c r="E62" s="66" t="s">
        <v>50</v>
      </c>
      <c r="F62" s="104" t="s">
        <v>488</v>
      </c>
      <c r="G62" s="25">
        <v>132000</v>
      </c>
      <c r="H62" s="32">
        <f t="shared" si="2"/>
        <v>132000</v>
      </c>
      <c r="I62" s="2">
        <f t="shared" si="3"/>
        <v>0</v>
      </c>
    </row>
    <row r="63" spans="1:9">
      <c r="A63" s="26" t="s">
        <v>492</v>
      </c>
      <c r="B63" s="4">
        <v>30000</v>
      </c>
      <c r="C63" s="2">
        <f t="shared" si="0"/>
        <v>30000</v>
      </c>
      <c r="D63" s="27">
        <f t="shared" si="1"/>
        <v>0</v>
      </c>
      <c r="E63" s="26" t="s">
        <v>50</v>
      </c>
      <c r="F63" s="102" t="s">
        <v>485</v>
      </c>
      <c r="G63" s="25">
        <v>31850</v>
      </c>
      <c r="H63" s="32">
        <f t="shared" si="2"/>
        <v>31850</v>
      </c>
      <c r="I63" s="2">
        <f t="shared" si="3"/>
        <v>0</v>
      </c>
    </row>
    <row r="64" spans="1:9">
      <c r="A64" s="25" t="s">
        <v>520</v>
      </c>
      <c r="B64" s="34">
        <v>31000</v>
      </c>
      <c r="C64" s="2">
        <f t="shared" si="0"/>
        <v>31000</v>
      </c>
      <c r="D64" s="27">
        <f t="shared" si="1"/>
        <v>0</v>
      </c>
      <c r="E64" s="66" t="s">
        <v>50</v>
      </c>
      <c r="F64" s="104" t="s">
        <v>483</v>
      </c>
      <c r="G64" s="25">
        <v>35750</v>
      </c>
      <c r="H64" s="32">
        <f t="shared" si="2"/>
        <v>35750</v>
      </c>
      <c r="I64" s="2">
        <f t="shared" si="3"/>
        <v>0</v>
      </c>
    </row>
    <row r="65" spans="1:9">
      <c r="A65" s="26" t="s">
        <v>533</v>
      </c>
      <c r="B65" s="4">
        <v>24240</v>
      </c>
      <c r="C65" s="2">
        <f t="shared" si="0"/>
        <v>24240</v>
      </c>
      <c r="D65" s="27">
        <f t="shared" si="1"/>
        <v>0</v>
      </c>
      <c r="E65" s="66" t="s">
        <v>50</v>
      </c>
      <c r="F65" s="103" t="s">
        <v>495</v>
      </c>
      <c r="G65" s="25">
        <v>74670</v>
      </c>
      <c r="H65" s="32">
        <f t="shared" si="2"/>
        <v>74670</v>
      </c>
      <c r="I65" s="2">
        <f t="shared" si="3"/>
        <v>0</v>
      </c>
    </row>
    <row r="66" spans="1:9">
      <c r="A66" s="26" t="s">
        <v>506</v>
      </c>
      <c r="B66" s="4">
        <v>147352</v>
      </c>
      <c r="C66" s="2">
        <f t="shared" si="0"/>
        <v>147352</v>
      </c>
      <c r="D66" s="27">
        <f t="shared" si="1"/>
        <v>0</v>
      </c>
      <c r="E66" s="26" t="s">
        <v>50</v>
      </c>
      <c r="F66" s="102" t="s">
        <v>494</v>
      </c>
      <c r="G66" s="25">
        <v>4290</v>
      </c>
      <c r="H66" s="32">
        <f t="shared" si="2"/>
        <v>4290</v>
      </c>
      <c r="I66" s="2">
        <f t="shared" si="3"/>
        <v>0</v>
      </c>
    </row>
    <row r="67" spans="1:9">
      <c r="A67" s="25" t="s">
        <v>507</v>
      </c>
      <c r="B67" s="34">
        <v>12040</v>
      </c>
      <c r="C67" s="2">
        <f t="shared" ref="C67:C83" si="4">SUMIFS($G$2:$G$77,$F$2:$F$77,$A67)</f>
        <v>12040</v>
      </c>
      <c r="D67" s="27">
        <f t="shared" ref="D67:D83" si="5" xml:space="preserve"> $B67-$C67</f>
        <v>0</v>
      </c>
      <c r="E67" s="26" t="s">
        <v>50</v>
      </c>
      <c r="F67" s="104" t="s">
        <v>543</v>
      </c>
      <c r="G67" s="25">
        <v>11700</v>
      </c>
      <c r="H67" s="32">
        <f t="shared" ref="H67:H77" si="6">SUMIFS($B$2:$B$83,$A$2:$A$83,$F67)</f>
        <v>11700</v>
      </c>
      <c r="I67" s="2">
        <f t="shared" ref="I67:I77" si="7" xml:space="preserve"> $G67-$H67</f>
        <v>0</v>
      </c>
    </row>
    <row r="68" spans="1:9">
      <c r="A68" s="26" t="s">
        <v>488</v>
      </c>
      <c r="B68" s="4">
        <v>132000</v>
      </c>
      <c r="C68" s="2">
        <f t="shared" si="4"/>
        <v>132000</v>
      </c>
      <c r="D68" s="27">
        <f t="shared" si="5"/>
        <v>0</v>
      </c>
      <c r="E68" s="66" t="s">
        <v>50</v>
      </c>
      <c r="F68" s="102" t="s">
        <v>477</v>
      </c>
      <c r="G68" s="25">
        <v>102050</v>
      </c>
      <c r="H68" s="32">
        <f t="shared" si="6"/>
        <v>102050</v>
      </c>
      <c r="I68" s="2">
        <f t="shared" si="7"/>
        <v>0</v>
      </c>
    </row>
    <row r="69" spans="1:9">
      <c r="A69" s="26" t="s">
        <v>485</v>
      </c>
      <c r="B69" s="4">
        <v>31850</v>
      </c>
      <c r="C69" s="2">
        <f t="shared" si="4"/>
        <v>31850</v>
      </c>
      <c r="D69" s="27">
        <f t="shared" si="5"/>
        <v>0</v>
      </c>
      <c r="E69" s="66" t="s">
        <v>50</v>
      </c>
      <c r="F69" s="104" t="s">
        <v>502</v>
      </c>
      <c r="G69" s="25">
        <v>21310</v>
      </c>
      <c r="H69" s="32">
        <f t="shared" si="6"/>
        <v>21310</v>
      </c>
      <c r="I69" s="2">
        <f t="shared" si="7"/>
        <v>0</v>
      </c>
    </row>
    <row r="70" spans="1:9">
      <c r="A70" s="26" t="s">
        <v>483</v>
      </c>
      <c r="B70" s="4">
        <v>35750</v>
      </c>
      <c r="C70" s="2">
        <f t="shared" si="4"/>
        <v>35750</v>
      </c>
      <c r="D70" s="27">
        <f t="shared" si="5"/>
        <v>0</v>
      </c>
      <c r="E70" s="26" t="s">
        <v>50</v>
      </c>
      <c r="F70" s="104" t="s">
        <v>546</v>
      </c>
      <c r="G70" s="25">
        <v>52600</v>
      </c>
      <c r="H70" s="32">
        <f t="shared" si="6"/>
        <v>52600</v>
      </c>
      <c r="I70" s="2">
        <f t="shared" si="7"/>
        <v>0</v>
      </c>
    </row>
    <row r="71" spans="1:9">
      <c r="A71" s="26" t="s">
        <v>495</v>
      </c>
      <c r="B71" s="4">
        <v>74670</v>
      </c>
      <c r="C71" s="2">
        <f t="shared" si="4"/>
        <v>74670</v>
      </c>
      <c r="D71" s="27">
        <f t="shared" si="5"/>
        <v>0</v>
      </c>
      <c r="E71" s="66" t="s">
        <v>50</v>
      </c>
      <c r="F71" s="104" t="s">
        <v>501</v>
      </c>
      <c r="G71" s="25">
        <v>90600</v>
      </c>
      <c r="H71" s="32">
        <f t="shared" si="6"/>
        <v>90600</v>
      </c>
      <c r="I71" s="2">
        <f t="shared" si="7"/>
        <v>0</v>
      </c>
    </row>
    <row r="72" spans="1:9">
      <c r="A72" s="26" t="s">
        <v>494</v>
      </c>
      <c r="B72" s="4">
        <v>4290</v>
      </c>
      <c r="C72" s="2">
        <f t="shared" si="4"/>
        <v>4290</v>
      </c>
      <c r="D72" s="27">
        <f t="shared" si="5"/>
        <v>0</v>
      </c>
      <c r="E72" s="66" t="s">
        <v>50</v>
      </c>
      <c r="F72" s="101" t="s">
        <v>516</v>
      </c>
      <c r="G72" s="25">
        <v>130460.00000000001</v>
      </c>
      <c r="H72" s="32">
        <f t="shared" si="6"/>
        <v>130460</v>
      </c>
      <c r="I72" s="2">
        <f t="shared" si="7"/>
        <v>0</v>
      </c>
    </row>
    <row r="73" spans="1:9">
      <c r="A73" s="26" t="s">
        <v>543</v>
      </c>
      <c r="B73" s="4">
        <v>11700</v>
      </c>
      <c r="C73" s="2">
        <f t="shared" si="4"/>
        <v>11700</v>
      </c>
      <c r="D73" s="27">
        <f t="shared" si="5"/>
        <v>0</v>
      </c>
      <c r="E73" s="66" t="s">
        <v>50</v>
      </c>
      <c r="F73" s="102" t="s">
        <v>547</v>
      </c>
      <c r="G73" s="25">
        <v>10240</v>
      </c>
      <c r="H73" s="32">
        <f t="shared" si="6"/>
        <v>10240</v>
      </c>
      <c r="I73" s="2">
        <f t="shared" si="7"/>
        <v>0</v>
      </c>
    </row>
    <row r="74" spans="1:9">
      <c r="A74" s="26" t="s">
        <v>477</v>
      </c>
      <c r="B74" s="4">
        <v>102050</v>
      </c>
      <c r="C74" s="2">
        <f t="shared" si="4"/>
        <v>102050</v>
      </c>
      <c r="D74" s="27">
        <f t="shared" si="5"/>
        <v>0</v>
      </c>
      <c r="E74" s="26" t="s">
        <v>50</v>
      </c>
      <c r="F74" s="102" t="s">
        <v>519</v>
      </c>
      <c r="G74" s="25">
        <v>32100</v>
      </c>
      <c r="H74" s="32">
        <f t="shared" si="6"/>
        <v>32100</v>
      </c>
      <c r="I74" s="2">
        <f t="shared" si="7"/>
        <v>0</v>
      </c>
    </row>
    <row r="75" spans="1:9">
      <c r="A75" s="25" t="s">
        <v>502</v>
      </c>
      <c r="B75" s="34">
        <v>21310</v>
      </c>
      <c r="C75" s="2">
        <f t="shared" si="4"/>
        <v>21310</v>
      </c>
      <c r="D75" s="27">
        <f t="shared" si="5"/>
        <v>0</v>
      </c>
      <c r="E75" s="26" t="s">
        <v>50</v>
      </c>
      <c r="F75" s="101" t="s">
        <v>493</v>
      </c>
      <c r="G75" s="25">
        <v>30000</v>
      </c>
      <c r="H75" s="32">
        <f t="shared" si="6"/>
        <v>30000</v>
      </c>
      <c r="I75" s="2">
        <f t="shared" si="7"/>
        <v>0</v>
      </c>
    </row>
    <row r="76" spans="1:9">
      <c r="A76" s="25" t="s">
        <v>546</v>
      </c>
      <c r="B76" s="4">
        <v>52600</v>
      </c>
      <c r="C76" s="2">
        <f t="shared" si="4"/>
        <v>52600</v>
      </c>
      <c r="D76" s="27">
        <f t="shared" si="5"/>
        <v>0</v>
      </c>
      <c r="E76" s="66" t="s">
        <v>50</v>
      </c>
      <c r="F76" s="102" t="s">
        <v>548</v>
      </c>
      <c r="G76" s="25">
        <v>14930</v>
      </c>
      <c r="H76" s="32">
        <f t="shared" si="6"/>
        <v>14930</v>
      </c>
      <c r="I76" s="2">
        <f t="shared" si="7"/>
        <v>0</v>
      </c>
    </row>
    <row r="77" spans="1:9">
      <c r="A77" s="26" t="s">
        <v>501</v>
      </c>
      <c r="B77" s="4">
        <v>90600</v>
      </c>
      <c r="C77" s="2">
        <f t="shared" si="4"/>
        <v>90600</v>
      </c>
      <c r="D77" s="27">
        <f t="shared" si="5"/>
        <v>0</v>
      </c>
      <c r="E77" s="66" t="s">
        <v>50</v>
      </c>
      <c r="F77" s="102" t="s">
        <v>486</v>
      </c>
      <c r="G77" s="25">
        <v>10000</v>
      </c>
      <c r="H77" s="32">
        <f t="shared" si="6"/>
        <v>10000</v>
      </c>
      <c r="I77" s="2">
        <f t="shared" si="7"/>
        <v>0</v>
      </c>
    </row>
    <row r="78" spans="1:9">
      <c r="A78" s="26" t="s">
        <v>516</v>
      </c>
      <c r="B78" s="4">
        <v>130460</v>
      </c>
      <c r="C78" s="2">
        <f t="shared" si="4"/>
        <v>130460.00000000001</v>
      </c>
      <c r="D78" s="27">
        <f t="shared" si="5"/>
        <v>0</v>
      </c>
      <c r="E78" s="26" t="s">
        <v>50</v>
      </c>
      <c r="F78" s="102"/>
      <c r="G78" s="25">
        <v>3723276</v>
      </c>
      <c r="H78" s="32">
        <v>3723276</v>
      </c>
      <c r="I78" s="2">
        <v>0</v>
      </c>
    </row>
    <row r="79" spans="1:9">
      <c r="A79" s="26" t="s">
        <v>547</v>
      </c>
      <c r="B79" s="26">
        <v>10240</v>
      </c>
      <c r="C79" s="2">
        <f t="shared" si="4"/>
        <v>10240</v>
      </c>
      <c r="D79" s="27">
        <f t="shared" si="5"/>
        <v>0</v>
      </c>
      <c r="E79" s="66" t="s">
        <v>50</v>
      </c>
      <c r="F79" s="104"/>
      <c r="G79" s="25"/>
      <c r="H79" s="32">
        <f t="shared" ref="H79:H130" si="8">SUMIFS($B$2:$B$278,$A$2:$A$278,$F79)</f>
        <v>0</v>
      </c>
      <c r="I79" s="2">
        <f t="shared" ref="I79:I130" si="9" xml:space="preserve"> $G79-$H79</f>
        <v>0</v>
      </c>
    </row>
    <row r="80" spans="1:9">
      <c r="A80" s="26" t="s">
        <v>519</v>
      </c>
      <c r="B80" s="4">
        <v>32100</v>
      </c>
      <c r="C80" s="2">
        <f t="shared" si="4"/>
        <v>32100</v>
      </c>
      <c r="D80" s="27">
        <f t="shared" si="5"/>
        <v>0</v>
      </c>
      <c r="E80" s="66" t="s">
        <v>50</v>
      </c>
      <c r="F80" s="104"/>
      <c r="G80" s="25"/>
      <c r="H80" s="32">
        <f t="shared" si="8"/>
        <v>0</v>
      </c>
      <c r="I80" s="2">
        <f t="shared" si="9"/>
        <v>0</v>
      </c>
    </row>
    <row r="81" spans="1:9">
      <c r="A81" s="25" t="s">
        <v>493</v>
      </c>
      <c r="B81" s="34">
        <v>30000</v>
      </c>
      <c r="C81" s="2">
        <f t="shared" si="4"/>
        <v>30000</v>
      </c>
      <c r="D81" s="27">
        <f t="shared" si="5"/>
        <v>0</v>
      </c>
      <c r="E81" s="66" t="s">
        <v>50</v>
      </c>
      <c r="F81" s="104"/>
      <c r="G81" s="25"/>
      <c r="H81" s="32">
        <f t="shared" si="8"/>
        <v>0</v>
      </c>
      <c r="I81" s="2">
        <f t="shared" si="9"/>
        <v>0</v>
      </c>
    </row>
    <row r="82" spans="1:9">
      <c r="A82" s="26" t="s">
        <v>548</v>
      </c>
      <c r="B82" s="26">
        <v>14930</v>
      </c>
      <c r="C82" s="2">
        <f t="shared" si="4"/>
        <v>14930</v>
      </c>
      <c r="D82" s="27">
        <f t="shared" si="5"/>
        <v>0</v>
      </c>
      <c r="E82" s="66" t="s">
        <v>50</v>
      </c>
      <c r="F82" s="104"/>
      <c r="G82" s="25"/>
      <c r="H82" s="32">
        <f t="shared" si="8"/>
        <v>0</v>
      </c>
      <c r="I82" s="2">
        <f t="shared" si="9"/>
        <v>0</v>
      </c>
    </row>
    <row r="83" spans="1:9">
      <c r="A83" s="26" t="s">
        <v>486</v>
      </c>
      <c r="B83" s="4">
        <v>10000</v>
      </c>
      <c r="C83" s="2">
        <f t="shared" si="4"/>
        <v>10000</v>
      </c>
      <c r="D83" s="27">
        <f t="shared" si="5"/>
        <v>0</v>
      </c>
      <c r="E83" s="66" t="s">
        <v>50</v>
      </c>
      <c r="F83" s="101"/>
      <c r="G83" s="25"/>
      <c r="H83" s="32">
        <f t="shared" si="8"/>
        <v>0</v>
      </c>
      <c r="I83" s="2">
        <f t="shared" si="9"/>
        <v>0</v>
      </c>
    </row>
    <row r="84" spans="1:9">
      <c r="A84" s="26"/>
      <c r="B84" s="4">
        <v>3723276</v>
      </c>
      <c r="C84" s="2">
        <v>3723276</v>
      </c>
      <c r="D84" s="27">
        <v>0</v>
      </c>
      <c r="E84" s="66"/>
      <c r="F84" s="102"/>
      <c r="G84" s="25"/>
      <c r="H84" s="32">
        <f t="shared" si="8"/>
        <v>0</v>
      </c>
      <c r="I84" s="2">
        <f t="shared" si="9"/>
        <v>0</v>
      </c>
    </row>
    <row r="85" spans="1:9">
      <c r="A85" s="26"/>
      <c r="C85" s="2">
        <f t="shared" ref="C85:C130" si="10">SUMIFS($G$2:$G$305,$F$2:$F$305,$A85)</f>
        <v>0</v>
      </c>
      <c r="D85" s="27">
        <f t="shared" ref="D85:D130" si="11" xml:space="preserve"> $B85-$C85</f>
        <v>0</v>
      </c>
      <c r="E85" s="66"/>
      <c r="F85" s="102"/>
      <c r="G85" s="25"/>
      <c r="H85" s="32">
        <f t="shared" si="8"/>
        <v>0</v>
      </c>
      <c r="I85" s="2">
        <f t="shared" si="9"/>
        <v>0</v>
      </c>
    </row>
    <row r="86" spans="1:9">
      <c r="A86" s="25"/>
      <c r="B86" s="34"/>
      <c r="C86" s="2">
        <f t="shared" si="10"/>
        <v>0</v>
      </c>
      <c r="D86" s="27">
        <f t="shared" si="11"/>
        <v>0</v>
      </c>
      <c r="E86" s="66"/>
      <c r="F86" s="104"/>
      <c r="G86" s="25"/>
      <c r="H86" s="32">
        <f t="shared" si="8"/>
        <v>0</v>
      </c>
      <c r="I86" s="2">
        <f t="shared" si="9"/>
        <v>0</v>
      </c>
    </row>
    <row r="87" spans="1:9">
      <c r="A87" s="25"/>
      <c r="C87" s="2">
        <f t="shared" si="10"/>
        <v>0</v>
      </c>
      <c r="D87" s="27">
        <f t="shared" si="11"/>
        <v>0</v>
      </c>
      <c r="E87" s="26"/>
      <c r="F87" s="102"/>
      <c r="G87" s="25"/>
      <c r="H87" s="32">
        <f t="shared" si="8"/>
        <v>0</v>
      </c>
      <c r="I87" s="2">
        <f t="shared" si="9"/>
        <v>0</v>
      </c>
    </row>
    <row r="88" spans="1:9">
      <c r="A88" s="25"/>
      <c r="B88" s="34"/>
      <c r="C88" s="2">
        <f t="shared" si="10"/>
        <v>0</v>
      </c>
      <c r="D88" s="27">
        <f t="shared" si="11"/>
        <v>0</v>
      </c>
      <c r="E88" s="26"/>
      <c r="F88" s="104"/>
      <c r="G88" s="25"/>
      <c r="H88" s="32">
        <f t="shared" si="8"/>
        <v>0</v>
      </c>
      <c r="I88" s="2">
        <f t="shared" si="9"/>
        <v>0</v>
      </c>
    </row>
    <row r="89" spans="1:9">
      <c r="A89" s="26"/>
      <c r="C89" s="2">
        <f t="shared" si="10"/>
        <v>0</v>
      </c>
      <c r="D89" s="27">
        <f t="shared" si="11"/>
        <v>0</v>
      </c>
      <c r="E89" s="26"/>
      <c r="F89" s="102"/>
      <c r="G89" s="25"/>
      <c r="H89" s="32">
        <f t="shared" si="8"/>
        <v>0</v>
      </c>
      <c r="I89" s="2">
        <f t="shared" si="9"/>
        <v>0</v>
      </c>
    </row>
    <row r="90" spans="1:9">
      <c r="A90" s="26"/>
      <c r="C90" s="2">
        <f t="shared" si="10"/>
        <v>0</v>
      </c>
      <c r="D90" s="27">
        <f t="shared" si="11"/>
        <v>0</v>
      </c>
      <c r="E90" s="26"/>
      <c r="F90" s="102"/>
      <c r="G90" s="25"/>
      <c r="H90" s="32">
        <f t="shared" si="8"/>
        <v>0</v>
      </c>
      <c r="I90" s="2">
        <f t="shared" si="9"/>
        <v>0</v>
      </c>
    </row>
    <row r="91" spans="1:9">
      <c r="A91" s="26"/>
      <c r="C91" s="2">
        <f t="shared" si="10"/>
        <v>0</v>
      </c>
      <c r="D91" s="27">
        <f t="shared" si="11"/>
        <v>0</v>
      </c>
      <c r="E91" s="26"/>
      <c r="F91" s="101"/>
      <c r="G91" s="25"/>
      <c r="H91" s="32">
        <f t="shared" si="8"/>
        <v>0</v>
      </c>
      <c r="I91" s="2">
        <f t="shared" si="9"/>
        <v>0</v>
      </c>
    </row>
    <row r="92" spans="1:9">
      <c r="A92" s="26"/>
      <c r="C92" s="2">
        <f t="shared" si="10"/>
        <v>0</v>
      </c>
      <c r="D92" s="27">
        <f t="shared" si="11"/>
        <v>0</v>
      </c>
      <c r="E92" s="66"/>
      <c r="F92" s="104"/>
      <c r="G92" s="25"/>
      <c r="H92" s="32">
        <f t="shared" si="8"/>
        <v>0</v>
      </c>
      <c r="I92" s="2">
        <f t="shared" si="9"/>
        <v>0</v>
      </c>
    </row>
    <row r="93" spans="1:9">
      <c r="A93" s="26"/>
      <c r="C93" s="2">
        <f t="shared" si="10"/>
        <v>0</v>
      </c>
      <c r="D93" s="27">
        <f t="shared" si="11"/>
        <v>0</v>
      </c>
      <c r="E93" s="66"/>
      <c r="F93" s="102"/>
      <c r="G93" s="25"/>
      <c r="H93" s="32">
        <f t="shared" si="8"/>
        <v>0</v>
      </c>
      <c r="I93" s="2">
        <f t="shared" si="9"/>
        <v>0</v>
      </c>
    </row>
    <row r="94" spans="1:9">
      <c r="A94" s="26"/>
      <c r="C94" s="2">
        <f t="shared" si="10"/>
        <v>0</v>
      </c>
      <c r="D94" s="27">
        <f t="shared" si="11"/>
        <v>0</v>
      </c>
      <c r="E94" s="66"/>
      <c r="F94" s="102"/>
      <c r="G94" s="25"/>
      <c r="H94" s="32">
        <f t="shared" si="8"/>
        <v>0</v>
      </c>
      <c r="I94" s="2">
        <f t="shared" si="9"/>
        <v>0</v>
      </c>
    </row>
    <row r="95" spans="1:9">
      <c r="A95" s="26"/>
      <c r="C95" s="2">
        <f t="shared" si="10"/>
        <v>0</v>
      </c>
      <c r="D95" s="27">
        <f t="shared" si="11"/>
        <v>0</v>
      </c>
      <c r="E95" s="26"/>
      <c r="F95" s="102"/>
      <c r="G95" s="25"/>
      <c r="H95" s="32">
        <f t="shared" si="8"/>
        <v>0</v>
      </c>
      <c r="I95" s="2">
        <f t="shared" si="9"/>
        <v>0</v>
      </c>
    </row>
    <row r="96" spans="1:9">
      <c r="A96" s="25"/>
      <c r="B96" s="34"/>
      <c r="C96" s="2">
        <f t="shared" si="10"/>
        <v>0</v>
      </c>
      <c r="D96" s="27">
        <f t="shared" si="11"/>
        <v>0</v>
      </c>
      <c r="E96" s="66"/>
      <c r="F96" s="103"/>
      <c r="G96" s="25"/>
      <c r="H96" s="32">
        <f t="shared" si="8"/>
        <v>0</v>
      </c>
      <c r="I96" s="2">
        <f t="shared" si="9"/>
        <v>0</v>
      </c>
    </row>
    <row r="97" spans="1:9">
      <c r="A97" s="26"/>
      <c r="C97" s="2">
        <f t="shared" si="10"/>
        <v>0</v>
      </c>
      <c r="D97" s="27">
        <f t="shared" si="11"/>
        <v>0</v>
      </c>
      <c r="E97" s="66"/>
      <c r="F97" s="104"/>
      <c r="G97" s="25"/>
      <c r="H97" s="32">
        <f t="shared" si="8"/>
        <v>0</v>
      </c>
      <c r="I97" s="2">
        <f t="shared" si="9"/>
        <v>0</v>
      </c>
    </row>
    <row r="98" spans="1:9">
      <c r="A98" s="26"/>
      <c r="C98" s="2">
        <f t="shared" si="10"/>
        <v>0</v>
      </c>
      <c r="D98" s="27">
        <f t="shared" si="11"/>
        <v>0</v>
      </c>
      <c r="E98" s="66"/>
      <c r="F98" s="104"/>
      <c r="G98" s="25"/>
      <c r="H98" s="32">
        <f t="shared" si="8"/>
        <v>0</v>
      </c>
      <c r="I98" s="2">
        <f t="shared" si="9"/>
        <v>0</v>
      </c>
    </row>
    <row r="99" spans="1:9">
      <c r="A99" s="26"/>
      <c r="C99" s="2">
        <f t="shared" si="10"/>
        <v>0</v>
      </c>
      <c r="D99" s="27">
        <f t="shared" si="11"/>
        <v>0</v>
      </c>
      <c r="E99" s="66"/>
      <c r="F99" s="102"/>
      <c r="G99" s="25"/>
      <c r="H99" s="32">
        <f t="shared" si="8"/>
        <v>0</v>
      </c>
      <c r="I99" s="2">
        <f t="shared" si="9"/>
        <v>0</v>
      </c>
    </row>
    <row r="100" spans="1:9">
      <c r="A100" s="25"/>
      <c r="B100" s="34"/>
      <c r="C100" s="2">
        <f t="shared" si="10"/>
        <v>0</v>
      </c>
      <c r="D100" s="27">
        <f t="shared" si="11"/>
        <v>0</v>
      </c>
      <c r="E100" s="66"/>
      <c r="F100" s="104"/>
      <c r="G100" s="25"/>
      <c r="H100" s="32">
        <f t="shared" si="8"/>
        <v>0</v>
      </c>
      <c r="I100" s="2">
        <f t="shared" si="9"/>
        <v>0</v>
      </c>
    </row>
    <row r="101" spans="1:9">
      <c r="A101" s="26"/>
      <c r="B101" s="26"/>
      <c r="C101" s="2">
        <f t="shared" si="10"/>
        <v>0</v>
      </c>
      <c r="D101" s="27">
        <f t="shared" si="11"/>
        <v>0</v>
      </c>
      <c r="E101" s="66"/>
      <c r="F101" s="102"/>
      <c r="G101" s="25"/>
      <c r="H101" s="32">
        <f t="shared" si="8"/>
        <v>0</v>
      </c>
      <c r="I101" s="2">
        <f t="shared" si="9"/>
        <v>0</v>
      </c>
    </row>
    <row r="102" spans="1:9">
      <c r="A102" s="26"/>
      <c r="C102" s="2">
        <f t="shared" si="10"/>
        <v>0</v>
      </c>
      <c r="D102" s="27">
        <f t="shared" si="11"/>
        <v>0</v>
      </c>
      <c r="E102" s="66"/>
      <c r="F102" s="102"/>
      <c r="G102" s="25"/>
      <c r="H102" s="32">
        <f t="shared" si="8"/>
        <v>0</v>
      </c>
      <c r="I102" s="2">
        <f t="shared" si="9"/>
        <v>0</v>
      </c>
    </row>
    <row r="103" spans="1:9">
      <c r="A103" s="26"/>
      <c r="C103" s="2">
        <f t="shared" si="10"/>
        <v>0</v>
      </c>
      <c r="D103" s="27">
        <f t="shared" si="11"/>
        <v>0</v>
      </c>
      <c r="E103" s="66"/>
      <c r="F103" s="99"/>
      <c r="G103" s="25"/>
      <c r="H103" s="32">
        <f t="shared" si="8"/>
        <v>0</v>
      </c>
      <c r="I103" s="2">
        <f t="shared" si="9"/>
        <v>0</v>
      </c>
    </row>
    <row r="104" spans="1:9">
      <c r="A104" s="26"/>
      <c r="B104" s="26"/>
      <c r="C104" s="2">
        <f t="shared" si="10"/>
        <v>0</v>
      </c>
      <c r="D104" s="27">
        <f t="shared" si="11"/>
        <v>0</v>
      </c>
      <c r="E104" s="66"/>
      <c r="F104" s="102"/>
      <c r="G104" s="25"/>
      <c r="H104" s="32">
        <f t="shared" si="8"/>
        <v>0</v>
      </c>
      <c r="I104" s="2">
        <f t="shared" si="9"/>
        <v>0</v>
      </c>
    </row>
    <row r="105" spans="1:9">
      <c r="A105" s="25"/>
      <c r="B105" s="34"/>
      <c r="C105" s="2">
        <f t="shared" si="10"/>
        <v>0</v>
      </c>
      <c r="D105" s="27">
        <f t="shared" si="11"/>
        <v>0</v>
      </c>
      <c r="E105" s="66"/>
      <c r="F105" s="104"/>
      <c r="G105" s="25"/>
      <c r="H105" s="32">
        <f t="shared" si="8"/>
        <v>0</v>
      </c>
      <c r="I105" s="2">
        <f t="shared" si="9"/>
        <v>0</v>
      </c>
    </row>
    <row r="106" spans="1:9">
      <c r="A106" s="26"/>
      <c r="C106" s="2">
        <f t="shared" si="10"/>
        <v>0</v>
      </c>
      <c r="D106" s="27">
        <f t="shared" si="11"/>
        <v>0</v>
      </c>
      <c r="E106" s="66"/>
      <c r="F106" s="104"/>
      <c r="G106" s="25"/>
      <c r="H106" s="32">
        <f t="shared" si="8"/>
        <v>0</v>
      </c>
      <c r="I106" s="2">
        <f t="shared" si="9"/>
        <v>0</v>
      </c>
    </row>
    <row r="107" spans="1:9">
      <c r="A107" s="26"/>
      <c r="C107" s="2">
        <f t="shared" si="10"/>
        <v>0</v>
      </c>
      <c r="D107" s="27">
        <f t="shared" si="11"/>
        <v>0</v>
      </c>
      <c r="E107" s="26"/>
      <c r="F107" s="104"/>
      <c r="G107" s="25"/>
      <c r="H107" s="32">
        <f t="shared" si="8"/>
        <v>0</v>
      </c>
      <c r="I107" s="2">
        <f t="shared" si="9"/>
        <v>0</v>
      </c>
    </row>
    <row r="108" spans="1:9">
      <c r="A108" s="26"/>
      <c r="B108" s="26"/>
      <c r="C108" s="2">
        <f t="shared" si="10"/>
        <v>0</v>
      </c>
      <c r="D108" s="27">
        <f t="shared" si="11"/>
        <v>0</v>
      </c>
      <c r="E108" s="26"/>
      <c r="F108" s="104"/>
      <c r="G108" s="25"/>
      <c r="H108" s="32">
        <f t="shared" si="8"/>
        <v>0</v>
      </c>
      <c r="I108" s="2">
        <f t="shared" si="9"/>
        <v>0</v>
      </c>
    </row>
    <row r="109" spans="1:9">
      <c r="A109" s="26"/>
      <c r="C109" s="2">
        <f t="shared" si="10"/>
        <v>0</v>
      </c>
      <c r="D109" s="27">
        <f t="shared" si="11"/>
        <v>0</v>
      </c>
      <c r="E109" s="66"/>
      <c r="F109" s="104"/>
      <c r="G109" s="25"/>
      <c r="H109" s="32">
        <f t="shared" si="8"/>
        <v>0</v>
      </c>
      <c r="I109" s="2">
        <f t="shared" si="9"/>
        <v>0</v>
      </c>
    </row>
    <row r="110" spans="1:9">
      <c r="A110" s="26"/>
      <c r="C110" s="2">
        <f t="shared" si="10"/>
        <v>0</v>
      </c>
      <c r="D110" s="27">
        <f t="shared" si="11"/>
        <v>0</v>
      </c>
      <c r="E110" s="66"/>
      <c r="F110" s="104"/>
      <c r="G110" s="25"/>
      <c r="H110" s="32">
        <f t="shared" si="8"/>
        <v>0</v>
      </c>
      <c r="I110" s="2">
        <f t="shared" si="9"/>
        <v>0</v>
      </c>
    </row>
    <row r="111" spans="1:9">
      <c r="A111" s="26"/>
      <c r="C111" s="2">
        <f t="shared" si="10"/>
        <v>0</v>
      </c>
      <c r="D111" s="27">
        <f t="shared" si="11"/>
        <v>0</v>
      </c>
      <c r="E111" s="26"/>
      <c r="F111" s="102"/>
      <c r="G111" s="25"/>
      <c r="H111" s="32">
        <f t="shared" si="8"/>
        <v>0</v>
      </c>
      <c r="I111" s="2">
        <f t="shared" si="9"/>
        <v>0</v>
      </c>
    </row>
    <row r="112" spans="1:9">
      <c r="A112" s="25"/>
      <c r="C112" s="2">
        <f t="shared" si="10"/>
        <v>0</v>
      </c>
      <c r="D112" s="27">
        <f t="shared" si="11"/>
        <v>0</v>
      </c>
      <c r="E112" s="26"/>
      <c r="F112" s="101"/>
      <c r="G112" s="25"/>
      <c r="H112" s="32">
        <f t="shared" si="8"/>
        <v>0</v>
      </c>
      <c r="I112" s="2">
        <f t="shared" si="9"/>
        <v>0</v>
      </c>
    </row>
    <row r="113" spans="1:9">
      <c r="A113" s="26"/>
      <c r="B113" s="26"/>
      <c r="C113" s="2">
        <f t="shared" si="10"/>
        <v>0</v>
      </c>
      <c r="D113" s="27">
        <f t="shared" si="11"/>
        <v>0</v>
      </c>
      <c r="E113" s="66"/>
      <c r="F113" s="104"/>
      <c r="G113" s="25"/>
      <c r="H113" s="32">
        <f t="shared" si="8"/>
        <v>0</v>
      </c>
      <c r="I113" s="2">
        <f t="shared" si="9"/>
        <v>0</v>
      </c>
    </row>
    <row r="114" spans="1:9">
      <c r="A114" s="25"/>
      <c r="B114" s="34"/>
      <c r="C114" s="2">
        <f t="shared" si="10"/>
        <v>0</v>
      </c>
      <c r="D114" s="27">
        <f t="shared" si="11"/>
        <v>0</v>
      </c>
      <c r="E114" s="66"/>
      <c r="F114" s="104"/>
      <c r="H114" s="32">
        <f t="shared" si="8"/>
        <v>0</v>
      </c>
      <c r="I114" s="2">
        <f t="shared" si="9"/>
        <v>0</v>
      </c>
    </row>
    <row r="115" spans="1:9">
      <c r="A115" s="26"/>
      <c r="C115" s="2">
        <f t="shared" si="10"/>
        <v>0</v>
      </c>
      <c r="D115" s="27">
        <f t="shared" si="11"/>
        <v>0</v>
      </c>
      <c r="E115" s="26"/>
      <c r="F115" s="104"/>
      <c r="G115" s="25"/>
      <c r="H115" s="32">
        <f t="shared" si="8"/>
        <v>0</v>
      </c>
      <c r="I115" s="2">
        <f t="shared" si="9"/>
        <v>0</v>
      </c>
    </row>
    <row r="116" spans="1:9">
      <c r="A116" s="25"/>
      <c r="B116" s="34"/>
      <c r="C116" s="2">
        <f t="shared" si="10"/>
        <v>0</v>
      </c>
      <c r="D116" s="27">
        <f t="shared" si="11"/>
        <v>0</v>
      </c>
      <c r="E116" s="66"/>
      <c r="F116" s="102"/>
      <c r="G116" s="25"/>
      <c r="H116" s="32">
        <f t="shared" si="8"/>
        <v>0</v>
      </c>
      <c r="I116" s="2">
        <f t="shared" si="9"/>
        <v>0</v>
      </c>
    </row>
    <row r="117" spans="1:9">
      <c r="A117" s="26"/>
      <c r="C117" s="2">
        <f t="shared" si="10"/>
        <v>0</v>
      </c>
      <c r="D117" s="27">
        <f t="shared" si="11"/>
        <v>0</v>
      </c>
      <c r="E117" s="66"/>
      <c r="F117" s="102"/>
      <c r="G117" s="25"/>
      <c r="H117" s="32">
        <f t="shared" si="8"/>
        <v>0</v>
      </c>
      <c r="I117" s="2">
        <f t="shared" si="9"/>
        <v>0</v>
      </c>
    </row>
    <row r="118" spans="1:9">
      <c r="A118" s="25"/>
      <c r="C118" s="2">
        <f t="shared" si="10"/>
        <v>0</v>
      </c>
      <c r="D118" s="27">
        <f t="shared" si="11"/>
        <v>0</v>
      </c>
      <c r="E118" s="66"/>
      <c r="F118" s="103"/>
      <c r="G118" s="25"/>
      <c r="H118" s="32">
        <f t="shared" si="8"/>
        <v>0</v>
      </c>
      <c r="I118" s="2">
        <f t="shared" si="9"/>
        <v>0</v>
      </c>
    </row>
    <row r="119" spans="1:9">
      <c r="A119" s="26"/>
      <c r="C119" s="2">
        <f t="shared" si="10"/>
        <v>0</v>
      </c>
      <c r="D119" s="27">
        <f t="shared" si="11"/>
        <v>0</v>
      </c>
      <c r="E119" s="66"/>
      <c r="F119" s="104"/>
      <c r="G119" s="25"/>
      <c r="H119" s="32">
        <f t="shared" si="8"/>
        <v>0</v>
      </c>
      <c r="I119" s="2">
        <f t="shared" si="9"/>
        <v>0</v>
      </c>
    </row>
    <row r="120" spans="1:9">
      <c r="A120" s="26"/>
      <c r="C120" s="2">
        <f t="shared" si="10"/>
        <v>0</v>
      </c>
      <c r="D120" s="27">
        <f t="shared" si="11"/>
        <v>0</v>
      </c>
      <c r="E120" s="66"/>
      <c r="F120" s="104"/>
      <c r="G120" s="25"/>
      <c r="H120" s="32">
        <f t="shared" si="8"/>
        <v>0</v>
      </c>
      <c r="I120" s="2">
        <f t="shared" si="9"/>
        <v>0</v>
      </c>
    </row>
    <row r="121" spans="1:9">
      <c r="A121" s="25"/>
      <c r="B121" s="34"/>
      <c r="C121" s="2">
        <f t="shared" si="10"/>
        <v>0</v>
      </c>
      <c r="D121" s="27">
        <f t="shared" si="11"/>
        <v>0</v>
      </c>
      <c r="E121" s="66"/>
      <c r="F121" s="102"/>
      <c r="G121" s="25"/>
      <c r="H121" s="32">
        <f t="shared" si="8"/>
        <v>0</v>
      </c>
      <c r="I121" s="2">
        <f t="shared" si="9"/>
        <v>0</v>
      </c>
    </row>
    <row r="122" spans="1:9">
      <c r="A122" s="26"/>
      <c r="C122" s="2">
        <f t="shared" si="10"/>
        <v>0</v>
      </c>
      <c r="D122" s="27">
        <f t="shared" si="11"/>
        <v>0</v>
      </c>
      <c r="E122" s="26"/>
      <c r="F122" s="104"/>
      <c r="G122" s="25"/>
      <c r="H122" s="32">
        <f t="shared" si="8"/>
        <v>0</v>
      </c>
      <c r="I122" s="2">
        <f t="shared" si="9"/>
        <v>0</v>
      </c>
    </row>
    <row r="123" spans="1:9">
      <c r="A123" s="25"/>
      <c r="B123" s="34"/>
      <c r="C123" s="2">
        <f t="shared" si="10"/>
        <v>0</v>
      </c>
      <c r="D123" s="27">
        <f t="shared" si="11"/>
        <v>0</v>
      </c>
      <c r="E123" s="66"/>
      <c r="F123" s="104"/>
      <c r="H123" s="32">
        <f t="shared" si="8"/>
        <v>0</v>
      </c>
      <c r="I123" s="2">
        <f t="shared" si="9"/>
        <v>0</v>
      </c>
    </row>
    <row r="124" spans="1:9">
      <c r="A124" s="26"/>
      <c r="C124" s="2">
        <f t="shared" si="10"/>
        <v>0</v>
      </c>
      <c r="D124" s="27">
        <f t="shared" si="11"/>
        <v>0</v>
      </c>
      <c r="E124" s="66"/>
      <c r="F124" s="102"/>
      <c r="G124" s="25"/>
      <c r="H124" s="32">
        <f t="shared" si="8"/>
        <v>0</v>
      </c>
      <c r="I124" s="2">
        <f t="shared" si="9"/>
        <v>0</v>
      </c>
    </row>
    <row r="125" spans="1:9">
      <c r="A125" s="26"/>
      <c r="C125" s="2">
        <f t="shared" si="10"/>
        <v>0</v>
      </c>
      <c r="D125" s="27">
        <f t="shared" si="11"/>
        <v>0</v>
      </c>
      <c r="E125" s="26"/>
      <c r="F125" s="104"/>
      <c r="G125" s="25"/>
      <c r="H125" s="32">
        <f t="shared" si="8"/>
        <v>0</v>
      </c>
      <c r="I125" s="2">
        <f t="shared" si="9"/>
        <v>0</v>
      </c>
    </row>
    <row r="126" spans="1:9">
      <c r="A126" s="26"/>
      <c r="C126" s="2">
        <f t="shared" si="10"/>
        <v>0</v>
      </c>
      <c r="D126" s="27">
        <f t="shared" si="11"/>
        <v>0</v>
      </c>
      <c r="E126" s="66"/>
      <c r="F126" s="102"/>
      <c r="G126" s="25"/>
      <c r="H126" s="32">
        <f t="shared" si="8"/>
        <v>0</v>
      </c>
      <c r="I126" s="2">
        <f t="shared" si="9"/>
        <v>0</v>
      </c>
    </row>
    <row r="127" spans="1:9">
      <c r="A127" s="26"/>
      <c r="C127" s="2">
        <f t="shared" si="10"/>
        <v>0</v>
      </c>
      <c r="D127" s="27">
        <f t="shared" si="11"/>
        <v>0</v>
      </c>
      <c r="E127" s="26"/>
      <c r="F127" s="102"/>
      <c r="G127" s="25"/>
      <c r="H127" s="32">
        <f t="shared" si="8"/>
        <v>0</v>
      </c>
      <c r="I127" s="2">
        <f t="shared" si="9"/>
        <v>0</v>
      </c>
    </row>
    <row r="128" spans="1:9">
      <c r="A128" s="26"/>
      <c r="C128" s="2">
        <f t="shared" si="10"/>
        <v>0</v>
      </c>
      <c r="D128" s="27">
        <f t="shared" si="11"/>
        <v>0</v>
      </c>
      <c r="E128" s="66"/>
      <c r="F128" s="104"/>
      <c r="H128" s="32">
        <f t="shared" si="8"/>
        <v>0</v>
      </c>
      <c r="I128" s="2">
        <f t="shared" si="9"/>
        <v>0</v>
      </c>
    </row>
    <row r="129" spans="1:9">
      <c r="A129" s="26"/>
      <c r="B129" s="26"/>
      <c r="C129" s="2">
        <f t="shared" si="10"/>
        <v>0</v>
      </c>
      <c r="D129" s="27">
        <f t="shared" si="11"/>
        <v>0</v>
      </c>
      <c r="E129" s="26"/>
      <c r="F129" s="103"/>
      <c r="G129" s="25"/>
      <c r="H129" s="32">
        <f t="shared" si="8"/>
        <v>0</v>
      </c>
      <c r="I129" s="2">
        <f t="shared" si="9"/>
        <v>0</v>
      </c>
    </row>
    <row r="130" spans="1:9">
      <c r="A130" s="26"/>
      <c r="C130" s="2">
        <f t="shared" si="10"/>
        <v>0</v>
      </c>
      <c r="D130" s="27">
        <f t="shared" si="11"/>
        <v>0</v>
      </c>
      <c r="E130" s="26"/>
      <c r="F130" s="102"/>
      <c r="G130" s="25"/>
      <c r="H130" s="32">
        <f t="shared" si="8"/>
        <v>0</v>
      </c>
      <c r="I130" s="2">
        <f t="shared" si="9"/>
        <v>0</v>
      </c>
    </row>
    <row r="131" spans="1:9">
      <c r="A131" s="26"/>
      <c r="C131" s="2">
        <f t="shared" ref="C131:C194" si="12">SUMIFS($G$2:$G$305,$F$2:$F$305,$A131)</f>
        <v>0</v>
      </c>
      <c r="D131" s="27">
        <f t="shared" ref="D131:D194" si="13" xml:space="preserve"> $B131-$C131</f>
        <v>0</v>
      </c>
      <c r="E131" s="26"/>
      <c r="F131" s="104"/>
      <c r="G131" s="25"/>
      <c r="H131" s="32">
        <f t="shared" ref="H131:H194" si="14">SUMIFS($B$2:$B$278,$A$2:$A$278,$F131)</f>
        <v>0</v>
      </c>
      <c r="I131" s="2">
        <f t="shared" ref="I131:I194" si="15" xml:space="preserve"> $G131-$H131</f>
        <v>0</v>
      </c>
    </row>
    <row r="132" spans="1:9">
      <c r="A132" s="25"/>
      <c r="B132" s="34"/>
      <c r="C132" s="2">
        <f t="shared" si="12"/>
        <v>0</v>
      </c>
      <c r="D132" s="27">
        <f t="shared" si="13"/>
        <v>0</v>
      </c>
      <c r="E132" s="66"/>
      <c r="F132" s="104"/>
      <c r="G132" s="25"/>
      <c r="H132" s="32">
        <f t="shared" si="14"/>
        <v>0</v>
      </c>
      <c r="I132" s="2">
        <f t="shared" si="15"/>
        <v>0</v>
      </c>
    </row>
    <row r="133" spans="1:9">
      <c r="A133" s="26"/>
      <c r="C133" s="2">
        <f t="shared" si="12"/>
        <v>0</v>
      </c>
      <c r="D133" s="27">
        <f t="shared" si="13"/>
        <v>0</v>
      </c>
      <c r="E133" s="66"/>
      <c r="F133" s="100"/>
      <c r="G133" s="25"/>
      <c r="H133" s="32">
        <f t="shared" si="14"/>
        <v>0</v>
      </c>
      <c r="I133" s="2">
        <f t="shared" si="15"/>
        <v>0</v>
      </c>
    </row>
    <row r="134" spans="1:9">
      <c r="A134" s="25"/>
      <c r="B134" s="34"/>
      <c r="C134" s="2">
        <f t="shared" si="12"/>
        <v>0</v>
      </c>
      <c r="D134" s="27">
        <f t="shared" si="13"/>
        <v>0</v>
      </c>
      <c r="E134" s="66"/>
      <c r="F134" s="104"/>
      <c r="G134" s="25"/>
      <c r="H134" s="32">
        <f t="shared" si="14"/>
        <v>0</v>
      </c>
      <c r="I134" s="2">
        <f t="shared" si="15"/>
        <v>0</v>
      </c>
    </row>
    <row r="135" spans="1:9">
      <c r="A135" s="26"/>
      <c r="B135" s="26"/>
      <c r="C135" s="2">
        <f t="shared" si="12"/>
        <v>0</v>
      </c>
      <c r="D135" s="27">
        <f t="shared" si="13"/>
        <v>0</v>
      </c>
      <c r="E135" s="26"/>
      <c r="F135" s="104"/>
      <c r="G135" s="25"/>
      <c r="H135" s="32">
        <f t="shared" si="14"/>
        <v>0</v>
      </c>
      <c r="I135" s="2">
        <f t="shared" si="15"/>
        <v>0</v>
      </c>
    </row>
    <row r="136" spans="1:9">
      <c r="A136" s="26"/>
      <c r="C136" s="2">
        <f t="shared" si="12"/>
        <v>0</v>
      </c>
      <c r="D136" s="27">
        <f t="shared" si="13"/>
        <v>0</v>
      </c>
      <c r="E136" s="26"/>
      <c r="F136" s="104"/>
      <c r="G136" s="25"/>
      <c r="H136" s="32">
        <f t="shared" si="14"/>
        <v>0</v>
      </c>
      <c r="I136" s="2">
        <f t="shared" si="15"/>
        <v>0</v>
      </c>
    </row>
    <row r="137" spans="1:9">
      <c r="A137" s="26"/>
      <c r="C137" s="2">
        <f t="shared" si="12"/>
        <v>0</v>
      </c>
      <c r="D137" s="27">
        <f t="shared" si="13"/>
        <v>0</v>
      </c>
      <c r="E137" s="26"/>
      <c r="F137" s="102"/>
      <c r="G137" s="33"/>
      <c r="H137" s="32">
        <f t="shared" si="14"/>
        <v>0</v>
      </c>
      <c r="I137" s="2">
        <f t="shared" si="15"/>
        <v>0</v>
      </c>
    </row>
    <row r="138" spans="1:9">
      <c r="A138" s="26"/>
      <c r="C138" s="2">
        <f t="shared" si="12"/>
        <v>0</v>
      </c>
      <c r="D138" s="27">
        <f t="shared" si="13"/>
        <v>0</v>
      </c>
      <c r="E138" s="66"/>
      <c r="F138" s="102"/>
      <c r="G138" s="25"/>
      <c r="H138" s="32">
        <f t="shared" si="14"/>
        <v>0</v>
      </c>
      <c r="I138" s="2">
        <f t="shared" si="15"/>
        <v>0</v>
      </c>
    </row>
    <row r="139" spans="1:9">
      <c r="A139" s="26"/>
      <c r="C139" s="2">
        <f t="shared" si="12"/>
        <v>0</v>
      </c>
      <c r="D139" s="27">
        <f t="shared" si="13"/>
        <v>0</v>
      </c>
      <c r="E139" s="26"/>
      <c r="F139" s="104"/>
      <c r="G139" s="25"/>
      <c r="H139" s="32">
        <f t="shared" si="14"/>
        <v>0</v>
      </c>
      <c r="I139" s="2">
        <f t="shared" si="15"/>
        <v>0</v>
      </c>
    </row>
    <row r="140" spans="1:9">
      <c r="A140" s="26"/>
      <c r="C140" s="2">
        <f t="shared" si="12"/>
        <v>0</v>
      </c>
      <c r="D140" s="27">
        <f t="shared" si="13"/>
        <v>0</v>
      </c>
      <c r="E140" s="26"/>
      <c r="F140" s="101"/>
      <c r="G140" s="25"/>
      <c r="H140" s="32">
        <f t="shared" si="14"/>
        <v>0</v>
      </c>
      <c r="I140" s="2">
        <f t="shared" si="15"/>
        <v>0</v>
      </c>
    </row>
    <row r="141" spans="1:9">
      <c r="A141" s="26"/>
      <c r="C141" s="2">
        <f t="shared" si="12"/>
        <v>0</v>
      </c>
      <c r="D141" s="27">
        <f t="shared" si="13"/>
        <v>0</v>
      </c>
      <c r="E141" s="66"/>
      <c r="F141" s="104"/>
      <c r="G141" s="25"/>
      <c r="H141" s="32">
        <f t="shared" si="14"/>
        <v>0</v>
      </c>
      <c r="I141" s="2">
        <f t="shared" si="15"/>
        <v>0</v>
      </c>
    </row>
    <row r="142" spans="1:9">
      <c r="A142" s="25"/>
      <c r="B142" s="34"/>
      <c r="C142" s="2">
        <f t="shared" si="12"/>
        <v>0</v>
      </c>
      <c r="D142" s="27">
        <f t="shared" si="13"/>
        <v>0</v>
      </c>
      <c r="E142" s="66"/>
      <c r="F142" s="102"/>
      <c r="G142" s="33"/>
      <c r="H142" s="32">
        <f t="shared" si="14"/>
        <v>0</v>
      </c>
      <c r="I142" s="2">
        <f t="shared" si="15"/>
        <v>0</v>
      </c>
    </row>
    <row r="143" spans="1:9">
      <c r="A143" s="26"/>
      <c r="C143" s="2">
        <f t="shared" si="12"/>
        <v>0</v>
      </c>
      <c r="D143" s="27">
        <f t="shared" si="13"/>
        <v>0</v>
      </c>
      <c r="E143" s="26"/>
      <c r="F143" s="104"/>
      <c r="G143" s="25"/>
      <c r="H143" s="32">
        <f t="shared" si="14"/>
        <v>0</v>
      </c>
      <c r="I143" s="2">
        <f t="shared" si="15"/>
        <v>0</v>
      </c>
    </row>
    <row r="144" spans="1:9">
      <c r="A144" s="26"/>
      <c r="C144" s="2">
        <f t="shared" si="12"/>
        <v>0</v>
      </c>
      <c r="D144" s="27">
        <f t="shared" si="13"/>
        <v>0</v>
      </c>
      <c r="E144" s="66"/>
      <c r="F144" s="104"/>
      <c r="G144" s="25"/>
      <c r="H144" s="32">
        <f t="shared" si="14"/>
        <v>0</v>
      </c>
      <c r="I144" s="2">
        <f t="shared" si="15"/>
        <v>0</v>
      </c>
    </row>
    <row r="145" spans="1:9">
      <c r="A145" s="26"/>
      <c r="C145" s="2">
        <f t="shared" si="12"/>
        <v>0</v>
      </c>
      <c r="D145" s="27">
        <f t="shared" si="13"/>
        <v>0</v>
      </c>
      <c r="E145" s="26"/>
      <c r="F145" s="99"/>
      <c r="G145" s="25"/>
      <c r="H145" s="32">
        <f t="shared" si="14"/>
        <v>0</v>
      </c>
      <c r="I145" s="2">
        <f t="shared" si="15"/>
        <v>0</v>
      </c>
    </row>
    <row r="146" spans="1:9">
      <c r="A146" s="26"/>
      <c r="C146" s="2">
        <f t="shared" si="12"/>
        <v>0</v>
      </c>
      <c r="D146" s="27">
        <f t="shared" si="13"/>
        <v>0</v>
      </c>
      <c r="E146" s="66"/>
      <c r="F146" s="102"/>
      <c r="G146" s="25"/>
      <c r="H146" s="32">
        <f t="shared" si="14"/>
        <v>0</v>
      </c>
      <c r="I146" s="2">
        <f t="shared" si="15"/>
        <v>0</v>
      </c>
    </row>
    <row r="147" spans="1:9">
      <c r="A147" s="26"/>
      <c r="C147" s="2">
        <f t="shared" si="12"/>
        <v>0</v>
      </c>
      <c r="D147" s="27">
        <f t="shared" si="13"/>
        <v>0</v>
      </c>
      <c r="E147" s="26"/>
      <c r="F147" s="102"/>
      <c r="G147" s="25"/>
      <c r="H147" s="32">
        <f t="shared" si="14"/>
        <v>0</v>
      </c>
      <c r="I147" s="2">
        <f t="shared" si="15"/>
        <v>0</v>
      </c>
    </row>
    <row r="148" spans="1:9">
      <c r="A148" s="26"/>
      <c r="C148" s="2">
        <f t="shared" si="12"/>
        <v>0</v>
      </c>
      <c r="D148" s="27">
        <f t="shared" si="13"/>
        <v>0</v>
      </c>
      <c r="E148" s="26"/>
      <c r="F148" s="100"/>
      <c r="G148" s="25"/>
      <c r="H148" s="32">
        <f t="shared" si="14"/>
        <v>0</v>
      </c>
      <c r="I148" s="2">
        <f t="shared" si="15"/>
        <v>0</v>
      </c>
    </row>
    <row r="149" spans="1:9">
      <c r="A149" s="25"/>
      <c r="C149" s="2">
        <f t="shared" si="12"/>
        <v>0</v>
      </c>
      <c r="D149" s="27">
        <f t="shared" si="13"/>
        <v>0</v>
      </c>
      <c r="E149" s="66"/>
      <c r="F149" s="104"/>
      <c r="G149" s="25"/>
      <c r="H149" s="32">
        <f t="shared" si="14"/>
        <v>0</v>
      </c>
      <c r="I149" s="2">
        <f t="shared" si="15"/>
        <v>0</v>
      </c>
    </row>
    <row r="150" spans="1:9">
      <c r="A150" s="26"/>
      <c r="C150" s="2">
        <f t="shared" si="12"/>
        <v>0</v>
      </c>
      <c r="D150" s="27">
        <f t="shared" si="13"/>
        <v>0</v>
      </c>
      <c r="E150" s="26"/>
      <c r="F150" s="102"/>
      <c r="G150" s="25"/>
      <c r="H150" s="32">
        <f t="shared" si="14"/>
        <v>0</v>
      </c>
      <c r="I150" s="2">
        <f t="shared" si="15"/>
        <v>0</v>
      </c>
    </row>
    <row r="151" spans="1:9">
      <c r="A151" s="26"/>
      <c r="C151" s="2">
        <f t="shared" si="12"/>
        <v>0</v>
      </c>
      <c r="D151" s="27">
        <f t="shared" si="13"/>
        <v>0</v>
      </c>
      <c r="E151" s="66"/>
      <c r="F151" s="100"/>
      <c r="G151" s="25"/>
      <c r="H151" s="32">
        <f t="shared" si="14"/>
        <v>0</v>
      </c>
      <c r="I151" s="2">
        <f t="shared" si="15"/>
        <v>0</v>
      </c>
    </row>
    <row r="152" spans="1:9">
      <c r="A152" s="25"/>
      <c r="B152" s="34"/>
      <c r="C152" s="2">
        <f t="shared" si="12"/>
        <v>0</v>
      </c>
      <c r="D152" s="27">
        <f t="shared" si="13"/>
        <v>0</v>
      </c>
      <c r="E152" s="66"/>
      <c r="F152" s="104"/>
      <c r="G152" s="25"/>
      <c r="H152" s="32">
        <f t="shared" si="14"/>
        <v>0</v>
      </c>
      <c r="I152" s="2">
        <f t="shared" si="15"/>
        <v>0</v>
      </c>
    </row>
    <row r="153" spans="1:9">
      <c r="A153" s="26"/>
      <c r="C153" s="2">
        <f t="shared" si="12"/>
        <v>0</v>
      </c>
      <c r="D153" s="27">
        <f t="shared" si="13"/>
        <v>0</v>
      </c>
      <c r="E153" s="66"/>
      <c r="F153" s="104"/>
      <c r="G153" s="25"/>
      <c r="H153" s="32">
        <f t="shared" si="14"/>
        <v>0</v>
      </c>
      <c r="I153" s="2">
        <f t="shared" si="15"/>
        <v>0</v>
      </c>
    </row>
    <row r="154" spans="1:9">
      <c r="A154" s="26"/>
      <c r="C154" s="2">
        <f t="shared" si="12"/>
        <v>0</v>
      </c>
      <c r="D154" s="27">
        <f t="shared" si="13"/>
        <v>0</v>
      </c>
      <c r="E154" s="26"/>
      <c r="F154" s="102"/>
      <c r="G154" s="25"/>
      <c r="H154" s="32">
        <f t="shared" si="14"/>
        <v>0</v>
      </c>
      <c r="I154" s="2">
        <f t="shared" si="15"/>
        <v>0</v>
      </c>
    </row>
    <row r="155" spans="1:9">
      <c r="A155" s="26"/>
      <c r="C155" s="2">
        <f t="shared" si="12"/>
        <v>0</v>
      </c>
      <c r="D155" s="27">
        <f t="shared" si="13"/>
        <v>0</v>
      </c>
      <c r="E155" s="66"/>
      <c r="F155" s="102"/>
      <c r="G155" s="33"/>
      <c r="H155" s="32">
        <f t="shared" si="14"/>
        <v>0</v>
      </c>
      <c r="I155" s="2">
        <f t="shared" si="15"/>
        <v>0</v>
      </c>
    </row>
    <row r="156" spans="1:9">
      <c r="A156" s="25"/>
      <c r="C156" s="2">
        <f t="shared" si="12"/>
        <v>0</v>
      </c>
      <c r="D156" s="27">
        <f t="shared" si="13"/>
        <v>0</v>
      </c>
      <c r="E156" s="26"/>
      <c r="F156" s="104"/>
      <c r="G156" s="25"/>
      <c r="H156" s="32">
        <f t="shared" si="14"/>
        <v>0</v>
      </c>
      <c r="I156" s="2">
        <f t="shared" si="15"/>
        <v>0</v>
      </c>
    </row>
    <row r="157" spans="1:9">
      <c r="A157" s="26"/>
      <c r="B157" s="26"/>
      <c r="C157" s="2">
        <f t="shared" si="12"/>
        <v>0</v>
      </c>
      <c r="D157" s="27">
        <f t="shared" si="13"/>
        <v>0</v>
      </c>
      <c r="E157" s="26"/>
      <c r="F157" s="103"/>
      <c r="G157" s="25"/>
      <c r="H157" s="32">
        <f t="shared" si="14"/>
        <v>0</v>
      </c>
      <c r="I157" s="2">
        <f t="shared" si="15"/>
        <v>0</v>
      </c>
    </row>
    <row r="158" spans="1:9">
      <c r="A158" s="26"/>
      <c r="C158" s="2">
        <f t="shared" si="12"/>
        <v>0</v>
      </c>
      <c r="D158" s="27">
        <f t="shared" si="13"/>
        <v>0</v>
      </c>
      <c r="E158" s="26"/>
      <c r="F158" s="102"/>
      <c r="G158" s="25"/>
      <c r="H158" s="32">
        <f t="shared" si="14"/>
        <v>0</v>
      </c>
      <c r="I158" s="2">
        <f t="shared" si="15"/>
        <v>0</v>
      </c>
    </row>
    <row r="159" spans="1:9">
      <c r="A159" s="26"/>
      <c r="C159" s="2">
        <f t="shared" si="12"/>
        <v>0</v>
      </c>
      <c r="D159" s="27">
        <f t="shared" si="13"/>
        <v>0</v>
      </c>
      <c r="E159" s="26"/>
      <c r="F159" s="104"/>
      <c r="G159" s="25"/>
      <c r="H159" s="32">
        <f t="shared" si="14"/>
        <v>0</v>
      </c>
      <c r="I159" s="2">
        <f t="shared" si="15"/>
        <v>0</v>
      </c>
    </row>
    <row r="160" spans="1:9">
      <c r="A160" s="26"/>
      <c r="C160" s="2">
        <f t="shared" si="12"/>
        <v>0</v>
      </c>
      <c r="D160" s="27">
        <f t="shared" si="13"/>
        <v>0</v>
      </c>
      <c r="E160" s="66"/>
      <c r="F160" s="103"/>
      <c r="G160" s="25"/>
      <c r="H160" s="32">
        <f t="shared" si="14"/>
        <v>0</v>
      </c>
      <c r="I160" s="2">
        <f t="shared" si="15"/>
        <v>0</v>
      </c>
    </row>
    <row r="161" spans="1:9">
      <c r="A161" s="26"/>
      <c r="C161" s="2">
        <f t="shared" si="12"/>
        <v>0</v>
      </c>
      <c r="D161" s="27">
        <f t="shared" si="13"/>
        <v>0</v>
      </c>
      <c r="E161" s="66"/>
      <c r="F161" s="102"/>
      <c r="G161" s="25"/>
      <c r="H161" s="32">
        <f t="shared" si="14"/>
        <v>0</v>
      </c>
      <c r="I161" s="2">
        <f t="shared" si="15"/>
        <v>0</v>
      </c>
    </row>
    <row r="162" spans="1:9">
      <c r="A162" s="26"/>
      <c r="C162" s="2">
        <f t="shared" si="12"/>
        <v>0</v>
      </c>
      <c r="D162" s="27">
        <f t="shared" si="13"/>
        <v>0</v>
      </c>
      <c r="E162" s="26"/>
      <c r="F162" s="102"/>
      <c r="G162" s="33"/>
      <c r="H162" s="32">
        <f t="shared" si="14"/>
        <v>0</v>
      </c>
      <c r="I162" s="2">
        <f t="shared" si="15"/>
        <v>0</v>
      </c>
    </row>
    <row r="163" spans="1:9">
      <c r="A163" s="26"/>
      <c r="C163" s="2">
        <f t="shared" si="12"/>
        <v>0</v>
      </c>
      <c r="D163" s="27">
        <f t="shared" si="13"/>
        <v>0</v>
      </c>
      <c r="E163" s="26"/>
      <c r="F163" s="102"/>
      <c r="G163" s="25"/>
      <c r="H163" s="32">
        <f t="shared" si="14"/>
        <v>0</v>
      </c>
      <c r="I163" s="2">
        <f t="shared" si="15"/>
        <v>0</v>
      </c>
    </row>
    <row r="164" spans="1:9">
      <c r="A164" s="25"/>
      <c r="B164" s="34"/>
      <c r="C164" s="2">
        <f t="shared" si="12"/>
        <v>0</v>
      </c>
      <c r="D164" s="27">
        <f t="shared" si="13"/>
        <v>0</v>
      </c>
      <c r="E164" s="26"/>
      <c r="F164" s="102"/>
      <c r="G164" s="25"/>
      <c r="H164" s="32">
        <f t="shared" si="14"/>
        <v>0</v>
      </c>
      <c r="I164" s="2">
        <f t="shared" si="15"/>
        <v>0</v>
      </c>
    </row>
    <row r="165" spans="1:9">
      <c r="A165" s="26"/>
      <c r="C165" s="2">
        <f t="shared" si="12"/>
        <v>0</v>
      </c>
      <c r="D165" s="27">
        <f t="shared" si="13"/>
        <v>0</v>
      </c>
      <c r="E165" s="26"/>
      <c r="F165" s="104"/>
      <c r="G165" s="25"/>
      <c r="H165" s="32">
        <f t="shared" si="14"/>
        <v>0</v>
      </c>
      <c r="I165" s="2">
        <f t="shared" si="15"/>
        <v>0</v>
      </c>
    </row>
    <row r="166" spans="1:9">
      <c r="A166" s="26"/>
      <c r="C166" s="2">
        <f t="shared" si="12"/>
        <v>0</v>
      </c>
      <c r="D166" s="27">
        <f t="shared" si="13"/>
        <v>0</v>
      </c>
      <c r="E166" s="66"/>
      <c r="F166" s="104"/>
      <c r="G166" s="25"/>
      <c r="H166" s="32">
        <f t="shared" si="14"/>
        <v>0</v>
      </c>
      <c r="I166" s="2">
        <f t="shared" si="15"/>
        <v>0</v>
      </c>
    </row>
    <row r="167" spans="1:9">
      <c r="A167" s="26"/>
      <c r="C167" s="2">
        <f t="shared" si="12"/>
        <v>0</v>
      </c>
      <c r="D167" s="27">
        <f t="shared" si="13"/>
        <v>0</v>
      </c>
      <c r="E167" s="26"/>
      <c r="F167" s="102"/>
      <c r="G167" s="25"/>
      <c r="H167" s="32">
        <f t="shared" si="14"/>
        <v>0</v>
      </c>
      <c r="I167" s="2">
        <f t="shared" si="15"/>
        <v>0</v>
      </c>
    </row>
    <row r="168" spans="1:9">
      <c r="A168" s="26"/>
      <c r="C168" s="2">
        <f t="shared" si="12"/>
        <v>0</v>
      </c>
      <c r="D168" s="27">
        <f t="shared" si="13"/>
        <v>0</v>
      </c>
      <c r="E168" s="26"/>
      <c r="F168" s="103"/>
      <c r="G168" s="25"/>
      <c r="H168" s="32">
        <f t="shared" si="14"/>
        <v>0</v>
      </c>
      <c r="I168" s="2">
        <f t="shared" si="15"/>
        <v>0</v>
      </c>
    </row>
    <row r="169" spans="1:9">
      <c r="A169" s="26"/>
      <c r="C169" s="2">
        <f t="shared" si="12"/>
        <v>0</v>
      </c>
      <c r="D169" s="27">
        <f t="shared" si="13"/>
        <v>0</v>
      </c>
      <c r="E169" s="26"/>
      <c r="F169" s="104"/>
      <c r="G169" s="25"/>
      <c r="H169" s="32">
        <f t="shared" si="14"/>
        <v>0</v>
      </c>
      <c r="I169" s="2">
        <f t="shared" si="15"/>
        <v>0</v>
      </c>
    </row>
    <row r="170" spans="1:9">
      <c r="A170" s="26"/>
      <c r="C170" s="2">
        <f t="shared" si="12"/>
        <v>0</v>
      </c>
      <c r="D170" s="27">
        <f t="shared" si="13"/>
        <v>0</v>
      </c>
      <c r="E170" s="26"/>
      <c r="F170" s="104"/>
      <c r="G170" s="25"/>
      <c r="H170" s="32">
        <f t="shared" si="14"/>
        <v>0</v>
      </c>
      <c r="I170" s="2">
        <f t="shared" si="15"/>
        <v>0</v>
      </c>
    </row>
    <row r="171" spans="1:9">
      <c r="A171" s="26"/>
      <c r="B171" s="26"/>
      <c r="C171" s="2">
        <f t="shared" si="12"/>
        <v>0</v>
      </c>
      <c r="D171" s="27">
        <f t="shared" si="13"/>
        <v>0</v>
      </c>
      <c r="E171" s="26"/>
      <c r="F171" s="104"/>
      <c r="G171" s="25"/>
      <c r="H171" s="32">
        <f t="shared" si="14"/>
        <v>0</v>
      </c>
      <c r="I171" s="2">
        <f t="shared" si="15"/>
        <v>0</v>
      </c>
    </row>
    <row r="172" spans="1:9">
      <c r="A172" s="26"/>
      <c r="C172" s="2">
        <f t="shared" si="12"/>
        <v>0</v>
      </c>
      <c r="D172" s="27">
        <f t="shared" si="13"/>
        <v>0</v>
      </c>
      <c r="E172" s="66"/>
      <c r="F172" s="121"/>
      <c r="G172" s="25"/>
      <c r="H172" s="32">
        <f t="shared" si="14"/>
        <v>0</v>
      </c>
      <c r="I172" s="2">
        <f t="shared" si="15"/>
        <v>0</v>
      </c>
    </row>
    <row r="173" spans="1:9">
      <c r="A173" s="26"/>
      <c r="C173" s="2">
        <f t="shared" si="12"/>
        <v>0</v>
      </c>
      <c r="D173" s="27">
        <f t="shared" si="13"/>
        <v>0</v>
      </c>
      <c r="E173" s="26"/>
      <c r="F173" s="101"/>
      <c r="G173" s="25"/>
      <c r="H173" s="32">
        <f t="shared" si="14"/>
        <v>0</v>
      </c>
      <c r="I173" s="2">
        <f t="shared" si="15"/>
        <v>0</v>
      </c>
    </row>
    <row r="174" spans="1:9">
      <c r="A174" s="26"/>
      <c r="C174" s="2">
        <f t="shared" si="12"/>
        <v>0</v>
      </c>
      <c r="D174" s="27">
        <f t="shared" si="13"/>
        <v>0</v>
      </c>
      <c r="E174" s="26"/>
      <c r="F174" s="102"/>
      <c r="G174" s="25"/>
      <c r="H174" s="32">
        <f t="shared" si="14"/>
        <v>0</v>
      </c>
      <c r="I174" s="2">
        <f t="shared" si="15"/>
        <v>0</v>
      </c>
    </row>
    <row r="175" spans="1:9">
      <c r="A175" s="26"/>
      <c r="C175" s="2">
        <f t="shared" si="12"/>
        <v>0</v>
      </c>
      <c r="D175" s="27">
        <f t="shared" si="13"/>
        <v>0</v>
      </c>
      <c r="E175" s="26"/>
      <c r="F175" s="102"/>
      <c r="G175" s="25"/>
      <c r="H175" s="32">
        <f t="shared" si="14"/>
        <v>0</v>
      </c>
      <c r="I175" s="2">
        <f t="shared" si="15"/>
        <v>0</v>
      </c>
    </row>
    <row r="176" spans="1:9">
      <c r="A176" s="26"/>
      <c r="C176" s="2">
        <f t="shared" si="12"/>
        <v>0</v>
      </c>
      <c r="D176" s="27">
        <f t="shared" si="13"/>
        <v>0</v>
      </c>
      <c r="E176" s="26"/>
      <c r="F176" s="102"/>
      <c r="G176" s="25"/>
      <c r="H176" s="32">
        <f t="shared" si="14"/>
        <v>0</v>
      </c>
      <c r="I176" s="2">
        <f t="shared" si="15"/>
        <v>0</v>
      </c>
    </row>
    <row r="177" spans="1:9">
      <c r="A177" s="25"/>
      <c r="C177" s="2">
        <f t="shared" si="12"/>
        <v>0</v>
      </c>
      <c r="D177" s="27">
        <f t="shared" si="13"/>
        <v>0</v>
      </c>
      <c r="E177" s="26"/>
      <c r="F177" s="102"/>
      <c r="G177" s="25"/>
      <c r="H177" s="32">
        <f t="shared" si="14"/>
        <v>0</v>
      </c>
      <c r="I177" s="2">
        <f t="shared" si="15"/>
        <v>0</v>
      </c>
    </row>
    <row r="178" spans="1:9">
      <c r="A178" s="25"/>
      <c r="B178" s="34"/>
      <c r="C178" s="2">
        <f t="shared" si="12"/>
        <v>0</v>
      </c>
      <c r="D178" s="27">
        <f t="shared" si="13"/>
        <v>0</v>
      </c>
      <c r="E178" s="26"/>
      <c r="F178" s="102"/>
      <c r="G178" s="33"/>
      <c r="H178" s="32">
        <f t="shared" si="14"/>
        <v>0</v>
      </c>
      <c r="I178" s="2">
        <f t="shared" si="15"/>
        <v>0</v>
      </c>
    </row>
    <row r="179" spans="1:9">
      <c r="A179" s="25"/>
      <c r="C179" s="2">
        <f t="shared" si="12"/>
        <v>0</v>
      </c>
      <c r="D179" s="27">
        <f t="shared" si="13"/>
        <v>0</v>
      </c>
      <c r="E179" s="26"/>
      <c r="F179" s="102"/>
      <c r="G179" s="25"/>
      <c r="H179" s="32">
        <f t="shared" si="14"/>
        <v>0</v>
      </c>
      <c r="I179" s="2">
        <f t="shared" si="15"/>
        <v>0</v>
      </c>
    </row>
    <row r="180" spans="1:9">
      <c r="A180" s="26"/>
      <c r="C180" s="2">
        <f t="shared" si="12"/>
        <v>0</v>
      </c>
      <c r="D180" s="27">
        <f t="shared" si="13"/>
        <v>0</v>
      </c>
      <c r="E180" s="26"/>
      <c r="F180" s="104"/>
      <c r="G180" s="25"/>
      <c r="H180" s="32">
        <f t="shared" si="14"/>
        <v>0</v>
      </c>
      <c r="I180" s="2">
        <f t="shared" si="15"/>
        <v>0</v>
      </c>
    </row>
    <row r="181" spans="1:9">
      <c r="A181" s="25"/>
      <c r="B181" s="34"/>
      <c r="C181" s="2">
        <f t="shared" si="12"/>
        <v>0</v>
      </c>
      <c r="D181" s="27">
        <f t="shared" si="13"/>
        <v>0</v>
      </c>
      <c r="E181" s="26"/>
      <c r="F181" s="102"/>
      <c r="G181" s="25"/>
      <c r="H181" s="32">
        <f t="shared" si="14"/>
        <v>0</v>
      </c>
      <c r="I181" s="2">
        <f t="shared" si="15"/>
        <v>0</v>
      </c>
    </row>
    <row r="182" spans="1:9">
      <c r="A182" s="25"/>
      <c r="B182" s="34"/>
      <c r="C182" s="2">
        <f t="shared" si="12"/>
        <v>0</v>
      </c>
      <c r="D182" s="27">
        <f t="shared" si="13"/>
        <v>0</v>
      </c>
      <c r="E182" s="26"/>
      <c r="F182" s="104"/>
      <c r="G182" s="25"/>
      <c r="H182" s="32">
        <f t="shared" si="14"/>
        <v>0</v>
      </c>
      <c r="I182" s="2">
        <f t="shared" si="15"/>
        <v>0</v>
      </c>
    </row>
    <row r="183" spans="1:9">
      <c r="A183" s="26"/>
      <c r="C183" s="2">
        <f t="shared" si="12"/>
        <v>0</v>
      </c>
      <c r="D183" s="27">
        <f t="shared" si="13"/>
        <v>0</v>
      </c>
      <c r="E183" s="26"/>
      <c r="F183" s="100"/>
      <c r="G183" s="25"/>
      <c r="H183" s="32">
        <f t="shared" si="14"/>
        <v>0</v>
      </c>
      <c r="I183" s="2">
        <f t="shared" si="15"/>
        <v>0</v>
      </c>
    </row>
    <row r="184" spans="1:9">
      <c r="A184" s="26"/>
      <c r="C184" s="2">
        <f t="shared" si="12"/>
        <v>0</v>
      </c>
      <c r="D184" s="27">
        <f t="shared" si="13"/>
        <v>0</v>
      </c>
      <c r="E184" s="26"/>
      <c r="F184" s="102"/>
      <c r="G184" s="33"/>
      <c r="H184" s="32">
        <f t="shared" si="14"/>
        <v>0</v>
      </c>
      <c r="I184" s="2">
        <f t="shared" si="15"/>
        <v>0</v>
      </c>
    </row>
    <row r="185" spans="1:9">
      <c r="A185" s="25"/>
      <c r="B185" s="34"/>
      <c r="C185" s="2">
        <f t="shared" si="12"/>
        <v>0</v>
      </c>
      <c r="D185" s="27">
        <f t="shared" si="13"/>
        <v>0</v>
      </c>
      <c r="E185" s="26"/>
      <c r="F185" s="104"/>
      <c r="G185" s="25"/>
      <c r="H185" s="32">
        <f t="shared" si="14"/>
        <v>0</v>
      </c>
      <c r="I185" s="2">
        <f t="shared" si="15"/>
        <v>0</v>
      </c>
    </row>
    <row r="186" spans="1:9">
      <c r="A186" s="26"/>
      <c r="C186" s="2">
        <f t="shared" si="12"/>
        <v>0</v>
      </c>
      <c r="D186" s="27">
        <f t="shared" si="13"/>
        <v>0</v>
      </c>
      <c r="E186" s="26"/>
      <c r="F186" s="101"/>
      <c r="G186" s="25"/>
      <c r="H186" s="32">
        <f t="shared" si="14"/>
        <v>0</v>
      </c>
      <c r="I186" s="2">
        <f t="shared" si="15"/>
        <v>0</v>
      </c>
    </row>
    <row r="187" spans="1:9">
      <c r="A187" s="26"/>
      <c r="C187" s="2">
        <f t="shared" si="12"/>
        <v>0</v>
      </c>
      <c r="D187" s="27">
        <f t="shared" si="13"/>
        <v>0</v>
      </c>
      <c r="E187" s="26"/>
      <c r="F187" s="104"/>
      <c r="G187" s="25"/>
      <c r="H187" s="32">
        <f t="shared" si="14"/>
        <v>0</v>
      </c>
      <c r="I187" s="2">
        <f t="shared" si="15"/>
        <v>0</v>
      </c>
    </row>
    <row r="188" spans="1:9">
      <c r="A188" s="26"/>
      <c r="C188" s="2">
        <f t="shared" si="12"/>
        <v>0</v>
      </c>
      <c r="D188" s="27">
        <f t="shared" si="13"/>
        <v>0</v>
      </c>
      <c r="E188" s="26"/>
      <c r="F188" s="104"/>
      <c r="G188" s="25"/>
      <c r="H188" s="32">
        <f t="shared" si="14"/>
        <v>0</v>
      </c>
      <c r="I188" s="2">
        <f t="shared" si="15"/>
        <v>0</v>
      </c>
    </row>
    <row r="189" spans="1:9">
      <c r="A189" s="26"/>
      <c r="C189" s="2">
        <f t="shared" si="12"/>
        <v>0</v>
      </c>
      <c r="D189" s="27">
        <f t="shared" si="13"/>
        <v>0</v>
      </c>
      <c r="E189" s="66"/>
      <c r="F189" s="102"/>
      <c r="G189" s="25"/>
      <c r="H189" s="32">
        <f t="shared" si="14"/>
        <v>0</v>
      </c>
      <c r="I189" s="2">
        <f t="shared" si="15"/>
        <v>0</v>
      </c>
    </row>
    <row r="190" spans="1:9">
      <c r="A190" s="26"/>
      <c r="B190" s="26"/>
      <c r="C190" s="2">
        <f t="shared" si="12"/>
        <v>0</v>
      </c>
      <c r="D190" s="27">
        <f t="shared" si="13"/>
        <v>0</v>
      </c>
      <c r="E190" s="66"/>
      <c r="F190" s="99"/>
      <c r="G190" s="25"/>
      <c r="H190" s="32">
        <f t="shared" si="14"/>
        <v>0</v>
      </c>
      <c r="I190" s="2">
        <f t="shared" si="15"/>
        <v>0</v>
      </c>
    </row>
    <row r="191" spans="1:9">
      <c r="A191" s="26"/>
      <c r="C191" s="2">
        <f t="shared" si="12"/>
        <v>0</v>
      </c>
      <c r="D191" s="27">
        <f t="shared" si="13"/>
        <v>0</v>
      </c>
      <c r="E191" s="66"/>
      <c r="F191" s="100"/>
      <c r="G191" s="25"/>
      <c r="H191" s="32">
        <f t="shared" si="14"/>
        <v>0</v>
      </c>
      <c r="I191" s="2">
        <f t="shared" si="15"/>
        <v>0</v>
      </c>
    </row>
    <row r="192" spans="1:9">
      <c r="A192" s="26"/>
      <c r="C192" s="2">
        <f t="shared" si="12"/>
        <v>0</v>
      </c>
      <c r="D192" s="27">
        <f t="shared" si="13"/>
        <v>0</v>
      </c>
      <c r="E192" s="26"/>
      <c r="F192" s="104"/>
      <c r="G192" s="25"/>
      <c r="H192" s="32">
        <f t="shared" si="14"/>
        <v>0</v>
      </c>
      <c r="I192" s="2">
        <f t="shared" si="15"/>
        <v>0</v>
      </c>
    </row>
    <row r="193" spans="1:9">
      <c r="A193" s="25"/>
      <c r="B193" s="34"/>
      <c r="C193" s="2">
        <f t="shared" si="12"/>
        <v>0</v>
      </c>
      <c r="D193" s="27">
        <f t="shared" si="13"/>
        <v>0</v>
      </c>
      <c r="E193" s="26"/>
      <c r="F193" s="104"/>
      <c r="G193" s="25"/>
      <c r="H193" s="32">
        <f t="shared" si="14"/>
        <v>0</v>
      </c>
      <c r="I193" s="2">
        <f t="shared" si="15"/>
        <v>0</v>
      </c>
    </row>
    <row r="194" spans="1:9">
      <c r="A194" s="26"/>
      <c r="C194" s="2">
        <f t="shared" si="12"/>
        <v>0</v>
      </c>
      <c r="D194" s="27">
        <f t="shared" si="13"/>
        <v>0</v>
      </c>
      <c r="E194" s="26"/>
      <c r="F194" s="104"/>
      <c r="G194" s="25"/>
      <c r="H194" s="32">
        <f t="shared" si="14"/>
        <v>0</v>
      </c>
      <c r="I194" s="2">
        <f t="shared" si="15"/>
        <v>0</v>
      </c>
    </row>
    <row r="195" spans="1:9">
      <c r="A195" s="26"/>
      <c r="B195" s="58"/>
      <c r="C195" s="2">
        <f t="shared" ref="C195:C258" si="16">SUMIFS($G$2:$G$305,$F$2:$F$305,$A195)</f>
        <v>0</v>
      </c>
      <c r="D195" s="27">
        <f t="shared" ref="D195:D258" si="17" xml:space="preserve"> $B195-$C195</f>
        <v>0</v>
      </c>
      <c r="E195" s="26"/>
      <c r="F195" s="99"/>
      <c r="G195" s="25"/>
      <c r="H195" s="32">
        <f t="shared" ref="H195:H258" si="18">SUMIFS($B$2:$B$278,$A$2:$A$278,$F195)</f>
        <v>0</v>
      </c>
      <c r="I195" s="2">
        <f t="shared" ref="I195:I258" si="19" xml:space="preserve"> $G195-$H195</f>
        <v>0</v>
      </c>
    </row>
    <row r="196" spans="1:9">
      <c r="A196" s="26"/>
      <c r="C196" s="2">
        <f t="shared" si="16"/>
        <v>0</v>
      </c>
      <c r="D196" s="27">
        <f t="shared" si="17"/>
        <v>0</v>
      </c>
      <c r="E196" s="26"/>
      <c r="F196" s="102"/>
      <c r="G196" s="25"/>
      <c r="H196" s="32">
        <f t="shared" si="18"/>
        <v>0</v>
      </c>
      <c r="I196" s="2">
        <f t="shared" si="19"/>
        <v>0</v>
      </c>
    </row>
    <row r="197" spans="1:9">
      <c r="A197" s="25"/>
      <c r="B197" s="34"/>
      <c r="C197" s="2">
        <f t="shared" si="16"/>
        <v>0</v>
      </c>
      <c r="D197" s="27">
        <f t="shared" si="17"/>
        <v>0</v>
      </c>
      <c r="E197" s="26"/>
      <c r="F197" s="100"/>
      <c r="G197" s="25"/>
      <c r="H197" s="32">
        <f t="shared" si="18"/>
        <v>0</v>
      </c>
      <c r="I197" s="2">
        <f t="shared" si="19"/>
        <v>0</v>
      </c>
    </row>
    <row r="198" spans="1:9">
      <c r="A198" s="26"/>
      <c r="C198" s="2">
        <f t="shared" si="16"/>
        <v>0</v>
      </c>
      <c r="D198" s="27">
        <f t="shared" si="17"/>
        <v>0</v>
      </c>
      <c r="E198" s="26"/>
      <c r="F198" s="103"/>
      <c r="G198" s="25"/>
      <c r="H198" s="32">
        <f t="shared" si="18"/>
        <v>0</v>
      </c>
      <c r="I198" s="2">
        <f t="shared" si="19"/>
        <v>0</v>
      </c>
    </row>
    <row r="199" spans="1:9">
      <c r="A199" s="26"/>
      <c r="C199" s="2">
        <f t="shared" si="16"/>
        <v>0</v>
      </c>
      <c r="D199" s="27">
        <f t="shared" si="17"/>
        <v>0</v>
      </c>
      <c r="E199" s="26"/>
      <c r="F199" s="104"/>
      <c r="G199" s="25"/>
      <c r="H199" s="32">
        <f t="shared" si="18"/>
        <v>0</v>
      </c>
      <c r="I199" s="2">
        <f t="shared" si="19"/>
        <v>0</v>
      </c>
    </row>
    <row r="200" spans="1:9">
      <c r="A200" s="26"/>
      <c r="C200" s="2">
        <f t="shared" si="16"/>
        <v>0</v>
      </c>
      <c r="D200" s="27">
        <f t="shared" si="17"/>
        <v>0</v>
      </c>
      <c r="E200" s="26"/>
      <c r="F200" s="104"/>
      <c r="G200" s="25"/>
      <c r="H200" s="32">
        <f t="shared" si="18"/>
        <v>0</v>
      </c>
      <c r="I200" s="2">
        <f t="shared" si="19"/>
        <v>0</v>
      </c>
    </row>
    <row r="201" spans="1:9">
      <c r="A201" s="26"/>
      <c r="C201" s="2">
        <f t="shared" si="16"/>
        <v>0</v>
      </c>
      <c r="D201" s="27">
        <f t="shared" si="17"/>
        <v>0</v>
      </c>
      <c r="E201" s="26"/>
      <c r="F201" s="104"/>
      <c r="G201" s="25"/>
      <c r="H201" s="32">
        <f t="shared" si="18"/>
        <v>0</v>
      </c>
      <c r="I201" s="2">
        <f t="shared" si="19"/>
        <v>0</v>
      </c>
    </row>
    <row r="202" spans="1:9">
      <c r="A202" s="26"/>
      <c r="C202" s="2">
        <f t="shared" si="16"/>
        <v>0</v>
      </c>
      <c r="D202" s="27">
        <f t="shared" si="17"/>
        <v>0</v>
      </c>
      <c r="E202" s="26"/>
      <c r="F202" s="100"/>
      <c r="G202" s="25"/>
      <c r="H202" s="32">
        <f t="shared" si="18"/>
        <v>0</v>
      </c>
      <c r="I202" s="2">
        <f t="shared" si="19"/>
        <v>0</v>
      </c>
    </row>
    <row r="203" spans="1:9">
      <c r="A203" s="26"/>
      <c r="C203" s="2">
        <f t="shared" si="16"/>
        <v>0</v>
      </c>
      <c r="D203" s="27">
        <f t="shared" si="17"/>
        <v>0</v>
      </c>
      <c r="E203" s="66"/>
      <c r="F203" s="104"/>
      <c r="G203" s="25"/>
      <c r="H203" s="32">
        <f t="shared" si="18"/>
        <v>0</v>
      </c>
      <c r="I203" s="2">
        <f t="shared" si="19"/>
        <v>0</v>
      </c>
    </row>
    <row r="204" spans="1:9">
      <c r="A204" s="25"/>
      <c r="B204" s="34"/>
      <c r="C204" s="2">
        <f t="shared" si="16"/>
        <v>0</v>
      </c>
      <c r="D204" s="27">
        <f t="shared" si="17"/>
        <v>0</v>
      </c>
      <c r="E204" s="26"/>
      <c r="F204" s="103"/>
      <c r="G204" s="25"/>
      <c r="H204" s="32">
        <f t="shared" si="18"/>
        <v>0</v>
      </c>
      <c r="I204" s="2">
        <f t="shared" si="19"/>
        <v>0</v>
      </c>
    </row>
    <row r="205" spans="1:9">
      <c r="A205" s="26"/>
      <c r="C205" s="2">
        <f t="shared" si="16"/>
        <v>0</v>
      </c>
      <c r="D205" s="27">
        <f t="shared" si="17"/>
        <v>0</v>
      </c>
      <c r="E205" s="29"/>
      <c r="F205" s="104"/>
      <c r="G205" s="25"/>
      <c r="H205" s="32">
        <f t="shared" si="18"/>
        <v>0</v>
      </c>
      <c r="I205" s="2">
        <f t="shared" si="19"/>
        <v>0</v>
      </c>
    </row>
    <row r="206" spans="1:9">
      <c r="A206" s="26"/>
      <c r="C206" s="2">
        <f t="shared" si="16"/>
        <v>0</v>
      </c>
      <c r="D206" s="27">
        <f t="shared" si="17"/>
        <v>0</v>
      </c>
      <c r="E206" s="29"/>
      <c r="F206" s="102"/>
      <c r="G206" s="25"/>
      <c r="H206" s="32">
        <f t="shared" si="18"/>
        <v>0</v>
      </c>
      <c r="I206" s="2">
        <f t="shared" si="19"/>
        <v>0</v>
      </c>
    </row>
    <row r="207" spans="1:9">
      <c r="A207" s="26"/>
      <c r="C207" s="2">
        <f t="shared" si="16"/>
        <v>0</v>
      </c>
      <c r="D207" s="27">
        <f t="shared" si="17"/>
        <v>0</v>
      </c>
      <c r="E207" s="29"/>
      <c r="F207" s="102"/>
      <c r="G207" s="25"/>
      <c r="H207" s="32">
        <f t="shared" si="18"/>
        <v>0</v>
      </c>
      <c r="I207" s="2">
        <f t="shared" si="19"/>
        <v>0</v>
      </c>
    </row>
    <row r="208" spans="1:9">
      <c r="A208" s="25"/>
      <c r="B208" s="34"/>
      <c r="C208" s="2">
        <f t="shared" si="16"/>
        <v>0</v>
      </c>
      <c r="D208" s="27">
        <f t="shared" si="17"/>
        <v>0</v>
      </c>
      <c r="E208" s="29"/>
      <c r="F208" s="101"/>
      <c r="G208" s="25"/>
      <c r="H208" s="32">
        <f t="shared" si="18"/>
        <v>0</v>
      </c>
      <c r="I208" s="2">
        <f t="shared" si="19"/>
        <v>0</v>
      </c>
    </row>
    <row r="209" spans="1:9">
      <c r="A209" s="26"/>
      <c r="C209" s="2">
        <f t="shared" si="16"/>
        <v>0</v>
      </c>
      <c r="D209" s="27">
        <f t="shared" si="17"/>
        <v>0</v>
      </c>
      <c r="E209" s="84"/>
      <c r="F209" s="102"/>
      <c r="G209" s="33"/>
      <c r="H209" s="32">
        <f t="shared" si="18"/>
        <v>0</v>
      </c>
      <c r="I209" s="2">
        <f t="shared" si="19"/>
        <v>0</v>
      </c>
    </row>
    <row r="210" spans="1:9">
      <c r="A210" s="26"/>
      <c r="C210" s="2">
        <f t="shared" si="16"/>
        <v>0</v>
      </c>
      <c r="D210" s="27">
        <f t="shared" si="17"/>
        <v>0</v>
      </c>
      <c r="E210" s="29"/>
      <c r="F210" s="104"/>
      <c r="G210" s="25"/>
      <c r="H210" s="32">
        <f t="shared" si="18"/>
        <v>0</v>
      </c>
      <c r="I210" s="2">
        <f t="shared" si="19"/>
        <v>0</v>
      </c>
    </row>
    <row r="211" spans="1:9">
      <c r="A211" s="25"/>
      <c r="C211" s="2">
        <f t="shared" si="16"/>
        <v>0</v>
      </c>
      <c r="D211" s="27">
        <f t="shared" si="17"/>
        <v>0</v>
      </c>
      <c r="E211" s="29"/>
      <c r="F211" s="99"/>
      <c r="G211" s="25"/>
      <c r="H211" s="32">
        <f t="shared" si="18"/>
        <v>0</v>
      </c>
      <c r="I211" s="2">
        <f t="shared" si="19"/>
        <v>0</v>
      </c>
    </row>
    <row r="212" spans="1:9">
      <c r="A212" s="25"/>
      <c r="B212" s="34"/>
      <c r="C212" s="2">
        <f t="shared" si="16"/>
        <v>0</v>
      </c>
      <c r="D212" s="27">
        <f t="shared" si="17"/>
        <v>0</v>
      </c>
      <c r="E212" s="29"/>
      <c r="F212" s="104"/>
      <c r="G212" s="25"/>
      <c r="H212" s="32">
        <f t="shared" si="18"/>
        <v>0</v>
      </c>
      <c r="I212" s="2">
        <f t="shared" si="19"/>
        <v>0</v>
      </c>
    </row>
    <row r="213" spans="1:9">
      <c r="A213" s="26"/>
      <c r="C213" s="2">
        <f t="shared" si="16"/>
        <v>0</v>
      </c>
      <c r="D213" s="27">
        <f t="shared" si="17"/>
        <v>0</v>
      </c>
      <c r="E213" s="29"/>
      <c r="F213" s="104"/>
      <c r="G213" s="25"/>
      <c r="H213" s="32">
        <f t="shared" si="18"/>
        <v>0</v>
      </c>
      <c r="I213" s="2">
        <f t="shared" si="19"/>
        <v>0</v>
      </c>
    </row>
    <row r="214" spans="1:9">
      <c r="A214" s="26"/>
      <c r="B214" s="26"/>
      <c r="C214" s="2">
        <f t="shared" si="16"/>
        <v>0</v>
      </c>
      <c r="D214" s="27">
        <f t="shared" si="17"/>
        <v>0</v>
      </c>
      <c r="E214" s="29"/>
      <c r="F214" s="104"/>
      <c r="G214" s="25"/>
      <c r="H214" s="32">
        <f t="shared" si="18"/>
        <v>0</v>
      </c>
      <c r="I214" s="2">
        <f t="shared" si="19"/>
        <v>0</v>
      </c>
    </row>
    <row r="215" spans="1:9">
      <c r="A215" s="25"/>
      <c r="B215" s="34"/>
      <c r="C215" s="2">
        <f t="shared" si="16"/>
        <v>0</v>
      </c>
      <c r="D215" s="27">
        <f t="shared" si="17"/>
        <v>0</v>
      </c>
      <c r="E215" s="29"/>
      <c r="F215" s="100"/>
      <c r="G215" s="25"/>
      <c r="H215" s="32">
        <f t="shared" si="18"/>
        <v>0</v>
      </c>
      <c r="I215" s="2">
        <f t="shared" si="19"/>
        <v>0</v>
      </c>
    </row>
    <row r="216" spans="1:9">
      <c r="A216" s="26"/>
      <c r="C216" s="2">
        <f t="shared" si="16"/>
        <v>0</v>
      </c>
      <c r="D216" s="27">
        <f t="shared" si="17"/>
        <v>0</v>
      </c>
      <c r="E216" s="29"/>
      <c r="F216" s="99"/>
      <c r="G216" s="25"/>
      <c r="H216" s="32">
        <f t="shared" si="18"/>
        <v>0</v>
      </c>
      <c r="I216" s="2">
        <f t="shared" si="19"/>
        <v>0</v>
      </c>
    </row>
    <row r="217" spans="1:9">
      <c r="A217" s="26"/>
      <c r="C217" s="2">
        <f t="shared" si="16"/>
        <v>0</v>
      </c>
      <c r="D217" s="27">
        <f t="shared" si="17"/>
        <v>0</v>
      </c>
      <c r="E217" s="29"/>
      <c r="F217" s="104"/>
      <c r="G217" s="25"/>
      <c r="H217" s="32">
        <f t="shared" si="18"/>
        <v>0</v>
      </c>
      <c r="I217" s="2">
        <f t="shared" si="19"/>
        <v>0</v>
      </c>
    </row>
    <row r="218" spans="1:9">
      <c r="A218" s="25"/>
      <c r="B218" s="34"/>
      <c r="C218" s="2">
        <f t="shared" si="16"/>
        <v>0</v>
      </c>
      <c r="D218" s="27">
        <f t="shared" si="17"/>
        <v>0</v>
      </c>
      <c r="E218" s="29"/>
      <c r="F218" s="104"/>
      <c r="H218" s="32">
        <f t="shared" si="18"/>
        <v>0</v>
      </c>
      <c r="I218" s="2">
        <f t="shared" si="19"/>
        <v>0</v>
      </c>
    </row>
    <row r="219" spans="1:9">
      <c r="A219" s="25"/>
      <c r="B219" s="34"/>
      <c r="C219" s="2">
        <f t="shared" si="16"/>
        <v>0</v>
      </c>
      <c r="D219" s="27">
        <f t="shared" si="17"/>
        <v>0</v>
      </c>
      <c r="E219" s="29"/>
      <c r="F219" s="104"/>
      <c r="G219" s="25"/>
      <c r="H219" s="32">
        <f t="shared" si="18"/>
        <v>0</v>
      </c>
      <c r="I219" s="2">
        <f t="shared" si="19"/>
        <v>0</v>
      </c>
    </row>
    <row r="220" spans="1:9">
      <c r="A220" s="25"/>
      <c r="B220" s="34"/>
      <c r="C220" s="2">
        <f t="shared" si="16"/>
        <v>0</v>
      </c>
      <c r="D220" s="27">
        <f t="shared" si="17"/>
        <v>0</v>
      </c>
      <c r="E220" s="29"/>
      <c r="F220" s="102"/>
      <c r="G220" s="25"/>
      <c r="H220" s="32">
        <f t="shared" si="18"/>
        <v>0</v>
      </c>
      <c r="I220" s="2">
        <f t="shared" si="19"/>
        <v>0</v>
      </c>
    </row>
    <row r="221" spans="1:9">
      <c r="A221" s="26"/>
      <c r="C221" s="2">
        <f t="shared" si="16"/>
        <v>0</v>
      </c>
      <c r="D221" s="27">
        <f t="shared" si="17"/>
        <v>0</v>
      </c>
      <c r="E221" s="29"/>
      <c r="F221" s="102"/>
      <c r="G221" s="25"/>
      <c r="H221" s="32">
        <f t="shared" si="18"/>
        <v>0</v>
      </c>
      <c r="I221" s="2">
        <f t="shared" si="19"/>
        <v>0</v>
      </c>
    </row>
    <row r="222" spans="1:9">
      <c r="A222" s="26"/>
      <c r="C222" s="2">
        <f t="shared" si="16"/>
        <v>0</v>
      </c>
      <c r="D222" s="27">
        <f t="shared" si="17"/>
        <v>0</v>
      </c>
      <c r="E222" s="29"/>
      <c r="F222" s="104"/>
      <c r="G222" s="25"/>
      <c r="H222" s="32">
        <f t="shared" si="18"/>
        <v>0</v>
      </c>
      <c r="I222" s="2">
        <f t="shared" si="19"/>
        <v>0</v>
      </c>
    </row>
    <row r="223" spans="1:9">
      <c r="A223" s="25"/>
      <c r="B223" s="34"/>
      <c r="C223" s="2">
        <f t="shared" si="16"/>
        <v>0</v>
      </c>
      <c r="D223" s="27">
        <f t="shared" si="17"/>
        <v>0</v>
      </c>
      <c r="E223" s="29"/>
      <c r="F223" s="104"/>
      <c r="G223" s="25"/>
      <c r="H223" s="32">
        <f t="shared" si="18"/>
        <v>0</v>
      </c>
      <c r="I223" s="2">
        <f t="shared" si="19"/>
        <v>0</v>
      </c>
    </row>
    <row r="224" spans="1:9">
      <c r="A224" s="26"/>
      <c r="C224" s="2">
        <f t="shared" si="16"/>
        <v>0</v>
      </c>
      <c r="D224" s="27">
        <f t="shared" si="17"/>
        <v>0</v>
      </c>
      <c r="E224" s="29"/>
      <c r="F224" s="102"/>
      <c r="G224" s="25"/>
      <c r="H224" s="32">
        <f t="shared" si="18"/>
        <v>0</v>
      </c>
      <c r="I224" s="2">
        <f t="shared" si="19"/>
        <v>0</v>
      </c>
    </row>
    <row r="225" spans="1:9">
      <c r="A225" s="26"/>
      <c r="C225" s="2">
        <f t="shared" si="16"/>
        <v>0</v>
      </c>
      <c r="D225" s="27">
        <f t="shared" si="17"/>
        <v>0</v>
      </c>
      <c r="E225" s="29"/>
      <c r="F225" s="101"/>
      <c r="G225" s="25"/>
      <c r="H225" s="32">
        <f t="shared" si="18"/>
        <v>0</v>
      </c>
      <c r="I225" s="2">
        <f t="shared" si="19"/>
        <v>0</v>
      </c>
    </row>
    <row r="226" spans="1:9">
      <c r="A226" s="26"/>
      <c r="C226" s="2">
        <f t="shared" si="16"/>
        <v>0</v>
      </c>
      <c r="D226" s="27">
        <f t="shared" si="17"/>
        <v>0</v>
      </c>
      <c r="E226" s="29"/>
      <c r="F226" s="102"/>
      <c r="G226" s="25"/>
      <c r="H226" s="32">
        <f t="shared" si="18"/>
        <v>0</v>
      </c>
      <c r="I226" s="2">
        <f t="shared" si="19"/>
        <v>0</v>
      </c>
    </row>
    <row r="227" spans="1:9">
      <c r="A227" s="26"/>
      <c r="C227" s="2">
        <f t="shared" si="16"/>
        <v>0</v>
      </c>
      <c r="D227" s="27">
        <f t="shared" si="17"/>
        <v>0</v>
      </c>
      <c r="E227" s="29"/>
      <c r="F227" s="99"/>
      <c r="G227" s="25"/>
      <c r="H227" s="32">
        <f t="shared" si="18"/>
        <v>0</v>
      </c>
      <c r="I227" s="2">
        <f t="shared" si="19"/>
        <v>0</v>
      </c>
    </row>
    <row r="228" spans="1:9">
      <c r="A228" s="25"/>
      <c r="B228" s="34"/>
      <c r="C228" s="2">
        <f t="shared" si="16"/>
        <v>0</v>
      </c>
      <c r="D228" s="27">
        <f t="shared" si="17"/>
        <v>0</v>
      </c>
      <c r="E228" s="29"/>
      <c r="F228" s="102"/>
      <c r="G228" s="25"/>
      <c r="H228" s="32">
        <f t="shared" si="18"/>
        <v>0</v>
      </c>
      <c r="I228" s="2">
        <f t="shared" si="19"/>
        <v>0</v>
      </c>
    </row>
    <row r="229" spans="1:9">
      <c r="A229" s="26"/>
      <c r="C229" s="2">
        <f t="shared" si="16"/>
        <v>0</v>
      </c>
      <c r="D229" s="27">
        <f t="shared" si="17"/>
        <v>0</v>
      </c>
      <c r="E229" s="29"/>
      <c r="F229" s="104"/>
      <c r="G229" s="25"/>
      <c r="H229" s="32">
        <f t="shared" si="18"/>
        <v>0</v>
      </c>
      <c r="I229" s="2">
        <f t="shared" si="19"/>
        <v>0</v>
      </c>
    </row>
    <row r="230" spans="1:9">
      <c r="A230" s="26"/>
      <c r="C230" s="2">
        <f t="shared" si="16"/>
        <v>0</v>
      </c>
      <c r="D230" s="27">
        <f t="shared" si="17"/>
        <v>0</v>
      </c>
      <c r="E230" s="29"/>
      <c r="F230" s="104"/>
      <c r="G230" s="25"/>
      <c r="H230" s="32">
        <f t="shared" si="18"/>
        <v>0</v>
      </c>
      <c r="I230" s="2">
        <f t="shared" si="19"/>
        <v>0</v>
      </c>
    </row>
    <row r="231" spans="1:9">
      <c r="A231" s="25"/>
      <c r="C231" s="2">
        <f t="shared" si="16"/>
        <v>0</v>
      </c>
      <c r="D231" s="27">
        <f t="shared" si="17"/>
        <v>0</v>
      </c>
      <c r="E231" s="29"/>
      <c r="F231" s="104"/>
      <c r="G231" s="25"/>
      <c r="H231" s="32">
        <f t="shared" si="18"/>
        <v>0</v>
      </c>
      <c r="I231" s="2">
        <f t="shared" si="19"/>
        <v>0</v>
      </c>
    </row>
    <row r="232" spans="1:9">
      <c r="A232" s="25"/>
      <c r="B232" s="34"/>
      <c r="C232" s="2">
        <f t="shared" si="16"/>
        <v>0</v>
      </c>
      <c r="D232" s="27">
        <f t="shared" si="17"/>
        <v>0</v>
      </c>
      <c r="E232" s="29"/>
      <c r="F232" s="102"/>
      <c r="G232" s="25"/>
      <c r="H232" s="32">
        <f t="shared" si="18"/>
        <v>0</v>
      </c>
      <c r="I232" s="2">
        <f t="shared" si="19"/>
        <v>0</v>
      </c>
    </row>
    <row r="233" spans="1:9">
      <c r="A233" s="25"/>
      <c r="B233" s="34"/>
      <c r="C233" s="2">
        <f t="shared" si="16"/>
        <v>0</v>
      </c>
      <c r="D233" s="27">
        <f t="shared" si="17"/>
        <v>0</v>
      </c>
      <c r="F233" s="105"/>
      <c r="G233" s="25"/>
      <c r="H233" s="32">
        <f t="shared" si="18"/>
        <v>0</v>
      </c>
      <c r="I233" s="2">
        <f t="shared" si="19"/>
        <v>0</v>
      </c>
    </row>
    <row r="234" spans="1:9">
      <c r="A234" s="26"/>
      <c r="C234" s="2">
        <f t="shared" si="16"/>
        <v>0</v>
      </c>
      <c r="D234" s="27">
        <f t="shared" si="17"/>
        <v>0</v>
      </c>
      <c r="F234" s="98"/>
      <c r="G234" s="25"/>
      <c r="H234" s="32">
        <f t="shared" si="18"/>
        <v>0</v>
      </c>
      <c r="I234" s="2">
        <f t="shared" si="19"/>
        <v>0</v>
      </c>
    </row>
    <row r="235" spans="1:9">
      <c r="A235" s="26"/>
      <c r="C235" s="2">
        <f t="shared" si="16"/>
        <v>0</v>
      </c>
      <c r="D235" s="27">
        <f t="shared" si="17"/>
        <v>0</v>
      </c>
      <c r="E235" s="85"/>
      <c r="F235" s="105"/>
      <c r="G235" s="25"/>
      <c r="H235" s="32">
        <f t="shared" si="18"/>
        <v>0</v>
      </c>
      <c r="I235" s="2">
        <f t="shared" si="19"/>
        <v>0</v>
      </c>
    </row>
    <row r="236" spans="1:9">
      <c r="A236" s="26"/>
      <c r="C236" s="2">
        <f t="shared" si="16"/>
        <v>0</v>
      </c>
      <c r="D236" s="27">
        <f t="shared" si="17"/>
        <v>0</v>
      </c>
      <c r="F236" s="105"/>
      <c r="G236" s="25"/>
      <c r="H236" s="32">
        <f t="shared" si="18"/>
        <v>0</v>
      </c>
      <c r="I236" s="2">
        <f t="shared" si="19"/>
        <v>0</v>
      </c>
    </row>
    <row r="237" spans="1:9">
      <c r="A237" s="26"/>
      <c r="C237" s="2">
        <f t="shared" si="16"/>
        <v>0</v>
      </c>
      <c r="D237" s="27">
        <f t="shared" si="17"/>
        <v>0</v>
      </c>
      <c r="F237" s="105"/>
      <c r="G237" s="25"/>
      <c r="H237" s="32">
        <f t="shared" si="18"/>
        <v>0</v>
      </c>
      <c r="I237" s="2">
        <f t="shared" si="19"/>
        <v>0</v>
      </c>
    </row>
    <row r="238" spans="1:9">
      <c r="A238" s="26"/>
      <c r="C238" s="2">
        <f t="shared" si="16"/>
        <v>0</v>
      </c>
      <c r="D238" s="27">
        <f t="shared" si="17"/>
        <v>0</v>
      </c>
      <c r="F238" s="109"/>
      <c r="G238" s="25"/>
      <c r="H238" s="32">
        <f t="shared" si="18"/>
        <v>0</v>
      </c>
      <c r="I238" s="2">
        <f t="shared" si="19"/>
        <v>0</v>
      </c>
    </row>
    <row r="239" spans="1:9">
      <c r="A239" s="26"/>
      <c r="C239" s="2">
        <f t="shared" si="16"/>
        <v>0</v>
      </c>
      <c r="D239" s="27">
        <f t="shared" si="17"/>
        <v>0</v>
      </c>
      <c r="F239" s="106"/>
      <c r="G239" s="25"/>
      <c r="H239" s="32">
        <f t="shared" si="18"/>
        <v>0</v>
      </c>
      <c r="I239" s="2">
        <f t="shared" si="19"/>
        <v>0</v>
      </c>
    </row>
    <row r="240" spans="1:9">
      <c r="A240" s="26"/>
      <c r="C240" s="2">
        <f t="shared" si="16"/>
        <v>0</v>
      </c>
      <c r="D240" s="27">
        <f t="shared" si="17"/>
        <v>0</v>
      </c>
      <c r="F240" s="106"/>
      <c r="G240" s="25"/>
      <c r="H240" s="32">
        <f t="shared" si="18"/>
        <v>0</v>
      </c>
      <c r="I240" s="2">
        <f t="shared" si="19"/>
        <v>0</v>
      </c>
    </row>
    <row r="241" spans="1:9">
      <c r="A241" s="26"/>
      <c r="C241" s="2">
        <f t="shared" si="16"/>
        <v>0</v>
      </c>
      <c r="D241" s="27">
        <f t="shared" si="17"/>
        <v>0</v>
      </c>
      <c r="F241" s="106"/>
      <c r="G241" s="25"/>
      <c r="H241" s="32">
        <f t="shared" si="18"/>
        <v>0</v>
      </c>
      <c r="I241" s="2">
        <f t="shared" si="19"/>
        <v>0</v>
      </c>
    </row>
    <row r="242" spans="1:9">
      <c r="A242" s="26"/>
      <c r="C242" s="2">
        <f t="shared" si="16"/>
        <v>0</v>
      </c>
      <c r="D242" s="27">
        <f t="shared" si="17"/>
        <v>0</v>
      </c>
      <c r="F242" s="105"/>
      <c r="G242" s="25"/>
      <c r="H242" s="32">
        <f t="shared" si="18"/>
        <v>0</v>
      </c>
      <c r="I242" s="2">
        <f t="shared" si="19"/>
        <v>0</v>
      </c>
    </row>
    <row r="243" spans="1:9">
      <c r="A243" s="25"/>
      <c r="B243" s="34"/>
      <c r="C243" s="2">
        <f t="shared" si="16"/>
        <v>0</v>
      </c>
      <c r="D243" s="27">
        <f t="shared" si="17"/>
        <v>0</v>
      </c>
      <c r="F243" s="106"/>
      <c r="G243" s="25"/>
      <c r="H243" s="32">
        <f t="shared" si="18"/>
        <v>0</v>
      </c>
      <c r="I243" s="2">
        <f t="shared" si="19"/>
        <v>0</v>
      </c>
    </row>
    <row r="244" spans="1:9">
      <c r="A244" s="26"/>
      <c r="C244" s="2">
        <f t="shared" si="16"/>
        <v>0</v>
      </c>
      <c r="D244" s="27">
        <f t="shared" si="17"/>
        <v>0</v>
      </c>
      <c r="F244" s="105"/>
      <c r="G244" s="25"/>
      <c r="H244" s="32">
        <f t="shared" si="18"/>
        <v>0</v>
      </c>
      <c r="I244" s="2">
        <f t="shared" si="19"/>
        <v>0</v>
      </c>
    </row>
    <row r="245" spans="1:9">
      <c r="A245" s="26"/>
      <c r="C245" s="2">
        <f t="shared" si="16"/>
        <v>0</v>
      </c>
      <c r="D245" s="27">
        <f t="shared" si="17"/>
        <v>0</v>
      </c>
      <c r="E245" s="85"/>
      <c r="F245" s="105"/>
      <c r="G245" s="33"/>
      <c r="H245" s="32">
        <f t="shared" si="18"/>
        <v>0</v>
      </c>
      <c r="I245" s="2">
        <f t="shared" si="19"/>
        <v>0</v>
      </c>
    </row>
    <row r="246" spans="1:9">
      <c r="A246" s="26"/>
      <c r="C246" s="2">
        <f t="shared" si="16"/>
        <v>0</v>
      </c>
      <c r="D246" s="27">
        <f t="shared" si="17"/>
        <v>0</v>
      </c>
      <c r="E246" s="85"/>
      <c r="F246" s="105"/>
      <c r="G246" s="25"/>
      <c r="H246" s="32">
        <f t="shared" si="18"/>
        <v>0</v>
      </c>
      <c r="I246" s="2">
        <f t="shared" si="19"/>
        <v>0</v>
      </c>
    </row>
    <row r="247" spans="1:9">
      <c r="A247" s="26"/>
      <c r="C247" s="2">
        <f t="shared" si="16"/>
        <v>0</v>
      </c>
      <c r="D247" s="27">
        <f t="shared" si="17"/>
        <v>0</v>
      </c>
      <c r="F247" s="106"/>
      <c r="G247" s="25"/>
      <c r="H247" s="32">
        <f t="shared" si="18"/>
        <v>0</v>
      </c>
      <c r="I247" s="2">
        <f t="shared" si="19"/>
        <v>0</v>
      </c>
    </row>
    <row r="248" spans="1:9">
      <c r="A248" s="26"/>
      <c r="C248" s="2">
        <f t="shared" si="16"/>
        <v>0</v>
      </c>
      <c r="D248" s="27">
        <f t="shared" si="17"/>
        <v>0</v>
      </c>
      <c r="F248" s="106"/>
      <c r="G248" s="25"/>
      <c r="H248" s="32">
        <f t="shared" si="18"/>
        <v>0</v>
      </c>
      <c r="I248" s="2">
        <f t="shared" si="19"/>
        <v>0</v>
      </c>
    </row>
    <row r="249" spans="1:9">
      <c r="A249" s="26"/>
      <c r="C249" s="2">
        <f t="shared" si="16"/>
        <v>0</v>
      </c>
      <c r="D249" s="27">
        <f t="shared" si="17"/>
        <v>0</v>
      </c>
      <c r="F249" s="105"/>
      <c r="G249" s="25"/>
      <c r="H249" s="32">
        <f t="shared" si="18"/>
        <v>0</v>
      </c>
      <c r="I249" s="2">
        <f t="shared" si="19"/>
        <v>0</v>
      </c>
    </row>
    <row r="250" spans="1:9">
      <c r="A250" s="26"/>
      <c r="C250" s="2">
        <f t="shared" si="16"/>
        <v>0</v>
      </c>
      <c r="D250" s="27">
        <f t="shared" si="17"/>
        <v>0</v>
      </c>
      <c r="F250" s="105"/>
      <c r="G250" s="25"/>
      <c r="H250" s="32">
        <f t="shared" si="18"/>
        <v>0</v>
      </c>
      <c r="I250" s="2">
        <f t="shared" si="19"/>
        <v>0</v>
      </c>
    </row>
    <row r="251" spans="1:9">
      <c r="A251" s="25"/>
      <c r="B251" s="34"/>
      <c r="C251" s="2">
        <f t="shared" si="16"/>
        <v>0</v>
      </c>
      <c r="D251" s="27">
        <f t="shared" si="17"/>
        <v>0</v>
      </c>
      <c r="F251" s="105"/>
      <c r="G251" s="25"/>
      <c r="H251" s="32">
        <f t="shared" si="18"/>
        <v>0</v>
      </c>
      <c r="I251" s="2">
        <f t="shared" si="19"/>
        <v>0</v>
      </c>
    </row>
    <row r="252" spans="1:9">
      <c r="A252" s="26"/>
      <c r="C252" s="2">
        <f t="shared" si="16"/>
        <v>0</v>
      </c>
      <c r="D252" s="27">
        <f t="shared" si="17"/>
        <v>0</v>
      </c>
      <c r="F252" s="106"/>
      <c r="G252" s="25"/>
      <c r="H252" s="32">
        <f t="shared" si="18"/>
        <v>0</v>
      </c>
      <c r="I252" s="2">
        <f t="shared" si="19"/>
        <v>0</v>
      </c>
    </row>
    <row r="253" spans="1:9">
      <c r="A253" s="25"/>
      <c r="B253" s="34"/>
      <c r="C253" s="2">
        <f t="shared" si="16"/>
        <v>0</v>
      </c>
      <c r="D253" s="27">
        <f t="shared" si="17"/>
        <v>0</v>
      </c>
      <c r="F253" s="106"/>
      <c r="G253" s="25"/>
      <c r="H253" s="32">
        <f t="shared" si="18"/>
        <v>0</v>
      </c>
      <c r="I253" s="2">
        <f t="shared" si="19"/>
        <v>0</v>
      </c>
    </row>
    <row r="254" spans="1:9">
      <c r="A254" s="26"/>
      <c r="C254" s="2">
        <f t="shared" si="16"/>
        <v>0</v>
      </c>
      <c r="D254" s="27">
        <f t="shared" si="17"/>
        <v>0</v>
      </c>
      <c r="F254" s="98"/>
      <c r="G254" s="25"/>
      <c r="H254" s="32">
        <f t="shared" si="18"/>
        <v>0</v>
      </c>
      <c r="I254" s="2">
        <f t="shared" si="19"/>
        <v>0</v>
      </c>
    </row>
    <row r="255" spans="1:9">
      <c r="A255" s="25"/>
      <c r="B255" s="34"/>
      <c r="C255" s="2">
        <f t="shared" si="16"/>
        <v>0</v>
      </c>
      <c r="D255" s="27">
        <f t="shared" si="17"/>
        <v>0</v>
      </c>
      <c r="F255" s="105"/>
      <c r="G255" s="25"/>
      <c r="H255" s="32">
        <f t="shared" si="18"/>
        <v>0</v>
      </c>
      <c r="I255" s="2">
        <f t="shared" si="19"/>
        <v>0</v>
      </c>
    </row>
    <row r="256" spans="1:9">
      <c r="A256" s="25"/>
      <c r="B256" s="34"/>
      <c r="C256" s="2">
        <f t="shared" si="16"/>
        <v>0</v>
      </c>
      <c r="D256" s="27">
        <f t="shared" si="17"/>
        <v>0</v>
      </c>
      <c r="E256" s="85"/>
      <c r="F256" s="105"/>
      <c r="G256" s="25"/>
      <c r="H256" s="32">
        <f t="shared" si="18"/>
        <v>0</v>
      </c>
      <c r="I256" s="2">
        <f t="shared" si="19"/>
        <v>0</v>
      </c>
    </row>
    <row r="257" spans="1:9">
      <c r="A257" s="26"/>
      <c r="C257" s="2">
        <f t="shared" si="16"/>
        <v>0</v>
      </c>
      <c r="D257" s="27">
        <f t="shared" si="17"/>
        <v>0</v>
      </c>
      <c r="E257" s="85"/>
      <c r="F257" s="105"/>
      <c r="G257" s="25"/>
      <c r="H257" s="32">
        <f t="shared" si="18"/>
        <v>0</v>
      </c>
      <c r="I257" s="2">
        <f t="shared" si="19"/>
        <v>0</v>
      </c>
    </row>
    <row r="258" spans="1:9">
      <c r="A258" s="26"/>
      <c r="C258" s="2">
        <f t="shared" si="16"/>
        <v>0</v>
      </c>
      <c r="D258" s="27">
        <f t="shared" si="17"/>
        <v>0</v>
      </c>
      <c r="F258" s="105"/>
      <c r="G258" s="25"/>
      <c r="H258" s="32">
        <f t="shared" si="18"/>
        <v>0</v>
      </c>
      <c r="I258" s="2">
        <f t="shared" si="19"/>
        <v>0</v>
      </c>
    </row>
    <row r="259" spans="1:9">
      <c r="A259" s="26"/>
      <c r="C259" s="2">
        <f t="shared" ref="C259:C278" si="20">SUMIFS($G$2:$G$305,$F$2:$F$305,$A259)</f>
        <v>0</v>
      </c>
      <c r="D259" s="27">
        <f t="shared" ref="D259:D278" si="21" xml:space="preserve"> $B259-$C259</f>
        <v>0</v>
      </c>
      <c r="F259" s="106"/>
      <c r="G259" s="25"/>
      <c r="H259" s="32">
        <f t="shared" ref="H259:H305" si="22">SUMIFS($B$2:$B$278,$A$2:$A$278,$F259)</f>
        <v>0</v>
      </c>
      <c r="I259" s="2">
        <f t="shared" ref="I259:I305" si="23" xml:space="preserve"> $G259-$H259</f>
        <v>0</v>
      </c>
    </row>
    <row r="260" spans="1:9">
      <c r="A260" s="25"/>
      <c r="C260" s="2">
        <f t="shared" si="20"/>
        <v>0</v>
      </c>
      <c r="D260" s="27">
        <f t="shared" si="21"/>
        <v>0</v>
      </c>
      <c r="F260" s="105"/>
      <c r="G260" s="25"/>
      <c r="H260" s="32">
        <f t="shared" si="22"/>
        <v>0</v>
      </c>
      <c r="I260" s="2">
        <f t="shared" si="23"/>
        <v>0</v>
      </c>
    </row>
    <row r="261" spans="1:9">
      <c r="A261" s="26"/>
      <c r="C261" s="2">
        <f t="shared" si="20"/>
        <v>0</v>
      </c>
      <c r="D261" s="27">
        <f t="shared" si="21"/>
        <v>0</v>
      </c>
      <c r="E261" s="85"/>
      <c r="F261" s="96"/>
      <c r="G261" s="25"/>
      <c r="H261" s="32">
        <f t="shared" si="22"/>
        <v>0</v>
      </c>
      <c r="I261" s="2">
        <f t="shared" si="23"/>
        <v>0</v>
      </c>
    </row>
    <row r="262" spans="1:9">
      <c r="A262" s="25"/>
      <c r="B262" s="34"/>
      <c r="C262" s="2">
        <f t="shared" si="20"/>
        <v>0</v>
      </c>
      <c r="D262" s="27">
        <f t="shared" si="21"/>
        <v>0</v>
      </c>
      <c r="E262" s="85"/>
      <c r="F262" s="105"/>
      <c r="G262" s="25"/>
      <c r="H262" s="32">
        <f t="shared" si="22"/>
        <v>0</v>
      </c>
      <c r="I262" s="2">
        <f t="shared" si="23"/>
        <v>0</v>
      </c>
    </row>
    <row r="263" spans="1:9">
      <c r="A263" s="26"/>
      <c r="C263" s="2">
        <f t="shared" si="20"/>
        <v>0</v>
      </c>
      <c r="D263" s="27">
        <f t="shared" si="21"/>
        <v>0</v>
      </c>
      <c r="F263" s="106"/>
      <c r="G263" s="25"/>
      <c r="H263" s="32">
        <f t="shared" si="22"/>
        <v>0</v>
      </c>
      <c r="I263" s="2">
        <f t="shared" si="23"/>
        <v>0</v>
      </c>
    </row>
    <row r="264" spans="1:9">
      <c r="A264" s="26"/>
      <c r="C264" s="2">
        <f t="shared" si="20"/>
        <v>0</v>
      </c>
      <c r="D264" s="27">
        <f t="shared" si="21"/>
        <v>0</v>
      </c>
      <c r="F264" s="106"/>
      <c r="G264" s="25"/>
      <c r="H264" s="32">
        <f t="shared" si="22"/>
        <v>0</v>
      </c>
      <c r="I264" s="2">
        <f t="shared" si="23"/>
        <v>0</v>
      </c>
    </row>
    <row r="265" spans="1:9">
      <c r="A265" s="26"/>
      <c r="C265" s="2">
        <f t="shared" si="20"/>
        <v>0</v>
      </c>
      <c r="D265" s="27">
        <f t="shared" si="21"/>
        <v>0</v>
      </c>
      <c r="E265" s="85"/>
      <c r="F265" s="105"/>
      <c r="G265" s="25"/>
      <c r="H265" s="32">
        <f t="shared" si="22"/>
        <v>0</v>
      </c>
      <c r="I265" s="2">
        <f t="shared" si="23"/>
        <v>0</v>
      </c>
    </row>
    <row r="266" spans="1:9">
      <c r="A266" s="26"/>
      <c r="C266" s="2">
        <f t="shared" si="20"/>
        <v>0</v>
      </c>
      <c r="D266" s="27">
        <f t="shared" si="21"/>
        <v>0</v>
      </c>
      <c r="E266" s="85"/>
      <c r="F266" s="106"/>
      <c r="G266" s="25"/>
      <c r="H266" s="32">
        <f t="shared" si="22"/>
        <v>0</v>
      </c>
      <c r="I266" s="2">
        <f t="shared" si="23"/>
        <v>0</v>
      </c>
    </row>
    <row r="267" spans="1:9">
      <c r="A267" s="26"/>
      <c r="C267" s="2">
        <f t="shared" si="20"/>
        <v>0</v>
      </c>
      <c r="D267" s="27">
        <f t="shared" si="21"/>
        <v>0</v>
      </c>
      <c r="E267" s="85"/>
      <c r="F267" s="106"/>
      <c r="G267" s="25"/>
      <c r="H267" s="32">
        <f t="shared" si="22"/>
        <v>0</v>
      </c>
      <c r="I267" s="2">
        <f t="shared" si="23"/>
        <v>0</v>
      </c>
    </row>
    <row r="268" spans="1:9">
      <c r="A268" s="26"/>
      <c r="C268" s="2">
        <f t="shared" si="20"/>
        <v>0</v>
      </c>
      <c r="D268" s="27">
        <f t="shared" si="21"/>
        <v>0</v>
      </c>
      <c r="E268" s="85"/>
      <c r="F268" s="105"/>
      <c r="G268" s="25"/>
      <c r="H268" s="32">
        <f t="shared" si="22"/>
        <v>0</v>
      </c>
      <c r="I268" s="2">
        <f t="shared" si="23"/>
        <v>0</v>
      </c>
    </row>
    <row r="269" spans="1:9">
      <c r="A269" s="25"/>
      <c r="B269" s="34"/>
      <c r="C269" s="2">
        <f t="shared" si="20"/>
        <v>0</v>
      </c>
      <c r="D269" s="27">
        <f t="shared" si="21"/>
        <v>0</v>
      </c>
      <c r="F269" s="106"/>
      <c r="G269" s="25"/>
      <c r="H269" s="32">
        <f t="shared" si="22"/>
        <v>0</v>
      </c>
      <c r="I269" s="2">
        <f t="shared" si="23"/>
        <v>0</v>
      </c>
    </row>
    <row r="270" spans="1:9">
      <c r="A270" s="26"/>
      <c r="C270" s="2">
        <f t="shared" si="20"/>
        <v>0</v>
      </c>
      <c r="D270" s="27">
        <f t="shared" si="21"/>
        <v>0</v>
      </c>
      <c r="F270" s="96"/>
      <c r="G270" s="25"/>
      <c r="H270" s="32">
        <f t="shared" si="22"/>
        <v>0</v>
      </c>
      <c r="I270" s="2">
        <f t="shared" si="23"/>
        <v>0</v>
      </c>
    </row>
    <row r="271" spans="1:9">
      <c r="A271" s="25"/>
      <c r="B271" s="34"/>
      <c r="C271" s="2">
        <f t="shared" si="20"/>
        <v>0</v>
      </c>
      <c r="D271" s="27">
        <f t="shared" si="21"/>
        <v>0</v>
      </c>
      <c r="F271" s="96"/>
      <c r="G271" s="25"/>
      <c r="H271" s="32">
        <f t="shared" si="22"/>
        <v>0</v>
      </c>
      <c r="I271" s="2">
        <f t="shared" si="23"/>
        <v>0</v>
      </c>
    </row>
    <row r="272" spans="1:9">
      <c r="A272" s="26"/>
      <c r="C272" s="2">
        <f t="shared" si="20"/>
        <v>0</v>
      </c>
      <c r="D272" s="27">
        <f t="shared" si="21"/>
        <v>0</v>
      </c>
      <c r="F272" s="98"/>
      <c r="G272" s="25"/>
      <c r="H272" s="32">
        <f t="shared" si="22"/>
        <v>0</v>
      </c>
      <c r="I272" s="2">
        <f t="shared" si="23"/>
        <v>0</v>
      </c>
    </row>
    <row r="273" spans="1:9">
      <c r="A273" s="26"/>
      <c r="C273" s="2">
        <f t="shared" si="20"/>
        <v>0</v>
      </c>
      <c r="D273" s="27">
        <f t="shared" si="21"/>
        <v>0</v>
      </c>
      <c r="F273" s="106"/>
      <c r="G273" s="25"/>
      <c r="H273" s="32">
        <f t="shared" si="22"/>
        <v>0</v>
      </c>
      <c r="I273" s="2">
        <f t="shared" si="23"/>
        <v>0</v>
      </c>
    </row>
    <row r="274" spans="1:9">
      <c r="A274" s="25"/>
      <c r="B274" s="34"/>
      <c r="C274" s="2">
        <f t="shared" si="20"/>
        <v>0</v>
      </c>
      <c r="D274" s="27">
        <f t="shared" si="21"/>
        <v>0</v>
      </c>
      <c r="F274" s="105"/>
      <c r="G274" s="33"/>
      <c r="H274" s="32">
        <f t="shared" si="22"/>
        <v>0</v>
      </c>
      <c r="I274" s="2">
        <f t="shared" si="23"/>
        <v>0</v>
      </c>
    </row>
    <row r="275" spans="1:9">
      <c r="C275" s="2">
        <f t="shared" si="20"/>
        <v>0</v>
      </c>
      <c r="D275" s="27">
        <f t="shared" si="21"/>
        <v>0</v>
      </c>
      <c r="F275" s="105"/>
      <c r="G275" s="33"/>
      <c r="H275" s="32">
        <f t="shared" si="22"/>
        <v>0</v>
      </c>
      <c r="I275" s="2">
        <f t="shared" si="23"/>
        <v>0</v>
      </c>
    </row>
    <row r="276" spans="1:9">
      <c r="A276" s="25"/>
      <c r="B276" s="34"/>
      <c r="C276" s="2">
        <f t="shared" si="20"/>
        <v>0</v>
      </c>
      <c r="D276" s="27">
        <f t="shared" si="21"/>
        <v>0</v>
      </c>
      <c r="F276" s="98"/>
      <c r="G276" s="25"/>
      <c r="H276" s="32">
        <f t="shared" si="22"/>
        <v>0</v>
      </c>
      <c r="I276" s="2">
        <f t="shared" si="23"/>
        <v>0</v>
      </c>
    </row>
    <row r="277" spans="1:9">
      <c r="A277" s="26"/>
      <c r="C277" s="2">
        <f t="shared" si="20"/>
        <v>0</v>
      </c>
      <c r="D277" s="27">
        <f t="shared" si="21"/>
        <v>0</v>
      </c>
      <c r="F277" s="106"/>
      <c r="G277" s="25"/>
      <c r="H277" s="32">
        <f t="shared" si="22"/>
        <v>0</v>
      </c>
      <c r="I277" s="2">
        <f t="shared" si="23"/>
        <v>0</v>
      </c>
    </row>
    <row r="278" spans="1:9">
      <c r="A278" s="26"/>
      <c r="C278" s="2">
        <f t="shared" si="20"/>
        <v>0</v>
      </c>
      <c r="D278" s="27">
        <f t="shared" si="21"/>
        <v>0</v>
      </c>
      <c r="F278" s="106"/>
      <c r="G278" s="25"/>
      <c r="H278" s="32">
        <f t="shared" si="22"/>
        <v>0</v>
      </c>
      <c r="I278" s="2">
        <f t="shared" si="23"/>
        <v>0</v>
      </c>
    </row>
    <row r="279" spans="1:9">
      <c r="A279" s="26"/>
      <c r="C279" s="2">
        <v>16425260</v>
      </c>
      <c r="D279" s="27">
        <v>500620</v>
      </c>
      <c r="F279" s="105"/>
      <c r="G279" s="25"/>
      <c r="H279" s="32">
        <f t="shared" si="22"/>
        <v>0</v>
      </c>
      <c r="I279" s="2">
        <f t="shared" si="23"/>
        <v>0</v>
      </c>
    </row>
    <row r="280" spans="1:9">
      <c r="C280" s="2">
        <v>16425260</v>
      </c>
      <c r="D280" s="27">
        <v>654090</v>
      </c>
      <c r="F280" s="105"/>
      <c r="G280" s="33"/>
      <c r="H280" s="32">
        <f t="shared" si="22"/>
        <v>0</v>
      </c>
      <c r="I280" s="2">
        <f t="shared" si="23"/>
        <v>0</v>
      </c>
    </row>
    <row r="281" spans="1:9">
      <c r="A281" s="26"/>
      <c r="C281" s="2">
        <f t="shared" ref="C281:C297" si="24">SUMIFS($G$2:$G$296,$F$2:$F$296,$A281)</f>
        <v>0</v>
      </c>
      <c r="D281" s="27">
        <f t="shared" ref="D281:D297" si="25" xml:space="preserve"> $B281-$C281</f>
        <v>0</v>
      </c>
      <c r="F281" s="105"/>
      <c r="G281" s="33"/>
      <c r="H281" s="32">
        <f t="shared" si="22"/>
        <v>0</v>
      </c>
      <c r="I281" s="2">
        <f t="shared" si="23"/>
        <v>0</v>
      </c>
    </row>
    <row r="282" spans="1:9">
      <c r="A282" s="26"/>
      <c r="C282" s="2">
        <f t="shared" si="24"/>
        <v>0</v>
      </c>
      <c r="D282" s="27">
        <f t="shared" si="25"/>
        <v>0</v>
      </c>
      <c r="F282" s="106"/>
      <c r="G282" s="25"/>
      <c r="H282" s="32">
        <f t="shared" si="22"/>
        <v>0</v>
      </c>
      <c r="I282" s="2">
        <f t="shared" si="23"/>
        <v>0</v>
      </c>
    </row>
    <row r="283" spans="1:9">
      <c r="A283" s="25"/>
      <c r="C283" s="2">
        <f t="shared" si="24"/>
        <v>0</v>
      </c>
      <c r="D283" s="27">
        <f t="shared" si="25"/>
        <v>0</v>
      </c>
      <c r="F283" s="96"/>
      <c r="G283" s="25"/>
      <c r="H283" s="32">
        <f t="shared" si="22"/>
        <v>0</v>
      </c>
      <c r="I283" s="2">
        <f t="shared" si="23"/>
        <v>0</v>
      </c>
    </row>
    <row r="284" spans="1:9">
      <c r="C284" s="2">
        <f t="shared" si="24"/>
        <v>0</v>
      </c>
      <c r="D284" s="27">
        <f t="shared" si="25"/>
        <v>0</v>
      </c>
      <c r="F284" s="105"/>
      <c r="G284" s="25"/>
      <c r="H284" s="32">
        <f t="shared" si="22"/>
        <v>0</v>
      </c>
      <c r="I284" s="2">
        <f t="shared" si="23"/>
        <v>0</v>
      </c>
    </row>
    <row r="285" spans="1:9">
      <c r="C285" s="2">
        <f t="shared" si="24"/>
        <v>0</v>
      </c>
      <c r="D285" s="27">
        <f t="shared" si="25"/>
        <v>0</v>
      </c>
      <c r="F285" s="106"/>
      <c r="G285" s="25"/>
      <c r="H285" s="32">
        <f t="shared" si="22"/>
        <v>0</v>
      </c>
      <c r="I285" s="2">
        <f t="shared" si="23"/>
        <v>0</v>
      </c>
    </row>
    <row r="286" spans="1:9">
      <c r="A286" s="26"/>
      <c r="C286" s="2">
        <f t="shared" si="24"/>
        <v>0</v>
      </c>
      <c r="D286" s="27">
        <f t="shared" si="25"/>
        <v>0</v>
      </c>
      <c r="F286" s="106"/>
      <c r="G286" s="25"/>
      <c r="H286" s="32">
        <f t="shared" si="22"/>
        <v>0</v>
      </c>
      <c r="I286" s="2">
        <f t="shared" si="23"/>
        <v>0</v>
      </c>
    </row>
    <row r="287" spans="1:9">
      <c r="A287" s="26"/>
      <c r="C287" s="2">
        <f t="shared" si="24"/>
        <v>0</v>
      </c>
      <c r="D287" s="27">
        <f t="shared" si="25"/>
        <v>0</v>
      </c>
      <c r="F287" s="106"/>
      <c r="G287" s="25"/>
      <c r="H287" s="32">
        <f t="shared" si="22"/>
        <v>0</v>
      </c>
      <c r="I287" s="2">
        <f t="shared" si="23"/>
        <v>0</v>
      </c>
    </row>
    <row r="288" spans="1:9">
      <c r="A288" s="26"/>
      <c r="C288" s="2">
        <f t="shared" si="24"/>
        <v>0</v>
      </c>
      <c r="D288" s="27">
        <f t="shared" si="25"/>
        <v>0</v>
      </c>
      <c r="F288" s="106"/>
      <c r="G288" s="25"/>
      <c r="H288" s="32">
        <f t="shared" si="22"/>
        <v>0</v>
      </c>
      <c r="I288" s="2">
        <f t="shared" si="23"/>
        <v>0</v>
      </c>
    </row>
    <row r="289" spans="1:9">
      <c r="A289" s="26"/>
      <c r="C289" s="2">
        <f t="shared" si="24"/>
        <v>0</v>
      </c>
      <c r="D289" s="27">
        <f t="shared" si="25"/>
        <v>0</v>
      </c>
      <c r="F289" s="106"/>
      <c r="G289" s="25"/>
      <c r="H289" s="32">
        <f t="shared" si="22"/>
        <v>0</v>
      </c>
      <c r="I289" s="2">
        <f t="shared" si="23"/>
        <v>0</v>
      </c>
    </row>
    <row r="290" spans="1:9">
      <c r="A290" s="26"/>
      <c r="C290" s="2">
        <f t="shared" si="24"/>
        <v>0</v>
      </c>
      <c r="D290" s="27">
        <f t="shared" si="25"/>
        <v>0</v>
      </c>
      <c r="F290" s="105"/>
      <c r="G290" s="25"/>
      <c r="H290" s="32">
        <f t="shared" si="22"/>
        <v>0</v>
      </c>
      <c r="I290" s="2">
        <f t="shared" si="23"/>
        <v>0</v>
      </c>
    </row>
    <row r="291" spans="1:9">
      <c r="A291" s="26"/>
      <c r="C291" s="2">
        <f t="shared" si="24"/>
        <v>0</v>
      </c>
      <c r="D291" s="27">
        <f t="shared" si="25"/>
        <v>0</v>
      </c>
      <c r="F291" s="106"/>
      <c r="G291" s="25"/>
      <c r="H291" s="32">
        <f t="shared" si="22"/>
        <v>0</v>
      </c>
      <c r="I291" s="2">
        <f t="shared" si="23"/>
        <v>0</v>
      </c>
    </row>
    <row r="292" spans="1:9">
      <c r="A292" s="26"/>
      <c r="C292" s="2">
        <f t="shared" si="24"/>
        <v>0</v>
      </c>
      <c r="D292" s="27">
        <f t="shared" si="25"/>
        <v>0</v>
      </c>
      <c r="F292" s="105"/>
      <c r="G292" s="25"/>
      <c r="H292" s="32">
        <f t="shared" si="22"/>
        <v>0</v>
      </c>
      <c r="I292" s="2">
        <f t="shared" si="23"/>
        <v>0</v>
      </c>
    </row>
    <row r="293" spans="1:9">
      <c r="A293" s="26"/>
      <c r="C293" s="2">
        <f t="shared" si="24"/>
        <v>0</v>
      </c>
      <c r="D293" s="27">
        <f t="shared" si="25"/>
        <v>0</v>
      </c>
      <c r="F293" s="98"/>
      <c r="G293" s="25"/>
      <c r="H293" s="32">
        <f t="shared" si="22"/>
        <v>0</v>
      </c>
      <c r="I293" s="2">
        <f t="shared" si="23"/>
        <v>0</v>
      </c>
    </row>
    <row r="294" spans="1:9">
      <c r="C294" s="2">
        <f t="shared" si="24"/>
        <v>0</v>
      </c>
      <c r="D294" s="27">
        <f t="shared" si="25"/>
        <v>0</v>
      </c>
      <c r="F294" s="109"/>
      <c r="G294" s="25"/>
      <c r="H294" s="32">
        <f t="shared" si="22"/>
        <v>0</v>
      </c>
      <c r="I294" s="2">
        <f t="shared" si="23"/>
        <v>0</v>
      </c>
    </row>
    <row r="295" spans="1:9">
      <c r="A295" s="26"/>
      <c r="C295" s="2">
        <f t="shared" si="24"/>
        <v>0</v>
      </c>
      <c r="D295" s="27">
        <f t="shared" si="25"/>
        <v>0</v>
      </c>
      <c r="F295" s="105"/>
      <c r="G295" s="25"/>
      <c r="H295" s="32">
        <f t="shared" si="22"/>
        <v>0</v>
      </c>
      <c r="I295" s="2">
        <f t="shared" si="23"/>
        <v>0</v>
      </c>
    </row>
    <row r="296" spans="1:9">
      <c r="C296" s="2">
        <f t="shared" si="24"/>
        <v>0</v>
      </c>
      <c r="D296" s="27">
        <f t="shared" si="25"/>
        <v>0</v>
      </c>
      <c r="F296" s="98"/>
      <c r="G296" s="25"/>
      <c r="H296" s="32">
        <f t="shared" si="22"/>
        <v>0</v>
      </c>
      <c r="I296" s="2">
        <f t="shared" si="23"/>
        <v>0</v>
      </c>
    </row>
    <row r="297" spans="1:9">
      <c r="A297" s="26"/>
      <c r="C297" s="2">
        <f t="shared" si="24"/>
        <v>0</v>
      </c>
      <c r="D297" s="27">
        <f t="shared" si="25"/>
        <v>0</v>
      </c>
      <c r="F297" s="105"/>
      <c r="G297" s="25"/>
      <c r="H297" s="32">
        <f t="shared" si="22"/>
        <v>0</v>
      </c>
      <c r="I297" s="2">
        <f t="shared" si="23"/>
        <v>0</v>
      </c>
    </row>
    <row r="298" spans="1:9">
      <c r="C298" s="2">
        <v>12232420</v>
      </c>
      <c r="D298" s="27">
        <v>1440330</v>
      </c>
      <c r="F298" s="105"/>
      <c r="G298" s="25"/>
      <c r="H298" s="32">
        <f t="shared" si="22"/>
        <v>0</v>
      </c>
      <c r="I298" s="2">
        <f t="shared" si="23"/>
        <v>0</v>
      </c>
    </row>
    <row r="299" spans="1:9">
      <c r="C299" s="2">
        <f t="shared" ref="C299:C322" si="26">SUMIFS($G$2:$G$65,$F$2:$F$65,$A299)</f>
        <v>0</v>
      </c>
      <c r="D299" s="27">
        <f t="shared" ref="D299:D322" si="27" xml:space="preserve"> $B299-$C299</f>
        <v>0</v>
      </c>
      <c r="F299" s="96"/>
      <c r="G299" s="25"/>
      <c r="H299" s="32">
        <f t="shared" si="22"/>
        <v>0</v>
      </c>
      <c r="I299" s="2">
        <f t="shared" si="23"/>
        <v>0</v>
      </c>
    </row>
    <row r="300" spans="1:9">
      <c r="C300" s="2">
        <f t="shared" si="26"/>
        <v>0</v>
      </c>
      <c r="D300" s="27">
        <f t="shared" si="27"/>
        <v>0</v>
      </c>
      <c r="F300" s="106"/>
      <c r="G300" s="25"/>
      <c r="H300" s="32">
        <f t="shared" si="22"/>
        <v>0</v>
      </c>
      <c r="I300" s="2">
        <f t="shared" si="23"/>
        <v>0</v>
      </c>
    </row>
    <row r="301" spans="1:9">
      <c r="C301" s="2">
        <f t="shared" si="26"/>
        <v>0</v>
      </c>
      <c r="D301" s="27">
        <f t="shared" si="27"/>
        <v>0</v>
      </c>
      <c r="F301" s="106"/>
      <c r="G301" s="25"/>
      <c r="H301" s="32">
        <f t="shared" si="22"/>
        <v>0</v>
      </c>
      <c r="I301" s="2">
        <f t="shared" si="23"/>
        <v>0</v>
      </c>
    </row>
    <row r="302" spans="1:9">
      <c r="A302" s="26"/>
      <c r="C302" s="2">
        <f t="shared" si="26"/>
        <v>0</v>
      </c>
      <c r="D302" s="27">
        <f t="shared" si="27"/>
        <v>0</v>
      </c>
      <c r="F302" s="105"/>
      <c r="G302" s="25"/>
      <c r="H302" s="32">
        <f t="shared" si="22"/>
        <v>0</v>
      </c>
      <c r="I302" s="2">
        <f t="shared" si="23"/>
        <v>0</v>
      </c>
    </row>
    <row r="303" spans="1:9">
      <c r="A303" s="25"/>
      <c r="B303" s="34"/>
      <c r="C303" s="2">
        <f t="shared" si="26"/>
        <v>0</v>
      </c>
      <c r="D303" s="27">
        <f t="shared" si="27"/>
        <v>0</v>
      </c>
      <c r="F303" s="106"/>
      <c r="G303" s="25"/>
      <c r="H303" s="32">
        <f t="shared" si="22"/>
        <v>0</v>
      </c>
      <c r="I303" s="2">
        <f t="shared" si="23"/>
        <v>0</v>
      </c>
    </row>
    <row r="304" spans="1:9">
      <c r="A304" s="26"/>
      <c r="C304" s="2">
        <f t="shared" si="26"/>
        <v>0</v>
      </c>
      <c r="D304" s="27">
        <f t="shared" si="27"/>
        <v>0</v>
      </c>
      <c r="F304" s="98"/>
      <c r="G304" s="25"/>
      <c r="H304" s="32">
        <f t="shared" si="22"/>
        <v>0</v>
      </c>
      <c r="I304" s="2">
        <f t="shared" si="23"/>
        <v>0</v>
      </c>
    </row>
    <row r="305" spans="1:9">
      <c r="C305" s="2">
        <f t="shared" si="26"/>
        <v>0</v>
      </c>
      <c r="D305" s="27">
        <f t="shared" si="27"/>
        <v>0</v>
      </c>
      <c r="F305" s="105"/>
      <c r="G305" s="25"/>
      <c r="H305" s="32">
        <f t="shared" si="22"/>
        <v>0</v>
      </c>
      <c r="I305" s="2">
        <f t="shared" si="23"/>
        <v>0</v>
      </c>
    </row>
    <row r="306" spans="1:9">
      <c r="C306" s="2">
        <f t="shared" si="26"/>
        <v>0</v>
      </c>
      <c r="D306" s="27">
        <f t="shared" si="27"/>
        <v>0</v>
      </c>
      <c r="F306" s="98"/>
      <c r="G306" s="25"/>
      <c r="H306" s="32">
        <v>16925880</v>
      </c>
      <c r="I306" s="2">
        <v>-500620</v>
      </c>
    </row>
    <row r="307" spans="1:9">
      <c r="A307" s="25"/>
      <c r="B307" s="34"/>
      <c r="C307" s="2">
        <f t="shared" si="26"/>
        <v>0</v>
      </c>
      <c r="D307" s="27">
        <f t="shared" si="27"/>
        <v>0</v>
      </c>
      <c r="F307" s="106"/>
      <c r="G307" s="25"/>
      <c r="H307" s="32">
        <f t="shared" ref="H307:H322" si="28">SUMIFS($B$2:$B$268,$A$2:$A$268,$F307)</f>
        <v>0</v>
      </c>
      <c r="I307" s="2">
        <f t="shared" ref="I307:I322" si="29" xml:space="preserve"> $G307-$H307</f>
        <v>0</v>
      </c>
    </row>
    <row r="308" spans="1:9">
      <c r="C308" s="2">
        <f t="shared" si="26"/>
        <v>0</v>
      </c>
      <c r="D308" s="27">
        <f t="shared" si="27"/>
        <v>0</v>
      </c>
      <c r="F308" s="105"/>
      <c r="G308" s="25"/>
      <c r="H308" s="32">
        <f t="shared" si="28"/>
        <v>0</v>
      </c>
      <c r="I308" s="2">
        <f t="shared" si="29"/>
        <v>0</v>
      </c>
    </row>
    <row r="309" spans="1:9">
      <c r="A309" s="25"/>
      <c r="C309" s="2">
        <f t="shared" si="26"/>
        <v>0</v>
      </c>
      <c r="D309" s="27">
        <f t="shared" si="27"/>
        <v>0</v>
      </c>
      <c r="F309" s="106"/>
      <c r="G309" s="25"/>
      <c r="H309" s="32">
        <f t="shared" si="28"/>
        <v>0</v>
      </c>
      <c r="I309" s="2">
        <f t="shared" si="29"/>
        <v>0</v>
      </c>
    </row>
    <row r="310" spans="1:9">
      <c r="C310" s="2">
        <f t="shared" si="26"/>
        <v>0</v>
      </c>
      <c r="D310" s="27">
        <f t="shared" si="27"/>
        <v>0</v>
      </c>
      <c r="F310" s="106"/>
      <c r="G310" s="25"/>
      <c r="H310" s="32">
        <f t="shared" si="28"/>
        <v>0</v>
      </c>
      <c r="I310" s="2">
        <f t="shared" si="29"/>
        <v>0</v>
      </c>
    </row>
    <row r="311" spans="1:9">
      <c r="A311" s="25"/>
      <c r="B311" s="34"/>
      <c r="C311" s="2">
        <f t="shared" si="26"/>
        <v>0</v>
      </c>
      <c r="D311" s="27">
        <f t="shared" si="27"/>
        <v>0</v>
      </c>
      <c r="F311" s="105"/>
      <c r="G311" s="25"/>
      <c r="H311" s="32">
        <f t="shared" si="28"/>
        <v>0</v>
      </c>
      <c r="I311" s="2">
        <f t="shared" si="29"/>
        <v>0</v>
      </c>
    </row>
    <row r="312" spans="1:9">
      <c r="C312" s="2">
        <f t="shared" si="26"/>
        <v>0</v>
      </c>
      <c r="D312" s="27">
        <f t="shared" si="27"/>
        <v>0</v>
      </c>
      <c r="F312" s="105"/>
      <c r="G312" s="25"/>
      <c r="H312" s="32">
        <f t="shared" si="28"/>
        <v>0</v>
      </c>
      <c r="I312" s="2">
        <f t="shared" si="29"/>
        <v>0</v>
      </c>
    </row>
    <row r="313" spans="1:9">
      <c r="C313" s="2">
        <f t="shared" si="26"/>
        <v>0</v>
      </c>
      <c r="D313" s="27">
        <f t="shared" si="27"/>
        <v>0</v>
      </c>
      <c r="F313" s="106"/>
      <c r="G313" s="25"/>
      <c r="H313" s="32">
        <f t="shared" si="28"/>
        <v>0</v>
      </c>
      <c r="I313" s="2">
        <f t="shared" si="29"/>
        <v>0</v>
      </c>
    </row>
    <row r="314" spans="1:9">
      <c r="C314" s="2">
        <f t="shared" si="26"/>
        <v>0</v>
      </c>
      <c r="D314" s="27">
        <f t="shared" si="27"/>
        <v>0</v>
      </c>
      <c r="F314" s="106"/>
      <c r="H314" s="32">
        <f t="shared" si="28"/>
        <v>0</v>
      </c>
      <c r="I314" s="2">
        <f t="shared" si="29"/>
        <v>0</v>
      </c>
    </row>
    <row r="315" spans="1:9">
      <c r="C315" s="2">
        <f t="shared" si="26"/>
        <v>0</v>
      </c>
      <c r="D315" s="27">
        <f t="shared" si="27"/>
        <v>0</v>
      </c>
      <c r="F315" s="98"/>
      <c r="G315" s="25"/>
      <c r="H315" s="32">
        <f t="shared" si="28"/>
        <v>0</v>
      </c>
      <c r="I315" s="2">
        <f t="shared" si="29"/>
        <v>0</v>
      </c>
    </row>
    <row r="316" spans="1:9">
      <c r="A316" s="25"/>
      <c r="B316" s="34"/>
      <c r="C316" s="2">
        <f t="shared" si="26"/>
        <v>0</v>
      </c>
      <c r="D316" s="27">
        <f t="shared" si="27"/>
        <v>0</v>
      </c>
      <c r="F316" s="105"/>
      <c r="G316" s="25"/>
      <c r="H316" s="32">
        <f t="shared" si="28"/>
        <v>0</v>
      </c>
      <c r="I316" s="2">
        <f t="shared" si="29"/>
        <v>0</v>
      </c>
    </row>
    <row r="317" spans="1:9">
      <c r="A317" s="25"/>
      <c r="B317" s="34"/>
      <c r="C317" s="2">
        <f t="shared" si="26"/>
        <v>0</v>
      </c>
      <c r="D317" s="27">
        <f t="shared" si="27"/>
        <v>0</v>
      </c>
      <c r="F317" s="105"/>
      <c r="G317" s="25"/>
      <c r="H317" s="32">
        <f t="shared" si="28"/>
        <v>0</v>
      </c>
      <c r="I317" s="2">
        <f t="shared" si="29"/>
        <v>0</v>
      </c>
    </row>
    <row r="318" spans="1:9">
      <c r="C318" s="2">
        <f t="shared" si="26"/>
        <v>0</v>
      </c>
      <c r="D318" s="27">
        <f t="shared" si="27"/>
        <v>0</v>
      </c>
      <c r="F318" s="97"/>
      <c r="G318" s="25"/>
      <c r="H318" s="32">
        <f t="shared" si="28"/>
        <v>0</v>
      </c>
      <c r="I318" s="2">
        <f t="shared" si="29"/>
        <v>0</v>
      </c>
    </row>
    <row r="319" spans="1:9">
      <c r="C319" s="2">
        <f t="shared" si="26"/>
        <v>0</v>
      </c>
      <c r="D319" s="27">
        <f t="shared" si="27"/>
        <v>0</v>
      </c>
      <c r="F319" s="105"/>
      <c r="G319" s="25"/>
      <c r="H319" s="32">
        <f t="shared" si="28"/>
        <v>0</v>
      </c>
      <c r="I319" s="2">
        <f t="shared" si="29"/>
        <v>0</v>
      </c>
    </row>
    <row r="320" spans="1:9">
      <c r="A320" s="25"/>
      <c r="B320" s="34"/>
      <c r="C320" s="2">
        <f t="shared" si="26"/>
        <v>0</v>
      </c>
      <c r="D320" s="27">
        <f t="shared" si="27"/>
        <v>0</v>
      </c>
      <c r="F320" s="98"/>
      <c r="G320" s="25"/>
      <c r="H320" s="32">
        <f t="shared" si="28"/>
        <v>0</v>
      </c>
      <c r="I320" s="2">
        <f t="shared" si="29"/>
        <v>0</v>
      </c>
    </row>
    <row r="321" spans="1:9">
      <c r="A321" s="26"/>
      <c r="C321" s="2">
        <f t="shared" si="26"/>
        <v>0</v>
      </c>
      <c r="D321" s="27">
        <f t="shared" si="27"/>
        <v>0</v>
      </c>
      <c r="F321" s="105"/>
      <c r="G321" s="25"/>
      <c r="H321" s="32">
        <f t="shared" si="28"/>
        <v>0</v>
      </c>
      <c r="I321" s="2">
        <f t="shared" si="29"/>
        <v>0</v>
      </c>
    </row>
    <row r="322" spans="1:9">
      <c r="C322" s="2">
        <f t="shared" si="26"/>
        <v>0</v>
      </c>
      <c r="D322" s="27">
        <f t="shared" si="27"/>
        <v>0</v>
      </c>
      <c r="F322" s="106"/>
      <c r="H322" s="32">
        <f t="shared" si="28"/>
        <v>0</v>
      </c>
      <c r="I322" s="2">
        <f t="shared" si="29"/>
        <v>0</v>
      </c>
    </row>
    <row r="323" spans="1:9">
      <c r="A323" s="25"/>
      <c r="B323" s="34"/>
      <c r="C323" s="2">
        <f t="shared" ref="C323:C386" si="30">SUMIFS($G$2:$G$65,$F$2:$F$65,$A323)</f>
        <v>0</v>
      </c>
      <c r="D323" s="27">
        <f t="shared" ref="D323:D386" si="31" xml:space="preserve"> $B323-$C323</f>
        <v>0</v>
      </c>
      <c r="F323" s="96"/>
      <c r="G323" s="25"/>
      <c r="H323" s="32">
        <f t="shared" ref="H323:H357" si="32">SUMIFS($B$2:$B$268,$A$2:$A$268,$F323)</f>
        <v>0</v>
      </c>
      <c r="I323" s="2">
        <f t="shared" ref="I323:I357" si="33" xml:space="preserve"> $G323-$H323</f>
        <v>0</v>
      </c>
    </row>
    <row r="324" spans="1:9">
      <c r="A324" s="26"/>
      <c r="C324" s="2">
        <f t="shared" si="30"/>
        <v>0</v>
      </c>
      <c r="D324" s="27">
        <f t="shared" si="31"/>
        <v>0</v>
      </c>
      <c r="F324" s="106"/>
      <c r="G324" s="25"/>
      <c r="H324" s="32">
        <f t="shared" si="32"/>
        <v>0</v>
      </c>
      <c r="I324" s="2">
        <f t="shared" si="33"/>
        <v>0</v>
      </c>
    </row>
    <row r="325" spans="1:9">
      <c r="C325" s="2">
        <f t="shared" si="30"/>
        <v>0</v>
      </c>
      <c r="D325" s="27">
        <f t="shared" si="31"/>
        <v>0</v>
      </c>
      <c r="F325" s="98"/>
      <c r="G325" s="25"/>
      <c r="H325" s="32">
        <f t="shared" si="32"/>
        <v>0</v>
      </c>
      <c r="I325" s="2">
        <f t="shared" si="33"/>
        <v>0</v>
      </c>
    </row>
    <row r="326" spans="1:9">
      <c r="C326" s="2">
        <f t="shared" si="30"/>
        <v>0</v>
      </c>
      <c r="D326" s="27">
        <f t="shared" si="31"/>
        <v>0</v>
      </c>
      <c r="F326" s="105"/>
      <c r="G326" s="25"/>
      <c r="H326" s="32">
        <f t="shared" si="32"/>
        <v>0</v>
      </c>
      <c r="I326" s="2">
        <f t="shared" si="33"/>
        <v>0</v>
      </c>
    </row>
    <row r="327" spans="1:9">
      <c r="C327" s="2">
        <f t="shared" si="30"/>
        <v>0</v>
      </c>
      <c r="D327" s="27">
        <f t="shared" si="31"/>
        <v>0</v>
      </c>
      <c r="F327" s="105"/>
      <c r="G327" s="25"/>
      <c r="H327" s="32">
        <f t="shared" si="32"/>
        <v>0</v>
      </c>
      <c r="I327" s="2">
        <f t="shared" si="33"/>
        <v>0</v>
      </c>
    </row>
    <row r="328" spans="1:9">
      <c r="A328" s="25"/>
      <c r="B328" s="34"/>
      <c r="C328" s="2">
        <f t="shared" si="30"/>
        <v>0</v>
      </c>
      <c r="D328" s="27">
        <f t="shared" si="31"/>
        <v>0</v>
      </c>
      <c r="E328" s="85"/>
      <c r="F328" s="106"/>
      <c r="G328" s="25"/>
      <c r="H328" s="32">
        <f t="shared" si="32"/>
        <v>0</v>
      </c>
      <c r="I328" s="2">
        <f t="shared" si="33"/>
        <v>0</v>
      </c>
    </row>
    <row r="329" spans="1:9">
      <c r="C329" s="2">
        <f t="shared" si="30"/>
        <v>0</v>
      </c>
      <c r="D329" s="27">
        <f t="shared" si="31"/>
        <v>0</v>
      </c>
      <c r="F329" s="105"/>
      <c r="G329" s="25"/>
      <c r="H329" s="32">
        <f t="shared" si="32"/>
        <v>0</v>
      </c>
      <c r="I329" s="2">
        <f t="shared" si="33"/>
        <v>0</v>
      </c>
    </row>
    <row r="330" spans="1:9">
      <c r="A330" s="26"/>
      <c r="C330" s="2">
        <f t="shared" si="30"/>
        <v>0</v>
      </c>
      <c r="D330" s="27">
        <f t="shared" si="31"/>
        <v>0</v>
      </c>
      <c r="F330" s="96"/>
      <c r="G330" s="25"/>
      <c r="H330" s="32">
        <f t="shared" si="32"/>
        <v>0</v>
      </c>
      <c r="I330" s="2">
        <f t="shared" si="33"/>
        <v>0</v>
      </c>
    </row>
    <row r="331" spans="1:9">
      <c r="C331" s="2">
        <f t="shared" si="30"/>
        <v>0</v>
      </c>
      <c r="D331" s="27">
        <f t="shared" si="31"/>
        <v>0</v>
      </c>
      <c r="F331" s="98"/>
      <c r="G331" s="25"/>
      <c r="H331" s="32">
        <f t="shared" si="32"/>
        <v>0</v>
      </c>
      <c r="I331" s="2">
        <f t="shared" si="33"/>
        <v>0</v>
      </c>
    </row>
    <row r="332" spans="1:9">
      <c r="C332" s="2">
        <f t="shared" si="30"/>
        <v>0</v>
      </c>
      <c r="D332" s="27">
        <f t="shared" si="31"/>
        <v>0</v>
      </c>
      <c r="F332" s="105"/>
      <c r="G332" s="25"/>
      <c r="H332" s="32">
        <f t="shared" si="32"/>
        <v>0</v>
      </c>
      <c r="I332" s="2">
        <f t="shared" si="33"/>
        <v>0</v>
      </c>
    </row>
    <row r="333" spans="1:9">
      <c r="C333" s="2">
        <f t="shared" si="30"/>
        <v>0</v>
      </c>
      <c r="D333" s="27">
        <f t="shared" si="31"/>
        <v>0</v>
      </c>
      <c r="F333" s="106"/>
      <c r="G333" s="25"/>
      <c r="H333" s="32">
        <f t="shared" si="32"/>
        <v>0</v>
      </c>
      <c r="I333" s="2">
        <f t="shared" si="33"/>
        <v>0</v>
      </c>
    </row>
    <row r="334" spans="1:9">
      <c r="A334" s="26"/>
      <c r="C334" s="2">
        <f t="shared" si="30"/>
        <v>0</v>
      </c>
      <c r="D334" s="27">
        <f t="shared" si="31"/>
        <v>0</v>
      </c>
      <c r="F334" s="106"/>
      <c r="G334" s="25"/>
      <c r="H334" s="32">
        <f t="shared" si="32"/>
        <v>0</v>
      </c>
      <c r="I334" s="2">
        <f t="shared" si="33"/>
        <v>0</v>
      </c>
    </row>
    <row r="335" spans="1:9">
      <c r="A335" s="25"/>
      <c r="B335" s="34"/>
      <c r="C335" s="2">
        <f t="shared" si="30"/>
        <v>0</v>
      </c>
      <c r="D335" s="27">
        <f t="shared" si="31"/>
        <v>0</v>
      </c>
      <c r="F335" s="106"/>
      <c r="H335" s="32">
        <f t="shared" si="32"/>
        <v>0</v>
      </c>
      <c r="I335" s="2">
        <f t="shared" si="33"/>
        <v>0</v>
      </c>
    </row>
    <row r="336" spans="1:9">
      <c r="C336" s="2">
        <f t="shared" si="30"/>
        <v>0</v>
      </c>
      <c r="D336" s="27">
        <f t="shared" si="31"/>
        <v>0</v>
      </c>
      <c r="F336" s="105"/>
      <c r="G336" s="25"/>
      <c r="H336" s="32">
        <f t="shared" si="32"/>
        <v>0</v>
      </c>
      <c r="I336" s="2">
        <f t="shared" si="33"/>
        <v>0</v>
      </c>
    </row>
    <row r="337" spans="1:9">
      <c r="A337" s="25"/>
      <c r="B337" s="34"/>
      <c r="C337" s="2">
        <f t="shared" si="30"/>
        <v>0</v>
      </c>
      <c r="D337" s="27">
        <f t="shared" si="31"/>
        <v>0</v>
      </c>
      <c r="F337" s="105"/>
      <c r="G337" s="25"/>
      <c r="H337" s="32">
        <f t="shared" si="32"/>
        <v>0</v>
      </c>
      <c r="I337" s="2">
        <f t="shared" si="33"/>
        <v>0</v>
      </c>
    </row>
    <row r="338" spans="1:9">
      <c r="C338" s="2">
        <f t="shared" si="30"/>
        <v>0</v>
      </c>
      <c r="D338" s="27">
        <f t="shared" si="31"/>
        <v>0</v>
      </c>
      <c r="F338" s="106"/>
      <c r="G338" s="25"/>
      <c r="H338" s="32">
        <f t="shared" si="32"/>
        <v>0</v>
      </c>
      <c r="I338" s="2">
        <f t="shared" si="33"/>
        <v>0</v>
      </c>
    </row>
    <row r="339" spans="1:9">
      <c r="A339" s="25"/>
      <c r="B339" s="34"/>
      <c r="C339" s="2">
        <f t="shared" si="30"/>
        <v>0</v>
      </c>
      <c r="D339" s="27">
        <f t="shared" si="31"/>
        <v>0</v>
      </c>
      <c r="F339" s="96"/>
      <c r="G339" s="25"/>
      <c r="H339" s="32">
        <f t="shared" si="32"/>
        <v>0</v>
      </c>
      <c r="I339" s="2">
        <f t="shared" si="33"/>
        <v>0</v>
      </c>
    </row>
    <row r="340" spans="1:9">
      <c r="C340" s="2">
        <f t="shared" si="30"/>
        <v>0</v>
      </c>
      <c r="D340" s="27">
        <f t="shared" si="31"/>
        <v>0</v>
      </c>
      <c r="F340" s="106"/>
      <c r="H340" s="32">
        <f t="shared" si="32"/>
        <v>0</v>
      </c>
      <c r="I340" s="2">
        <f t="shared" si="33"/>
        <v>0</v>
      </c>
    </row>
    <row r="341" spans="1:9">
      <c r="C341" s="2">
        <f t="shared" si="30"/>
        <v>0</v>
      </c>
      <c r="D341" s="27">
        <f t="shared" si="31"/>
        <v>0</v>
      </c>
      <c r="F341" s="106"/>
      <c r="G341" s="25"/>
      <c r="H341" s="32">
        <f t="shared" si="32"/>
        <v>0</v>
      </c>
      <c r="I341" s="2">
        <f t="shared" si="33"/>
        <v>0</v>
      </c>
    </row>
    <row r="342" spans="1:9">
      <c r="A342" s="25"/>
      <c r="B342" s="34"/>
      <c r="C342" s="2">
        <f t="shared" si="30"/>
        <v>0</v>
      </c>
      <c r="D342" s="27">
        <f t="shared" si="31"/>
        <v>0</v>
      </c>
      <c r="F342" s="106"/>
      <c r="G342" s="25"/>
      <c r="H342" s="32">
        <f t="shared" si="32"/>
        <v>0</v>
      </c>
      <c r="I342" s="2">
        <f t="shared" si="33"/>
        <v>0</v>
      </c>
    </row>
    <row r="343" spans="1:9">
      <c r="C343" s="2">
        <f t="shared" si="30"/>
        <v>0</v>
      </c>
      <c r="D343" s="27">
        <f t="shared" si="31"/>
        <v>0</v>
      </c>
      <c r="F343" s="106"/>
      <c r="H343" s="32">
        <f t="shared" si="32"/>
        <v>0</v>
      </c>
      <c r="I343" s="2">
        <f t="shared" si="33"/>
        <v>0</v>
      </c>
    </row>
    <row r="344" spans="1:9">
      <c r="A344" s="25"/>
      <c r="C344" s="2">
        <f t="shared" si="30"/>
        <v>0</v>
      </c>
      <c r="D344" s="27">
        <f t="shared" si="31"/>
        <v>0</v>
      </c>
      <c r="F344" s="105"/>
      <c r="G344" s="25"/>
      <c r="H344" s="32">
        <f t="shared" si="32"/>
        <v>0</v>
      </c>
      <c r="I344" s="2">
        <f t="shared" si="33"/>
        <v>0</v>
      </c>
    </row>
    <row r="345" spans="1:9">
      <c r="C345" s="2">
        <f t="shared" si="30"/>
        <v>0</v>
      </c>
      <c r="D345" s="27">
        <f t="shared" si="31"/>
        <v>0</v>
      </c>
      <c r="F345" s="105"/>
      <c r="G345" s="25"/>
      <c r="H345" s="32">
        <f t="shared" si="32"/>
        <v>0</v>
      </c>
      <c r="I345" s="2">
        <f t="shared" si="33"/>
        <v>0</v>
      </c>
    </row>
    <row r="346" spans="1:9">
      <c r="C346" s="2">
        <f t="shared" si="30"/>
        <v>0</v>
      </c>
      <c r="D346" s="27">
        <f t="shared" si="31"/>
        <v>0</v>
      </c>
      <c r="F346" s="109"/>
      <c r="G346" s="25"/>
      <c r="H346" s="32">
        <f t="shared" si="32"/>
        <v>0</v>
      </c>
      <c r="I346" s="2">
        <f t="shared" si="33"/>
        <v>0</v>
      </c>
    </row>
    <row r="347" spans="1:9">
      <c r="A347" s="25"/>
      <c r="C347" s="2">
        <f t="shared" si="30"/>
        <v>0</v>
      </c>
      <c r="D347" s="27">
        <f t="shared" si="31"/>
        <v>0</v>
      </c>
      <c r="F347" s="105"/>
      <c r="G347" s="25"/>
      <c r="H347" s="32">
        <f t="shared" si="32"/>
        <v>0</v>
      </c>
      <c r="I347" s="2">
        <f t="shared" si="33"/>
        <v>0</v>
      </c>
    </row>
    <row r="348" spans="1:9">
      <c r="C348" s="2">
        <f t="shared" si="30"/>
        <v>0</v>
      </c>
      <c r="D348" s="27">
        <f t="shared" si="31"/>
        <v>0</v>
      </c>
      <c r="F348" s="105"/>
      <c r="G348" s="25"/>
      <c r="H348" s="32">
        <f t="shared" si="32"/>
        <v>0</v>
      </c>
      <c r="I348" s="2">
        <f t="shared" si="33"/>
        <v>0</v>
      </c>
    </row>
    <row r="349" spans="1:9">
      <c r="A349" s="25"/>
      <c r="B349" s="34"/>
      <c r="C349" s="2">
        <f t="shared" si="30"/>
        <v>0</v>
      </c>
      <c r="D349" s="27">
        <f t="shared" si="31"/>
        <v>0</v>
      </c>
      <c r="F349" s="106"/>
      <c r="G349" s="25"/>
      <c r="H349" s="32">
        <f t="shared" si="32"/>
        <v>0</v>
      </c>
      <c r="I349" s="2">
        <f t="shared" si="33"/>
        <v>0</v>
      </c>
    </row>
    <row r="350" spans="1:9">
      <c r="C350" s="2">
        <f t="shared" si="30"/>
        <v>0</v>
      </c>
      <c r="D350" s="27">
        <f t="shared" si="31"/>
        <v>0</v>
      </c>
      <c r="F350" s="105"/>
      <c r="G350" s="25"/>
      <c r="H350" s="32">
        <f t="shared" si="32"/>
        <v>0</v>
      </c>
      <c r="I350" s="2">
        <f t="shared" si="33"/>
        <v>0</v>
      </c>
    </row>
    <row r="351" spans="1:9">
      <c r="C351" s="2">
        <f t="shared" si="30"/>
        <v>0</v>
      </c>
      <c r="D351" s="27">
        <f t="shared" si="31"/>
        <v>0</v>
      </c>
      <c r="F351" s="105"/>
      <c r="G351" s="25"/>
      <c r="H351" s="32">
        <f t="shared" si="32"/>
        <v>0</v>
      </c>
      <c r="I351" s="2">
        <f t="shared" si="33"/>
        <v>0</v>
      </c>
    </row>
    <row r="352" spans="1:9">
      <c r="C352" s="2">
        <f t="shared" si="30"/>
        <v>0</v>
      </c>
      <c r="D352" s="27">
        <f t="shared" si="31"/>
        <v>0</v>
      </c>
      <c r="F352" s="97"/>
      <c r="G352" s="25"/>
      <c r="H352" s="32">
        <f t="shared" si="32"/>
        <v>0</v>
      </c>
      <c r="I352" s="2">
        <f t="shared" si="33"/>
        <v>0</v>
      </c>
    </row>
    <row r="353" spans="1:9">
      <c r="C353" s="2">
        <f t="shared" si="30"/>
        <v>0</v>
      </c>
      <c r="D353" s="27">
        <f t="shared" si="31"/>
        <v>0</v>
      </c>
      <c r="F353" s="106"/>
      <c r="G353" s="25"/>
      <c r="H353" s="32">
        <f t="shared" si="32"/>
        <v>0</v>
      </c>
      <c r="I353" s="2">
        <f t="shared" si="33"/>
        <v>0</v>
      </c>
    </row>
    <row r="354" spans="1:9">
      <c r="A354" s="25"/>
      <c r="B354" s="34"/>
      <c r="C354" s="2">
        <f t="shared" si="30"/>
        <v>0</v>
      </c>
      <c r="D354" s="27">
        <f t="shared" si="31"/>
        <v>0</v>
      </c>
      <c r="F354" s="105"/>
      <c r="G354" s="25"/>
      <c r="H354" s="32">
        <f t="shared" si="32"/>
        <v>0</v>
      </c>
      <c r="I354" s="2">
        <f t="shared" si="33"/>
        <v>0</v>
      </c>
    </row>
    <row r="355" spans="1:9">
      <c r="A355" s="25"/>
      <c r="B355" s="34"/>
      <c r="C355" s="2">
        <f t="shared" si="30"/>
        <v>0</v>
      </c>
      <c r="D355" s="27">
        <f t="shared" si="31"/>
        <v>0</v>
      </c>
      <c r="F355" s="96"/>
      <c r="G355" s="25"/>
      <c r="H355" s="32">
        <f t="shared" si="32"/>
        <v>0</v>
      </c>
      <c r="I355" s="2">
        <f t="shared" si="33"/>
        <v>0</v>
      </c>
    </row>
    <row r="356" spans="1:9">
      <c r="A356" s="25"/>
      <c r="B356" s="34"/>
      <c r="C356" s="2">
        <f t="shared" si="30"/>
        <v>0</v>
      </c>
      <c r="D356" s="27">
        <f t="shared" si="31"/>
        <v>0</v>
      </c>
      <c r="F356" s="106"/>
      <c r="G356" s="25"/>
      <c r="H356" s="32">
        <f t="shared" si="32"/>
        <v>0</v>
      </c>
      <c r="I356" s="2">
        <f t="shared" si="33"/>
        <v>0</v>
      </c>
    </row>
    <row r="357" spans="1:9">
      <c r="A357" s="25"/>
      <c r="B357" s="34"/>
      <c r="C357" s="2">
        <f t="shared" si="30"/>
        <v>0</v>
      </c>
      <c r="D357" s="27">
        <f t="shared" si="31"/>
        <v>0</v>
      </c>
      <c r="F357" s="105"/>
      <c r="G357" s="25"/>
      <c r="H357" s="32">
        <f t="shared" si="32"/>
        <v>0</v>
      </c>
      <c r="I357" s="2">
        <f t="shared" si="33"/>
        <v>0</v>
      </c>
    </row>
    <row r="358" spans="1:9">
      <c r="C358" s="2">
        <f t="shared" si="30"/>
        <v>0</v>
      </c>
      <c r="D358" s="27">
        <f t="shared" si="31"/>
        <v>0</v>
      </c>
      <c r="F358" s="105"/>
      <c r="G358" s="33"/>
      <c r="H358" s="32">
        <v>16677540</v>
      </c>
      <c r="I358" s="2">
        <v>61000</v>
      </c>
    </row>
    <row r="359" spans="1:9">
      <c r="C359" s="2">
        <f t="shared" si="30"/>
        <v>0</v>
      </c>
      <c r="D359" s="27">
        <f t="shared" si="31"/>
        <v>0</v>
      </c>
      <c r="F359" s="105"/>
      <c r="G359" s="33"/>
      <c r="H359" s="32"/>
      <c r="I359" s="2">
        <f t="shared" ref="I359:I386" si="34" xml:space="preserve"> $G359-$H359</f>
        <v>0</v>
      </c>
    </row>
    <row r="360" spans="1:9">
      <c r="A360" s="25"/>
      <c r="B360" s="34"/>
      <c r="C360" s="2">
        <f t="shared" si="30"/>
        <v>0</v>
      </c>
      <c r="D360" s="27">
        <f t="shared" si="31"/>
        <v>0</v>
      </c>
      <c r="F360" s="105"/>
      <c r="G360" s="33"/>
      <c r="H360" s="32"/>
      <c r="I360" s="2">
        <f t="shared" si="34"/>
        <v>0</v>
      </c>
    </row>
    <row r="361" spans="1:9">
      <c r="A361" s="26"/>
      <c r="C361" s="2">
        <f t="shared" si="30"/>
        <v>0</v>
      </c>
      <c r="D361" s="27">
        <f t="shared" si="31"/>
        <v>0</v>
      </c>
      <c r="F361" s="106"/>
      <c r="H361" s="32"/>
      <c r="I361" s="2">
        <f t="shared" si="34"/>
        <v>0</v>
      </c>
    </row>
    <row r="362" spans="1:9">
      <c r="A362" s="25"/>
      <c r="B362" s="34"/>
      <c r="C362" s="2">
        <f t="shared" si="30"/>
        <v>0</v>
      </c>
      <c r="D362" s="27">
        <f t="shared" si="31"/>
        <v>0</v>
      </c>
      <c r="F362" s="105"/>
      <c r="G362" s="33"/>
      <c r="H362" s="32"/>
      <c r="I362" s="2">
        <f t="shared" si="34"/>
        <v>0</v>
      </c>
    </row>
    <row r="363" spans="1:9">
      <c r="A363" s="26"/>
      <c r="C363" s="2">
        <f t="shared" si="30"/>
        <v>0</v>
      </c>
      <c r="D363" s="27">
        <f t="shared" si="31"/>
        <v>0</v>
      </c>
      <c r="F363" s="106"/>
      <c r="H363" s="32"/>
      <c r="I363" s="2">
        <f t="shared" si="34"/>
        <v>0</v>
      </c>
    </row>
    <row r="364" spans="1:9">
      <c r="A364" s="26"/>
      <c r="C364" s="2">
        <f t="shared" si="30"/>
        <v>0</v>
      </c>
      <c r="D364" s="27">
        <f t="shared" si="31"/>
        <v>0</v>
      </c>
      <c r="F364" s="105"/>
      <c r="G364" s="33"/>
      <c r="H364" s="32"/>
      <c r="I364" s="2">
        <f t="shared" si="34"/>
        <v>0</v>
      </c>
    </row>
    <row r="365" spans="1:9">
      <c r="C365" s="2">
        <f t="shared" si="30"/>
        <v>0</v>
      </c>
      <c r="D365" s="27">
        <f t="shared" si="31"/>
        <v>0</v>
      </c>
      <c r="F365" s="105"/>
      <c r="G365" s="33"/>
      <c r="H365" s="32"/>
      <c r="I365" s="2">
        <f t="shared" si="34"/>
        <v>0</v>
      </c>
    </row>
    <row r="366" spans="1:9">
      <c r="A366" s="26"/>
      <c r="C366" s="2">
        <f t="shared" si="30"/>
        <v>0</v>
      </c>
      <c r="D366" s="27">
        <f t="shared" si="31"/>
        <v>0</v>
      </c>
      <c r="H366" s="32"/>
      <c r="I366" s="2">
        <f t="shared" si="34"/>
        <v>0</v>
      </c>
    </row>
    <row r="367" spans="1:9">
      <c r="A367" s="26"/>
      <c r="C367" s="2">
        <f t="shared" si="30"/>
        <v>0</v>
      </c>
      <c r="D367" s="27">
        <f t="shared" si="31"/>
        <v>0</v>
      </c>
      <c r="F367" s="106"/>
      <c r="H367" s="32"/>
      <c r="I367" s="2">
        <f t="shared" si="34"/>
        <v>0</v>
      </c>
    </row>
    <row r="368" spans="1:9">
      <c r="A368" s="26"/>
      <c r="C368" s="2">
        <f t="shared" si="30"/>
        <v>0</v>
      </c>
      <c r="D368" s="27">
        <f t="shared" si="31"/>
        <v>0</v>
      </c>
      <c r="F368" s="105"/>
      <c r="G368" s="33"/>
      <c r="H368" s="32"/>
      <c r="I368" s="2">
        <f t="shared" si="34"/>
        <v>0</v>
      </c>
    </row>
    <row r="369" spans="1:9">
      <c r="A369" s="25"/>
      <c r="B369" s="34"/>
      <c r="C369" s="2">
        <f t="shared" si="30"/>
        <v>0</v>
      </c>
      <c r="D369" s="27">
        <f t="shared" si="31"/>
        <v>0</v>
      </c>
      <c r="F369" s="105"/>
      <c r="G369" s="33"/>
      <c r="H369" s="32"/>
      <c r="I369" s="2">
        <f t="shared" si="34"/>
        <v>0</v>
      </c>
    </row>
    <row r="370" spans="1:9">
      <c r="C370" s="2">
        <f t="shared" si="30"/>
        <v>0</v>
      </c>
      <c r="D370" s="27">
        <f t="shared" si="31"/>
        <v>0</v>
      </c>
      <c r="F370" s="105"/>
      <c r="G370" s="33"/>
      <c r="H370" s="32"/>
      <c r="I370" s="2">
        <f t="shared" si="34"/>
        <v>0</v>
      </c>
    </row>
    <row r="371" spans="1:9">
      <c r="A371" s="26"/>
      <c r="C371" s="2">
        <f t="shared" si="30"/>
        <v>0</v>
      </c>
      <c r="D371" s="27">
        <f t="shared" si="31"/>
        <v>0</v>
      </c>
      <c r="F371" s="105"/>
      <c r="G371" s="33"/>
      <c r="H371" s="32"/>
      <c r="I371" s="2">
        <f t="shared" si="34"/>
        <v>0</v>
      </c>
    </row>
    <row r="372" spans="1:9">
      <c r="A372" s="26"/>
      <c r="C372" s="2">
        <f t="shared" si="30"/>
        <v>0</v>
      </c>
      <c r="D372" s="27">
        <f t="shared" si="31"/>
        <v>0</v>
      </c>
      <c r="F372" s="105"/>
      <c r="G372" s="33"/>
      <c r="H372" s="32"/>
      <c r="I372" s="2">
        <f t="shared" si="34"/>
        <v>0</v>
      </c>
    </row>
    <row r="373" spans="1:9">
      <c r="C373" s="2">
        <f t="shared" si="30"/>
        <v>0</v>
      </c>
      <c r="D373" s="27">
        <f t="shared" si="31"/>
        <v>0</v>
      </c>
      <c r="F373" s="105"/>
      <c r="G373" s="33"/>
      <c r="H373" s="32"/>
      <c r="I373" s="2">
        <f t="shared" si="34"/>
        <v>0</v>
      </c>
    </row>
    <row r="374" spans="1:9">
      <c r="A374" s="26"/>
      <c r="B374" s="26"/>
      <c r="C374" s="2">
        <f t="shared" si="30"/>
        <v>0</v>
      </c>
      <c r="D374" s="27">
        <f t="shared" si="31"/>
        <v>0</v>
      </c>
      <c r="F374" s="106"/>
      <c r="H374" s="32"/>
      <c r="I374" s="2">
        <f t="shared" si="34"/>
        <v>0</v>
      </c>
    </row>
    <row r="375" spans="1:9">
      <c r="A375" s="26"/>
      <c r="C375" s="2">
        <f t="shared" si="30"/>
        <v>0</v>
      </c>
      <c r="D375" s="27">
        <f t="shared" si="31"/>
        <v>0</v>
      </c>
      <c r="F375" s="106"/>
      <c r="H375" s="32"/>
      <c r="I375" s="2">
        <f t="shared" si="34"/>
        <v>0</v>
      </c>
    </row>
    <row r="376" spans="1:9">
      <c r="A376" s="26"/>
      <c r="C376" s="2">
        <f t="shared" si="30"/>
        <v>0</v>
      </c>
      <c r="D376" s="27">
        <f t="shared" si="31"/>
        <v>0</v>
      </c>
      <c r="F376" s="105"/>
      <c r="G376" s="33"/>
      <c r="H376" s="32"/>
      <c r="I376" s="2">
        <f t="shared" si="34"/>
        <v>0</v>
      </c>
    </row>
    <row r="377" spans="1:9">
      <c r="A377" s="26"/>
      <c r="C377" s="2">
        <f t="shared" si="30"/>
        <v>0</v>
      </c>
      <c r="D377" s="27">
        <f t="shared" si="31"/>
        <v>0</v>
      </c>
      <c r="F377" s="105"/>
      <c r="G377" s="33"/>
      <c r="H377" s="32"/>
      <c r="I377" s="2">
        <f t="shared" si="34"/>
        <v>0</v>
      </c>
    </row>
    <row r="378" spans="1:9">
      <c r="A378" s="25"/>
      <c r="B378" s="34"/>
      <c r="C378" s="2">
        <f t="shared" si="30"/>
        <v>0</v>
      </c>
      <c r="D378" s="27">
        <f t="shared" si="31"/>
        <v>0</v>
      </c>
      <c r="F378" s="105"/>
      <c r="G378" s="33"/>
      <c r="H378" s="32"/>
      <c r="I378" s="2">
        <f t="shared" si="34"/>
        <v>0</v>
      </c>
    </row>
    <row r="379" spans="1:9">
      <c r="C379" s="2">
        <f t="shared" si="30"/>
        <v>0</v>
      </c>
      <c r="D379" s="27">
        <f t="shared" si="31"/>
        <v>0</v>
      </c>
      <c r="F379" s="105"/>
      <c r="G379" s="33"/>
      <c r="H379" s="32"/>
      <c r="I379" s="2">
        <f t="shared" si="34"/>
        <v>0</v>
      </c>
    </row>
    <row r="380" spans="1:9">
      <c r="C380" s="2">
        <f t="shared" si="30"/>
        <v>0</v>
      </c>
      <c r="D380" s="27">
        <f t="shared" si="31"/>
        <v>0</v>
      </c>
      <c r="F380" s="106"/>
      <c r="H380" s="32"/>
      <c r="I380" s="2">
        <f t="shared" si="34"/>
        <v>0</v>
      </c>
    </row>
    <row r="381" spans="1:9">
      <c r="C381" s="2">
        <f t="shared" si="30"/>
        <v>0</v>
      </c>
      <c r="D381" s="27">
        <f t="shared" si="31"/>
        <v>0</v>
      </c>
      <c r="H381" s="32"/>
      <c r="I381" s="2">
        <f t="shared" si="34"/>
        <v>0</v>
      </c>
    </row>
    <row r="382" spans="1:9">
      <c r="C382" s="2">
        <f t="shared" si="30"/>
        <v>0</v>
      </c>
      <c r="D382" s="27">
        <f t="shared" si="31"/>
        <v>0</v>
      </c>
      <c r="F382" s="105"/>
      <c r="G382" s="33"/>
      <c r="H382" s="32"/>
      <c r="I382" s="2">
        <f t="shared" si="34"/>
        <v>0</v>
      </c>
    </row>
    <row r="383" spans="1:9">
      <c r="C383" s="2">
        <f t="shared" si="30"/>
        <v>0</v>
      </c>
      <c r="D383" s="27">
        <f t="shared" si="31"/>
        <v>0</v>
      </c>
      <c r="F383" s="106"/>
      <c r="H383" s="32"/>
      <c r="I383" s="2">
        <f t="shared" si="34"/>
        <v>0</v>
      </c>
    </row>
    <row r="384" spans="1:9">
      <c r="C384" s="2">
        <f t="shared" si="30"/>
        <v>0</v>
      </c>
      <c r="D384" s="27">
        <f t="shared" si="31"/>
        <v>0</v>
      </c>
      <c r="F384" s="105"/>
      <c r="G384" s="33"/>
      <c r="H384" s="32"/>
      <c r="I384" s="2">
        <f t="shared" si="34"/>
        <v>0</v>
      </c>
    </row>
    <row r="385" spans="1:9">
      <c r="B385" s="26"/>
      <c r="C385" s="2">
        <f t="shared" si="30"/>
        <v>0</v>
      </c>
      <c r="D385" s="27">
        <f t="shared" si="31"/>
        <v>0</v>
      </c>
      <c r="F385" s="105"/>
      <c r="G385" s="33"/>
      <c r="H385" s="32"/>
      <c r="I385" s="2">
        <f t="shared" si="34"/>
        <v>0</v>
      </c>
    </row>
    <row r="386" spans="1:9">
      <c r="A386" s="25"/>
      <c r="B386" s="34"/>
      <c r="C386" s="2">
        <f t="shared" si="30"/>
        <v>0</v>
      </c>
      <c r="D386" s="27">
        <f t="shared" si="31"/>
        <v>0</v>
      </c>
      <c r="F386" s="106"/>
      <c r="H386" s="32"/>
      <c r="I386" s="2">
        <f t="shared" si="34"/>
        <v>0</v>
      </c>
    </row>
    <row r="387" spans="1:9">
      <c r="C387" s="2">
        <f t="shared" ref="C387:C450" si="35">SUMIFS($G$2:$G$65,$F$2:$F$65,$A387)</f>
        <v>0</v>
      </c>
      <c r="D387" s="27">
        <f t="shared" ref="D387:D450" si="36" xml:space="preserve"> $B387-$C387</f>
        <v>0</v>
      </c>
      <c r="F387" s="105"/>
      <c r="G387" s="33"/>
      <c r="H387" s="32"/>
      <c r="I387" s="2">
        <f t="shared" ref="I387:I450" si="37" xml:space="preserve"> $G387-$H387</f>
        <v>0</v>
      </c>
    </row>
    <row r="388" spans="1:9">
      <c r="C388" s="2">
        <f t="shared" si="35"/>
        <v>0</v>
      </c>
      <c r="D388" s="27">
        <f t="shared" si="36"/>
        <v>0</v>
      </c>
      <c r="F388" s="105"/>
      <c r="G388" s="33"/>
      <c r="H388" s="32"/>
      <c r="I388" s="2">
        <f t="shared" si="37"/>
        <v>0</v>
      </c>
    </row>
    <row r="389" spans="1:9">
      <c r="A389" s="25"/>
      <c r="B389" s="34"/>
      <c r="C389" s="2">
        <f t="shared" si="35"/>
        <v>0</v>
      </c>
      <c r="D389" s="27">
        <f t="shared" si="36"/>
        <v>0</v>
      </c>
      <c r="F389" s="105"/>
      <c r="G389" s="33"/>
      <c r="H389" s="32"/>
      <c r="I389" s="2">
        <f t="shared" si="37"/>
        <v>0</v>
      </c>
    </row>
    <row r="390" spans="1:9">
      <c r="C390" s="2">
        <f t="shared" si="35"/>
        <v>0</v>
      </c>
      <c r="D390" s="27">
        <f t="shared" si="36"/>
        <v>0</v>
      </c>
      <c r="F390" s="105"/>
      <c r="G390" s="33"/>
      <c r="H390" s="32"/>
      <c r="I390" s="2">
        <f t="shared" si="37"/>
        <v>0</v>
      </c>
    </row>
    <row r="391" spans="1:9">
      <c r="C391" s="2">
        <f t="shared" si="35"/>
        <v>0</v>
      </c>
      <c r="D391" s="27">
        <f t="shared" si="36"/>
        <v>0</v>
      </c>
      <c r="F391" s="105"/>
      <c r="G391" s="33"/>
      <c r="H391" s="32"/>
      <c r="I391" s="2">
        <f t="shared" si="37"/>
        <v>0</v>
      </c>
    </row>
    <row r="392" spans="1:9">
      <c r="C392" s="2">
        <f t="shared" si="35"/>
        <v>0</v>
      </c>
      <c r="D392" s="27">
        <f t="shared" si="36"/>
        <v>0</v>
      </c>
      <c r="F392" s="106"/>
      <c r="H392" s="32"/>
      <c r="I392" s="2">
        <f t="shared" si="37"/>
        <v>0</v>
      </c>
    </row>
    <row r="393" spans="1:9">
      <c r="C393" s="2">
        <f t="shared" si="35"/>
        <v>0</v>
      </c>
      <c r="D393" s="27">
        <f t="shared" si="36"/>
        <v>0</v>
      </c>
      <c r="F393" s="105"/>
      <c r="G393" s="33"/>
      <c r="H393" s="32"/>
      <c r="I393" s="2">
        <f t="shared" si="37"/>
        <v>0</v>
      </c>
    </row>
    <row r="394" spans="1:9">
      <c r="C394" s="2">
        <f t="shared" si="35"/>
        <v>0</v>
      </c>
      <c r="D394" s="27">
        <f t="shared" si="36"/>
        <v>0</v>
      </c>
      <c r="F394" s="106"/>
      <c r="H394" s="32"/>
      <c r="I394" s="2">
        <f t="shared" si="37"/>
        <v>0</v>
      </c>
    </row>
    <row r="395" spans="1:9">
      <c r="C395" s="2">
        <f t="shared" si="35"/>
        <v>0</v>
      </c>
      <c r="D395" s="27">
        <f t="shared" si="36"/>
        <v>0</v>
      </c>
      <c r="F395" s="106"/>
      <c r="H395" s="32"/>
      <c r="I395" s="2">
        <f t="shared" si="37"/>
        <v>0</v>
      </c>
    </row>
    <row r="396" spans="1:9">
      <c r="C396" s="2">
        <f t="shared" si="35"/>
        <v>0</v>
      </c>
      <c r="D396" s="27">
        <f t="shared" si="36"/>
        <v>0</v>
      </c>
      <c r="F396" s="106"/>
      <c r="H396" s="32"/>
      <c r="I396" s="2">
        <f t="shared" si="37"/>
        <v>0</v>
      </c>
    </row>
    <row r="397" spans="1:9">
      <c r="A397" s="25"/>
      <c r="B397" s="34"/>
      <c r="C397" s="2">
        <f t="shared" si="35"/>
        <v>0</v>
      </c>
      <c r="D397" s="27">
        <f t="shared" si="36"/>
        <v>0</v>
      </c>
      <c r="F397" s="106"/>
      <c r="H397" s="32"/>
      <c r="I397" s="2">
        <f t="shared" si="37"/>
        <v>0</v>
      </c>
    </row>
    <row r="398" spans="1:9">
      <c r="C398" s="2">
        <f t="shared" si="35"/>
        <v>0</v>
      </c>
      <c r="D398" s="27">
        <f t="shared" si="36"/>
        <v>0</v>
      </c>
      <c r="F398" s="105"/>
      <c r="G398" s="33"/>
      <c r="H398" s="32"/>
      <c r="I398" s="2">
        <f t="shared" si="37"/>
        <v>0</v>
      </c>
    </row>
    <row r="399" spans="1:9">
      <c r="A399" s="26"/>
      <c r="C399" s="2">
        <f t="shared" si="35"/>
        <v>0</v>
      </c>
      <c r="D399" s="27">
        <f t="shared" si="36"/>
        <v>0</v>
      </c>
      <c r="F399" s="106"/>
      <c r="H399" s="32"/>
      <c r="I399" s="2">
        <f t="shared" si="37"/>
        <v>0</v>
      </c>
    </row>
    <row r="400" spans="1:9">
      <c r="A400" s="26"/>
      <c r="C400" s="2">
        <f t="shared" si="35"/>
        <v>0</v>
      </c>
      <c r="D400" s="27">
        <f t="shared" si="36"/>
        <v>0</v>
      </c>
      <c r="F400" s="105"/>
      <c r="G400" s="33"/>
      <c r="H400" s="32"/>
      <c r="I400" s="2">
        <f t="shared" si="37"/>
        <v>0</v>
      </c>
    </row>
    <row r="401" spans="1:9">
      <c r="A401" s="26"/>
      <c r="C401" s="2">
        <f t="shared" si="35"/>
        <v>0</v>
      </c>
      <c r="D401" s="27">
        <f t="shared" si="36"/>
        <v>0</v>
      </c>
      <c r="F401" s="105"/>
      <c r="G401" s="33"/>
      <c r="H401" s="32"/>
      <c r="I401" s="2">
        <f t="shared" si="37"/>
        <v>0</v>
      </c>
    </row>
    <row r="402" spans="1:9">
      <c r="A402" s="26"/>
      <c r="C402" s="2">
        <f t="shared" si="35"/>
        <v>0</v>
      </c>
      <c r="D402" s="27">
        <f t="shared" si="36"/>
        <v>0</v>
      </c>
      <c r="F402" s="106"/>
      <c r="H402" s="32"/>
      <c r="I402" s="2">
        <f t="shared" si="37"/>
        <v>0</v>
      </c>
    </row>
    <row r="403" spans="1:9">
      <c r="A403" s="25"/>
      <c r="B403" s="34"/>
      <c r="C403" s="2">
        <f t="shared" si="35"/>
        <v>0</v>
      </c>
      <c r="D403" s="27">
        <f t="shared" si="36"/>
        <v>0</v>
      </c>
      <c r="H403" s="32"/>
      <c r="I403" s="2">
        <f t="shared" si="37"/>
        <v>0</v>
      </c>
    </row>
    <row r="404" spans="1:9">
      <c r="A404" s="25"/>
      <c r="B404" s="34"/>
      <c r="C404" s="2">
        <f t="shared" si="35"/>
        <v>0</v>
      </c>
      <c r="D404" s="27">
        <f t="shared" si="36"/>
        <v>0</v>
      </c>
      <c r="F404" s="106"/>
      <c r="H404" s="32"/>
      <c r="I404" s="2">
        <f t="shared" si="37"/>
        <v>0</v>
      </c>
    </row>
    <row r="405" spans="1:9">
      <c r="C405" s="2">
        <f t="shared" si="35"/>
        <v>0</v>
      </c>
      <c r="D405" s="27">
        <f t="shared" si="36"/>
        <v>0</v>
      </c>
      <c r="F405" s="105"/>
      <c r="G405" s="33"/>
      <c r="H405" s="32"/>
      <c r="I405" s="2">
        <f t="shared" si="37"/>
        <v>0</v>
      </c>
    </row>
    <row r="406" spans="1:9">
      <c r="A406" s="26"/>
      <c r="C406" s="2">
        <f t="shared" si="35"/>
        <v>0</v>
      </c>
      <c r="D406" s="27">
        <f t="shared" si="36"/>
        <v>0</v>
      </c>
      <c r="F406" s="106"/>
      <c r="H406" s="32"/>
      <c r="I406" s="2">
        <f t="shared" si="37"/>
        <v>0</v>
      </c>
    </row>
    <row r="407" spans="1:9">
      <c r="A407" s="26"/>
      <c r="C407" s="2">
        <f t="shared" si="35"/>
        <v>0</v>
      </c>
      <c r="D407" s="27">
        <f t="shared" si="36"/>
        <v>0</v>
      </c>
      <c r="F407" s="105"/>
      <c r="G407" s="33"/>
      <c r="H407" s="32"/>
      <c r="I407" s="2">
        <f t="shared" si="37"/>
        <v>0</v>
      </c>
    </row>
    <row r="408" spans="1:9">
      <c r="C408" s="2">
        <f t="shared" si="35"/>
        <v>0</v>
      </c>
      <c r="D408" s="27">
        <f t="shared" si="36"/>
        <v>0</v>
      </c>
      <c r="F408" s="105"/>
      <c r="G408" s="33"/>
      <c r="H408" s="32"/>
      <c r="I408" s="2">
        <f t="shared" si="37"/>
        <v>0</v>
      </c>
    </row>
    <row r="409" spans="1:9">
      <c r="C409" s="2">
        <f t="shared" si="35"/>
        <v>0</v>
      </c>
      <c r="D409" s="27">
        <f t="shared" si="36"/>
        <v>0</v>
      </c>
      <c r="F409" s="105"/>
      <c r="G409" s="33"/>
      <c r="H409" s="32"/>
      <c r="I409" s="2">
        <f t="shared" si="37"/>
        <v>0</v>
      </c>
    </row>
    <row r="410" spans="1:9">
      <c r="A410" s="25"/>
      <c r="C410" s="2">
        <f t="shared" si="35"/>
        <v>0</v>
      </c>
      <c r="D410" s="27">
        <f t="shared" si="36"/>
        <v>0</v>
      </c>
      <c r="F410" s="106"/>
      <c r="H410" s="32"/>
      <c r="I410" s="2">
        <f t="shared" si="37"/>
        <v>0</v>
      </c>
    </row>
    <row r="411" spans="1:9">
      <c r="C411" s="2">
        <f t="shared" si="35"/>
        <v>0</v>
      </c>
      <c r="D411" s="27">
        <f t="shared" si="36"/>
        <v>0</v>
      </c>
      <c r="F411" s="105"/>
      <c r="G411" s="33"/>
      <c r="H411" s="32"/>
      <c r="I411" s="2">
        <f t="shared" si="37"/>
        <v>0</v>
      </c>
    </row>
    <row r="412" spans="1:9">
      <c r="C412" s="2">
        <f t="shared" si="35"/>
        <v>0</v>
      </c>
      <c r="D412" s="27">
        <f t="shared" si="36"/>
        <v>0</v>
      </c>
      <c r="F412" s="106"/>
      <c r="H412" s="32"/>
      <c r="I412" s="2">
        <f t="shared" si="37"/>
        <v>0</v>
      </c>
    </row>
    <row r="413" spans="1:9">
      <c r="C413" s="2">
        <f t="shared" si="35"/>
        <v>0</v>
      </c>
      <c r="D413" s="27">
        <f t="shared" si="36"/>
        <v>0</v>
      </c>
      <c r="F413" s="105"/>
      <c r="G413" s="33"/>
      <c r="H413" s="32"/>
      <c r="I413" s="2">
        <f t="shared" si="37"/>
        <v>0</v>
      </c>
    </row>
    <row r="414" spans="1:9">
      <c r="A414" s="26"/>
      <c r="C414" s="2">
        <f t="shared" si="35"/>
        <v>0</v>
      </c>
      <c r="D414" s="27">
        <f t="shared" si="36"/>
        <v>0</v>
      </c>
      <c r="F414" s="105"/>
      <c r="G414" s="33"/>
      <c r="H414" s="32"/>
      <c r="I414" s="2">
        <f t="shared" si="37"/>
        <v>0</v>
      </c>
    </row>
    <row r="415" spans="1:9">
      <c r="A415" s="26"/>
      <c r="C415" s="2">
        <f t="shared" si="35"/>
        <v>0</v>
      </c>
      <c r="D415" s="27">
        <f t="shared" si="36"/>
        <v>0</v>
      </c>
      <c r="F415" s="106"/>
      <c r="H415" s="32"/>
      <c r="I415" s="2">
        <f t="shared" si="37"/>
        <v>0</v>
      </c>
    </row>
    <row r="416" spans="1:9">
      <c r="C416" s="2">
        <f t="shared" si="35"/>
        <v>0</v>
      </c>
      <c r="D416" s="27">
        <f t="shared" si="36"/>
        <v>0</v>
      </c>
      <c r="F416" s="105"/>
      <c r="G416" s="33"/>
      <c r="H416" s="32"/>
      <c r="I416" s="2">
        <f t="shared" si="37"/>
        <v>0</v>
      </c>
    </row>
    <row r="417" spans="1:9">
      <c r="A417" s="25"/>
      <c r="B417" s="34"/>
      <c r="C417" s="2">
        <f t="shared" si="35"/>
        <v>0</v>
      </c>
      <c r="D417" s="27">
        <f t="shared" si="36"/>
        <v>0</v>
      </c>
      <c r="H417" s="32"/>
      <c r="I417" s="2">
        <f t="shared" si="37"/>
        <v>0</v>
      </c>
    </row>
    <row r="418" spans="1:9">
      <c r="C418" s="2">
        <f t="shared" si="35"/>
        <v>0</v>
      </c>
      <c r="D418" s="27">
        <f t="shared" si="36"/>
        <v>0</v>
      </c>
      <c r="F418" s="105"/>
      <c r="G418" s="33"/>
      <c r="H418" s="32"/>
      <c r="I418" s="2">
        <f t="shared" si="37"/>
        <v>0</v>
      </c>
    </row>
    <row r="419" spans="1:9">
      <c r="A419" s="26"/>
      <c r="C419" s="2">
        <f t="shared" si="35"/>
        <v>0</v>
      </c>
      <c r="D419" s="27">
        <f t="shared" si="36"/>
        <v>0</v>
      </c>
      <c r="H419" s="32"/>
      <c r="I419" s="2">
        <f t="shared" si="37"/>
        <v>0</v>
      </c>
    </row>
    <row r="420" spans="1:9">
      <c r="C420" s="2">
        <f t="shared" si="35"/>
        <v>0</v>
      </c>
      <c r="D420" s="27">
        <f t="shared" si="36"/>
        <v>0</v>
      </c>
      <c r="F420" s="105"/>
      <c r="G420" s="33"/>
      <c r="H420" s="32"/>
      <c r="I420" s="2">
        <f t="shared" si="37"/>
        <v>0</v>
      </c>
    </row>
    <row r="421" spans="1:9">
      <c r="A421" s="25"/>
      <c r="B421" s="34"/>
      <c r="C421" s="2">
        <f t="shared" si="35"/>
        <v>0</v>
      </c>
      <c r="D421" s="27">
        <f t="shared" si="36"/>
        <v>0</v>
      </c>
      <c r="F421" s="105"/>
      <c r="G421" s="33"/>
      <c r="H421" s="32"/>
      <c r="I421" s="2">
        <f t="shared" si="37"/>
        <v>0</v>
      </c>
    </row>
    <row r="422" spans="1:9">
      <c r="A422" s="26"/>
      <c r="C422" s="2">
        <f t="shared" si="35"/>
        <v>0</v>
      </c>
      <c r="D422" s="27">
        <f t="shared" si="36"/>
        <v>0</v>
      </c>
      <c r="F422" s="105"/>
      <c r="G422" s="33"/>
      <c r="H422" s="32"/>
      <c r="I422" s="2">
        <f t="shared" si="37"/>
        <v>0</v>
      </c>
    </row>
    <row r="423" spans="1:9">
      <c r="A423" s="26"/>
      <c r="C423" s="2">
        <f t="shared" si="35"/>
        <v>0</v>
      </c>
      <c r="D423" s="27">
        <f t="shared" si="36"/>
        <v>0</v>
      </c>
      <c r="F423" s="105"/>
      <c r="G423" s="33"/>
      <c r="H423" s="32"/>
      <c r="I423" s="2">
        <f t="shared" si="37"/>
        <v>0</v>
      </c>
    </row>
    <row r="424" spans="1:9">
      <c r="A424" s="25"/>
      <c r="C424" s="2">
        <f t="shared" si="35"/>
        <v>0</v>
      </c>
      <c r="D424" s="27">
        <f t="shared" si="36"/>
        <v>0</v>
      </c>
      <c r="F424" s="105"/>
      <c r="G424" s="33"/>
      <c r="H424" s="32"/>
      <c r="I424" s="2">
        <f t="shared" si="37"/>
        <v>0</v>
      </c>
    </row>
    <row r="425" spans="1:9">
      <c r="A425" s="25"/>
      <c r="B425" s="34"/>
      <c r="C425" s="2">
        <f t="shared" si="35"/>
        <v>0</v>
      </c>
      <c r="D425" s="27">
        <f t="shared" si="36"/>
        <v>0</v>
      </c>
      <c r="F425" s="105"/>
      <c r="G425" s="33"/>
      <c r="H425" s="32"/>
      <c r="I425" s="2">
        <f t="shared" si="37"/>
        <v>0</v>
      </c>
    </row>
    <row r="426" spans="1:9">
      <c r="A426" s="26"/>
      <c r="C426" s="2">
        <f t="shared" si="35"/>
        <v>0</v>
      </c>
      <c r="D426" s="27">
        <f t="shared" si="36"/>
        <v>0</v>
      </c>
      <c r="F426" s="105"/>
      <c r="G426" s="33"/>
      <c r="H426" s="32"/>
      <c r="I426" s="2">
        <f t="shared" si="37"/>
        <v>0</v>
      </c>
    </row>
    <row r="427" spans="1:9">
      <c r="A427" s="26"/>
      <c r="C427" s="2">
        <f t="shared" si="35"/>
        <v>0</v>
      </c>
      <c r="D427" s="27">
        <f t="shared" si="36"/>
        <v>0</v>
      </c>
      <c r="F427" s="105"/>
      <c r="G427" s="33"/>
      <c r="H427" s="32"/>
      <c r="I427" s="2">
        <f t="shared" si="37"/>
        <v>0</v>
      </c>
    </row>
    <row r="428" spans="1:9">
      <c r="A428" s="26"/>
      <c r="C428" s="2">
        <f t="shared" si="35"/>
        <v>0</v>
      </c>
      <c r="D428" s="27">
        <f t="shared" si="36"/>
        <v>0</v>
      </c>
      <c r="F428" s="106"/>
      <c r="H428" s="32"/>
      <c r="I428" s="2">
        <f t="shared" si="37"/>
        <v>0</v>
      </c>
    </row>
    <row r="429" spans="1:9">
      <c r="A429" s="26"/>
      <c r="C429" s="2">
        <f t="shared" si="35"/>
        <v>0</v>
      </c>
      <c r="D429" s="27">
        <f t="shared" si="36"/>
        <v>0</v>
      </c>
      <c r="F429" s="105"/>
      <c r="G429" s="33"/>
      <c r="H429" s="32"/>
      <c r="I429" s="2">
        <f t="shared" si="37"/>
        <v>0</v>
      </c>
    </row>
    <row r="430" spans="1:9">
      <c r="A430" s="26"/>
      <c r="C430" s="2">
        <f t="shared" si="35"/>
        <v>0</v>
      </c>
      <c r="D430" s="27">
        <f t="shared" si="36"/>
        <v>0</v>
      </c>
      <c r="F430" s="106"/>
      <c r="H430" s="32"/>
      <c r="I430" s="2">
        <f t="shared" si="37"/>
        <v>0</v>
      </c>
    </row>
    <row r="431" spans="1:9">
      <c r="A431" s="26"/>
      <c r="C431" s="2">
        <f t="shared" si="35"/>
        <v>0</v>
      </c>
      <c r="D431" s="27">
        <f t="shared" si="36"/>
        <v>0</v>
      </c>
      <c r="F431" s="105"/>
      <c r="G431" s="33"/>
      <c r="H431" s="32"/>
      <c r="I431" s="2">
        <f t="shared" si="37"/>
        <v>0</v>
      </c>
    </row>
    <row r="432" spans="1:9">
      <c r="A432" s="26"/>
      <c r="C432" s="2">
        <f t="shared" si="35"/>
        <v>0</v>
      </c>
      <c r="D432" s="27">
        <f t="shared" si="36"/>
        <v>0</v>
      </c>
      <c r="F432" s="105"/>
      <c r="G432" s="33"/>
      <c r="H432" s="32"/>
      <c r="I432" s="2">
        <f t="shared" si="37"/>
        <v>0</v>
      </c>
    </row>
    <row r="433" spans="1:9">
      <c r="A433" s="26"/>
      <c r="C433" s="2">
        <f t="shared" si="35"/>
        <v>0</v>
      </c>
      <c r="D433" s="27">
        <f t="shared" si="36"/>
        <v>0</v>
      </c>
      <c r="F433" s="105"/>
      <c r="G433" s="33"/>
      <c r="H433" s="32"/>
      <c r="I433" s="2">
        <f t="shared" si="37"/>
        <v>0</v>
      </c>
    </row>
    <row r="434" spans="1:9">
      <c r="A434" s="26"/>
      <c r="C434" s="2">
        <f t="shared" si="35"/>
        <v>0</v>
      </c>
      <c r="D434" s="27">
        <f t="shared" si="36"/>
        <v>0</v>
      </c>
      <c r="F434" s="106"/>
      <c r="H434" s="32"/>
      <c r="I434" s="2">
        <f t="shared" si="37"/>
        <v>0</v>
      </c>
    </row>
    <row r="435" spans="1:9">
      <c r="A435" s="26"/>
      <c r="B435" s="26"/>
      <c r="C435" s="2">
        <f t="shared" si="35"/>
        <v>0</v>
      </c>
      <c r="D435" s="27">
        <f t="shared" si="36"/>
        <v>0</v>
      </c>
      <c r="F435" s="105"/>
      <c r="G435" s="33"/>
      <c r="H435" s="32"/>
      <c r="I435" s="2">
        <f t="shared" si="37"/>
        <v>0</v>
      </c>
    </row>
    <row r="436" spans="1:9">
      <c r="A436" s="26"/>
      <c r="C436" s="2">
        <f t="shared" si="35"/>
        <v>0</v>
      </c>
      <c r="D436" s="27">
        <f t="shared" si="36"/>
        <v>0</v>
      </c>
      <c r="F436" s="105"/>
      <c r="G436" s="33"/>
      <c r="H436" s="32"/>
      <c r="I436" s="2">
        <f t="shared" si="37"/>
        <v>0</v>
      </c>
    </row>
    <row r="437" spans="1:9">
      <c r="A437" s="26"/>
      <c r="B437" s="26"/>
      <c r="C437" s="2">
        <f t="shared" si="35"/>
        <v>0</v>
      </c>
      <c r="D437" s="27">
        <f t="shared" si="36"/>
        <v>0</v>
      </c>
      <c r="F437" s="106"/>
      <c r="H437" s="32"/>
      <c r="I437" s="2">
        <f t="shared" si="37"/>
        <v>0</v>
      </c>
    </row>
    <row r="438" spans="1:9">
      <c r="A438" s="26"/>
      <c r="C438" s="2">
        <f t="shared" si="35"/>
        <v>0</v>
      </c>
      <c r="D438" s="27">
        <f t="shared" si="36"/>
        <v>0</v>
      </c>
      <c r="H438" s="32"/>
      <c r="I438" s="2">
        <f t="shared" si="37"/>
        <v>0</v>
      </c>
    </row>
    <row r="439" spans="1:9">
      <c r="A439" s="26"/>
      <c r="C439" s="2">
        <f t="shared" si="35"/>
        <v>0</v>
      </c>
      <c r="D439" s="27">
        <f t="shared" si="36"/>
        <v>0</v>
      </c>
      <c r="F439" s="106"/>
      <c r="H439" s="32"/>
      <c r="I439" s="2">
        <f t="shared" si="37"/>
        <v>0</v>
      </c>
    </row>
    <row r="440" spans="1:9">
      <c r="A440" s="25"/>
      <c r="B440" s="34"/>
      <c r="C440" s="2">
        <f t="shared" si="35"/>
        <v>0</v>
      </c>
      <c r="D440" s="27">
        <f t="shared" si="36"/>
        <v>0</v>
      </c>
      <c r="F440" s="106"/>
      <c r="H440" s="32"/>
      <c r="I440" s="2">
        <f t="shared" si="37"/>
        <v>0</v>
      </c>
    </row>
    <row r="441" spans="1:9">
      <c r="A441" s="26"/>
      <c r="C441" s="2">
        <f t="shared" si="35"/>
        <v>0</v>
      </c>
      <c r="D441" s="27">
        <f t="shared" si="36"/>
        <v>0</v>
      </c>
      <c r="F441" s="105"/>
      <c r="G441" s="33"/>
      <c r="H441" s="32"/>
      <c r="I441" s="2">
        <f t="shared" si="37"/>
        <v>0</v>
      </c>
    </row>
    <row r="442" spans="1:9">
      <c r="A442" s="26"/>
      <c r="C442" s="2">
        <f t="shared" si="35"/>
        <v>0</v>
      </c>
      <c r="D442" s="27">
        <f t="shared" si="36"/>
        <v>0</v>
      </c>
      <c r="F442" s="105"/>
      <c r="G442" s="33"/>
      <c r="H442" s="32"/>
      <c r="I442" s="2">
        <f t="shared" si="37"/>
        <v>0</v>
      </c>
    </row>
    <row r="443" spans="1:9">
      <c r="A443" s="26"/>
      <c r="C443" s="2">
        <f t="shared" si="35"/>
        <v>0</v>
      </c>
      <c r="D443" s="27">
        <f t="shared" si="36"/>
        <v>0</v>
      </c>
      <c r="F443" s="105"/>
      <c r="G443" s="33"/>
      <c r="H443" s="32"/>
      <c r="I443" s="2">
        <f t="shared" si="37"/>
        <v>0</v>
      </c>
    </row>
    <row r="444" spans="1:9">
      <c r="A444" s="26"/>
      <c r="C444" s="2">
        <f t="shared" si="35"/>
        <v>0</v>
      </c>
      <c r="D444" s="27">
        <f t="shared" si="36"/>
        <v>0</v>
      </c>
      <c r="F444" s="106"/>
      <c r="H444" s="32"/>
      <c r="I444" s="2">
        <f t="shared" si="37"/>
        <v>0</v>
      </c>
    </row>
    <row r="445" spans="1:9">
      <c r="A445" s="26"/>
      <c r="C445" s="2">
        <f t="shared" si="35"/>
        <v>0</v>
      </c>
      <c r="D445" s="27">
        <f t="shared" si="36"/>
        <v>0</v>
      </c>
      <c r="F445" s="105"/>
      <c r="G445" s="33"/>
      <c r="H445" s="32"/>
      <c r="I445" s="2">
        <f t="shared" si="37"/>
        <v>0</v>
      </c>
    </row>
    <row r="446" spans="1:9">
      <c r="A446" s="25"/>
      <c r="B446" s="34"/>
      <c r="C446" s="2">
        <f t="shared" si="35"/>
        <v>0</v>
      </c>
      <c r="D446" s="27">
        <f t="shared" si="36"/>
        <v>0</v>
      </c>
      <c r="H446" s="32"/>
      <c r="I446" s="2">
        <f t="shared" si="37"/>
        <v>0</v>
      </c>
    </row>
    <row r="447" spans="1:9">
      <c r="A447" s="25"/>
      <c r="B447" s="34"/>
      <c r="C447" s="2">
        <f t="shared" si="35"/>
        <v>0</v>
      </c>
      <c r="D447" s="27">
        <f t="shared" si="36"/>
        <v>0</v>
      </c>
      <c r="H447" s="32"/>
      <c r="I447" s="2">
        <f t="shared" si="37"/>
        <v>0</v>
      </c>
    </row>
    <row r="448" spans="1:9">
      <c r="A448" s="26"/>
      <c r="C448" s="2">
        <f t="shared" si="35"/>
        <v>0</v>
      </c>
      <c r="D448" s="27">
        <f t="shared" si="36"/>
        <v>0</v>
      </c>
      <c r="F448" s="105"/>
      <c r="G448" s="33"/>
      <c r="H448" s="32"/>
      <c r="I448" s="2">
        <f t="shared" si="37"/>
        <v>0</v>
      </c>
    </row>
    <row r="449" spans="1:9">
      <c r="A449" s="26"/>
      <c r="C449" s="2">
        <f t="shared" si="35"/>
        <v>0</v>
      </c>
      <c r="D449" s="27">
        <f t="shared" si="36"/>
        <v>0</v>
      </c>
      <c r="H449" s="32"/>
      <c r="I449" s="2">
        <f t="shared" si="37"/>
        <v>0</v>
      </c>
    </row>
    <row r="450" spans="1:9">
      <c r="A450" s="26"/>
      <c r="C450" s="2">
        <f t="shared" si="35"/>
        <v>0</v>
      </c>
      <c r="D450" s="27">
        <f t="shared" si="36"/>
        <v>0</v>
      </c>
      <c r="H450" s="32"/>
      <c r="I450" s="2">
        <f t="shared" si="37"/>
        <v>0</v>
      </c>
    </row>
    <row r="451" spans="1:9">
      <c r="A451" s="26"/>
      <c r="C451" s="2">
        <f t="shared" ref="C451:C514" si="38">SUMIFS($G$2:$G$65,$F$2:$F$65,$A451)</f>
        <v>0</v>
      </c>
      <c r="D451" s="27">
        <f t="shared" ref="D451:D514" si="39" xml:space="preserve"> $B451-$C451</f>
        <v>0</v>
      </c>
      <c r="F451" s="106"/>
      <c r="H451" s="32"/>
      <c r="I451" s="2">
        <f t="shared" ref="I451:I458" si="40" xml:space="preserve"> $G451-$H451</f>
        <v>0</v>
      </c>
    </row>
    <row r="452" spans="1:9">
      <c r="A452" s="26"/>
      <c r="C452" s="2">
        <f t="shared" si="38"/>
        <v>0</v>
      </c>
      <c r="D452" s="27">
        <f t="shared" si="39"/>
        <v>0</v>
      </c>
      <c r="F452" s="106"/>
      <c r="H452" s="32"/>
      <c r="I452" s="2">
        <f t="shared" si="40"/>
        <v>0</v>
      </c>
    </row>
    <row r="453" spans="1:9">
      <c r="A453" s="26"/>
      <c r="C453" s="2">
        <f t="shared" si="38"/>
        <v>0</v>
      </c>
      <c r="D453" s="27">
        <f t="shared" si="39"/>
        <v>0</v>
      </c>
      <c r="F453" s="105"/>
      <c r="G453" s="33"/>
      <c r="H453" s="32"/>
      <c r="I453" s="2">
        <f t="shared" si="40"/>
        <v>0</v>
      </c>
    </row>
    <row r="454" spans="1:9">
      <c r="A454" s="26"/>
      <c r="C454" s="2">
        <f t="shared" si="38"/>
        <v>0</v>
      </c>
      <c r="D454" s="27">
        <f t="shared" si="39"/>
        <v>0</v>
      </c>
      <c r="F454" s="105"/>
      <c r="G454" s="33"/>
      <c r="H454" s="32"/>
      <c r="I454" s="2">
        <f t="shared" si="40"/>
        <v>0</v>
      </c>
    </row>
    <row r="455" spans="1:9">
      <c r="A455" s="25"/>
      <c r="B455" s="34"/>
      <c r="C455" s="2">
        <f t="shared" si="38"/>
        <v>0</v>
      </c>
      <c r="D455" s="27">
        <f t="shared" si="39"/>
        <v>0</v>
      </c>
      <c r="F455" s="105"/>
      <c r="G455" s="33"/>
      <c r="H455" s="32"/>
      <c r="I455" s="2">
        <f t="shared" si="40"/>
        <v>0</v>
      </c>
    </row>
    <row r="456" spans="1:9">
      <c r="A456" s="26"/>
      <c r="C456" s="2">
        <f t="shared" si="38"/>
        <v>0</v>
      </c>
      <c r="D456" s="27">
        <f t="shared" si="39"/>
        <v>0</v>
      </c>
      <c r="F456" s="106"/>
      <c r="H456" s="32"/>
      <c r="I456" s="2">
        <f t="shared" si="40"/>
        <v>0</v>
      </c>
    </row>
    <row r="457" spans="1:9">
      <c r="A457" s="26"/>
      <c r="C457" s="2">
        <f t="shared" si="38"/>
        <v>0</v>
      </c>
      <c r="D457" s="27">
        <f t="shared" si="39"/>
        <v>0</v>
      </c>
      <c r="F457" s="106"/>
      <c r="H457" s="32"/>
      <c r="I457" s="2">
        <f t="shared" si="40"/>
        <v>0</v>
      </c>
    </row>
    <row r="458" spans="1:9">
      <c r="A458" s="25"/>
      <c r="C458" s="2">
        <f t="shared" si="38"/>
        <v>0</v>
      </c>
      <c r="D458" s="27">
        <f t="shared" si="39"/>
        <v>0</v>
      </c>
      <c r="F458" s="105"/>
      <c r="G458" s="33"/>
      <c r="H458" s="32"/>
      <c r="I458" s="2">
        <f t="shared" si="40"/>
        <v>0</v>
      </c>
    </row>
    <row r="459" spans="1:9">
      <c r="A459" s="26"/>
      <c r="C459" s="2">
        <f t="shared" si="38"/>
        <v>0</v>
      </c>
      <c r="D459" s="27">
        <f t="shared" si="39"/>
        <v>0</v>
      </c>
      <c r="I459" s="2">
        <v>12435970</v>
      </c>
    </row>
    <row r="460" spans="1:9">
      <c r="C460" s="2">
        <f t="shared" si="38"/>
        <v>0</v>
      </c>
      <c r="D460" s="27">
        <f t="shared" si="39"/>
        <v>0</v>
      </c>
    </row>
    <row r="461" spans="1:9">
      <c r="C461" s="2">
        <f t="shared" si="38"/>
        <v>0</v>
      </c>
      <c r="D461" s="27">
        <f t="shared" si="39"/>
        <v>0</v>
      </c>
    </row>
    <row r="462" spans="1:9">
      <c r="C462" s="2">
        <f t="shared" si="38"/>
        <v>0</v>
      </c>
      <c r="D462" s="27">
        <f t="shared" si="39"/>
        <v>0</v>
      </c>
    </row>
    <row r="463" spans="1:9">
      <c r="C463" s="2">
        <f t="shared" si="38"/>
        <v>0</v>
      </c>
      <c r="D463" s="27">
        <f t="shared" si="39"/>
        <v>0</v>
      </c>
    </row>
    <row r="464" spans="1:9">
      <c r="A464" s="25"/>
      <c r="B464" s="34"/>
      <c r="C464" s="2">
        <f t="shared" si="38"/>
        <v>0</v>
      </c>
      <c r="D464" s="27">
        <f t="shared" si="39"/>
        <v>0</v>
      </c>
    </row>
    <row r="465" spans="1:4">
      <c r="C465" s="2">
        <f t="shared" si="38"/>
        <v>0</v>
      </c>
      <c r="D465" s="27">
        <f t="shared" si="39"/>
        <v>0</v>
      </c>
    </row>
    <row r="466" spans="1:4">
      <c r="C466" s="2">
        <f t="shared" si="38"/>
        <v>0</v>
      </c>
      <c r="D466" s="27">
        <f t="shared" si="39"/>
        <v>0</v>
      </c>
    </row>
    <row r="467" spans="1:4">
      <c r="C467" s="2">
        <f t="shared" si="38"/>
        <v>0</v>
      </c>
      <c r="D467" s="27">
        <f t="shared" si="39"/>
        <v>0</v>
      </c>
    </row>
    <row r="468" spans="1:4">
      <c r="B468" s="26"/>
      <c r="C468" s="2">
        <f t="shared" si="38"/>
        <v>0</v>
      </c>
      <c r="D468" s="27">
        <f t="shared" si="39"/>
        <v>0</v>
      </c>
    </row>
    <row r="469" spans="1:4">
      <c r="C469" s="2">
        <f t="shared" si="38"/>
        <v>0</v>
      </c>
      <c r="D469" s="27">
        <f t="shared" si="39"/>
        <v>0</v>
      </c>
    </row>
    <row r="470" spans="1:4">
      <c r="C470" s="2">
        <f t="shared" si="38"/>
        <v>0</v>
      </c>
      <c r="D470" s="27">
        <f t="shared" si="39"/>
        <v>0</v>
      </c>
    </row>
    <row r="471" spans="1:4">
      <c r="C471" s="2">
        <f t="shared" si="38"/>
        <v>0</v>
      </c>
      <c r="D471" s="27">
        <f t="shared" si="39"/>
        <v>0</v>
      </c>
    </row>
    <row r="472" spans="1:4">
      <c r="C472" s="2">
        <f t="shared" si="38"/>
        <v>0</v>
      </c>
      <c r="D472" s="27">
        <f t="shared" si="39"/>
        <v>0</v>
      </c>
    </row>
    <row r="473" spans="1:4">
      <c r="C473" s="2">
        <f t="shared" si="38"/>
        <v>0</v>
      </c>
      <c r="D473" s="27">
        <f t="shared" si="39"/>
        <v>0</v>
      </c>
    </row>
    <row r="474" spans="1:4">
      <c r="C474" s="2">
        <f t="shared" si="38"/>
        <v>0</v>
      </c>
      <c r="D474" s="27">
        <f t="shared" si="39"/>
        <v>0</v>
      </c>
    </row>
    <row r="475" spans="1:4">
      <c r="C475" s="2">
        <f t="shared" si="38"/>
        <v>0</v>
      </c>
      <c r="D475" s="27">
        <f t="shared" si="39"/>
        <v>0</v>
      </c>
    </row>
    <row r="476" spans="1:4">
      <c r="C476" s="2">
        <f t="shared" si="38"/>
        <v>0</v>
      </c>
      <c r="D476" s="27">
        <f t="shared" si="39"/>
        <v>0</v>
      </c>
    </row>
    <row r="477" spans="1:4">
      <c r="C477" s="2">
        <f t="shared" si="38"/>
        <v>0</v>
      </c>
      <c r="D477" s="27">
        <f t="shared" si="39"/>
        <v>0</v>
      </c>
    </row>
    <row r="478" spans="1:4">
      <c r="A478" s="26"/>
      <c r="C478" s="2">
        <f t="shared" si="38"/>
        <v>0</v>
      </c>
      <c r="D478" s="27">
        <f t="shared" si="39"/>
        <v>0</v>
      </c>
    </row>
    <row r="479" spans="1:4">
      <c r="C479" s="2">
        <f t="shared" si="38"/>
        <v>0</v>
      </c>
      <c r="D479" s="27">
        <f t="shared" si="39"/>
        <v>0</v>
      </c>
    </row>
    <row r="480" spans="1:4">
      <c r="A480" s="26"/>
      <c r="C480" s="2">
        <f t="shared" si="38"/>
        <v>0</v>
      </c>
      <c r="D480" s="27">
        <f t="shared" si="39"/>
        <v>0</v>
      </c>
    </row>
    <row r="481" spans="1:4">
      <c r="C481" s="2">
        <f t="shared" si="38"/>
        <v>0</v>
      </c>
      <c r="D481" s="27">
        <f t="shared" si="39"/>
        <v>0</v>
      </c>
    </row>
    <row r="482" spans="1:4">
      <c r="A482" s="25"/>
      <c r="B482" s="34"/>
      <c r="C482" s="2">
        <f t="shared" si="38"/>
        <v>0</v>
      </c>
      <c r="D482" s="27">
        <f t="shared" si="39"/>
        <v>0</v>
      </c>
    </row>
    <row r="483" spans="1:4">
      <c r="C483" s="2">
        <f t="shared" si="38"/>
        <v>0</v>
      </c>
      <c r="D483" s="27">
        <f t="shared" si="39"/>
        <v>0</v>
      </c>
    </row>
    <row r="484" spans="1:4">
      <c r="C484" s="2">
        <f t="shared" si="38"/>
        <v>0</v>
      </c>
      <c r="D484" s="27">
        <f t="shared" si="39"/>
        <v>0</v>
      </c>
    </row>
    <row r="485" spans="1:4">
      <c r="A485" s="25"/>
      <c r="B485" s="34"/>
      <c r="C485" s="2">
        <f t="shared" si="38"/>
        <v>0</v>
      </c>
      <c r="D485" s="27">
        <f t="shared" si="39"/>
        <v>0</v>
      </c>
    </row>
    <row r="486" spans="1:4">
      <c r="A486" s="25"/>
      <c r="C486" s="2">
        <f t="shared" si="38"/>
        <v>0</v>
      </c>
      <c r="D486" s="27">
        <f t="shared" si="39"/>
        <v>0</v>
      </c>
    </row>
    <row r="487" spans="1:4">
      <c r="C487" s="2">
        <f t="shared" si="38"/>
        <v>0</v>
      </c>
      <c r="D487" s="27">
        <f t="shared" si="39"/>
        <v>0</v>
      </c>
    </row>
    <row r="488" spans="1:4">
      <c r="C488" s="2">
        <f t="shared" si="38"/>
        <v>0</v>
      </c>
      <c r="D488" s="27">
        <f t="shared" si="39"/>
        <v>0</v>
      </c>
    </row>
    <row r="489" spans="1:4">
      <c r="C489" s="2">
        <f t="shared" si="38"/>
        <v>0</v>
      </c>
      <c r="D489" s="27">
        <f t="shared" si="39"/>
        <v>0</v>
      </c>
    </row>
    <row r="490" spans="1:4">
      <c r="A490" s="26"/>
      <c r="C490" s="2">
        <f t="shared" si="38"/>
        <v>0</v>
      </c>
      <c r="D490" s="27">
        <f t="shared" si="39"/>
        <v>0</v>
      </c>
    </row>
    <row r="491" spans="1:4">
      <c r="C491" s="2">
        <f t="shared" si="38"/>
        <v>0</v>
      </c>
      <c r="D491" s="27">
        <f t="shared" si="39"/>
        <v>0</v>
      </c>
    </row>
    <row r="492" spans="1:4">
      <c r="A492" s="25"/>
      <c r="B492" s="34"/>
      <c r="C492" s="2">
        <f t="shared" si="38"/>
        <v>0</v>
      </c>
      <c r="D492" s="27">
        <f t="shared" si="39"/>
        <v>0</v>
      </c>
    </row>
    <row r="493" spans="1:4">
      <c r="A493" s="26"/>
      <c r="C493" s="2">
        <f t="shared" si="38"/>
        <v>0</v>
      </c>
      <c r="D493" s="27">
        <f t="shared" si="39"/>
        <v>0</v>
      </c>
    </row>
    <row r="494" spans="1:4">
      <c r="C494" s="2">
        <f t="shared" si="38"/>
        <v>0</v>
      </c>
      <c r="D494" s="27">
        <f t="shared" si="39"/>
        <v>0</v>
      </c>
    </row>
    <row r="495" spans="1:4">
      <c r="A495" s="26"/>
      <c r="C495" s="2">
        <f t="shared" si="38"/>
        <v>0</v>
      </c>
      <c r="D495" s="27">
        <f t="shared" si="39"/>
        <v>0</v>
      </c>
    </row>
    <row r="496" spans="1:4">
      <c r="C496" s="2">
        <f t="shared" si="38"/>
        <v>0</v>
      </c>
      <c r="D496" s="27">
        <f t="shared" si="39"/>
        <v>0</v>
      </c>
    </row>
    <row r="497" spans="1:4">
      <c r="C497" s="2">
        <f t="shared" si="38"/>
        <v>0</v>
      </c>
      <c r="D497" s="27">
        <f t="shared" si="39"/>
        <v>0</v>
      </c>
    </row>
    <row r="498" spans="1:4">
      <c r="C498" s="2">
        <f t="shared" si="38"/>
        <v>0</v>
      </c>
      <c r="D498" s="27">
        <f t="shared" si="39"/>
        <v>0</v>
      </c>
    </row>
    <row r="499" spans="1:4">
      <c r="C499" s="2">
        <f t="shared" si="38"/>
        <v>0</v>
      </c>
      <c r="D499" s="27">
        <f t="shared" si="39"/>
        <v>0</v>
      </c>
    </row>
    <row r="500" spans="1:4">
      <c r="A500" s="26"/>
      <c r="C500" s="2">
        <f t="shared" si="38"/>
        <v>0</v>
      </c>
      <c r="D500" s="27">
        <f t="shared" si="39"/>
        <v>0</v>
      </c>
    </row>
    <row r="501" spans="1:4">
      <c r="C501" s="2">
        <f t="shared" si="38"/>
        <v>0</v>
      </c>
      <c r="D501" s="27">
        <f t="shared" si="39"/>
        <v>0</v>
      </c>
    </row>
    <row r="502" spans="1:4">
      <c r="A502" s="25"/>
      <c r="B502" s="34"/>
      <c r="C502" s="2">
        <f t="shared" si="38"/>
        <v>0</v>
      </c>
      <c r="D502" s="27">
        <f t="shared" si="39"/>
        <v>0</v>
      </c>
    </row>
    <row r="503" spans="1:4">
      <c r="A503" s="26"/>
      <c r="C503" s="2">
        <f t="shared" si="38"/>
        <v>0</v>
      </c>
      <c r="D503" s="27">
        <f t="shared" si="39"/>
        <v>0</v>
      </c>
    </row>
    <row r="504" spans="1:4">
      <c r="C504" s="2">
        <f t="shared" si="38"/>
        <v>0</v>
      </c>
      <c r="D504" s="27">
        <f t="shared" si="39"/>
        <v>0</v>
      </c>
    </row>
    <row r="505" spans="1:4">
      <c r="C505" s="2">
        <f t="shared" si="38"/>
        <v>0</v>
      </c>
      <c r="D505" s="27">
        <f t="shared" si="39"/>
        <v>0</v>
      </c>
    </row>
    <row r="506" spans="1:4">
      <c r="C506" s="2">
        <f t="shared" si="38"/>
        <v>0</v>
      </c>
      <c r="D506" s="27">
        <f t="shared" si="39"/>
        <v>0</v>
      </c>
    </row>
    <row r="507" spans="1:4">
      <c r="A507" s="25"/>
      <c r="B507" s="34"/>
      <c r="C507" s="2">
        <f t="shared" si="38"/>
        <v>0</v>
      </c>
      <c r="D507" s="27">
        <f t="shared" si="39"/>
        <v>0</v>
      </c>
    </row>
    <row r="508" spans="1:4">
      <c r="C508" s="2">
        <f t="shared" si="38"/>
        <v>0</v>
      </c>
      <c r="D508" s="27">
        <f t="shared" si="39"/>
        <v>0</v>
      </c>
    </row>
    <row r="509" spans="1:4">
      <c r="C509" s="2">
        <f t="shared" si="38"/>
        <v>0</v>
      </c>
      <c r="D509" s="27">
        <f t="shared" si="39"/>
        <v>0</v>
      </c>
    </row>
    <row r="510" spans="1:4">
      <c r="A510" s="26"/>
      <c r="C510" s="2">
        <f t="shared" si="38"/>
        <v>0</v>
      </c>
      <c r="D510" s="27">
        <f t="shared" si="39"/>
        <v>0</v>
      </c>
    </row>
    <row r="511" spans="1:4">
      <c r="C511" s="2">
        <f t="shared" si="38"/>
        <v>0</v>
      </c>
      <c r="D511" s="27">
        <f t="shared" si="39"/>
        <v>0</v>
      </c>
    </row>
    <row r="512" spans="1:4">
      <c r="A512" s="26"/>
      <c r="C512" s="2">
        <f t="shared" si="38"/>
        <v>0</v>
      </c>
      <c r="D512" s="27">
        <f t="shared" si="39"/>
        <v>0</v>
      </c>
    </row>
    <row r="513" spans="1:4">
      <c r="C513" s="2">
        <f t="shared" si="38"/>
        <v>0</v>
      </c>
      <c r="D513" s="27">
        <f t="shared" si="39"/>
        <v>0</v>
      </c>
    </row>
    <row r="514" spans="1:4">
      <c r="C514" s="2">
        <f t="shared" si="38"/>
        <v>0</v>
      </c>
      <c r="D514" s="27">
        <f t="shared" si="39"/>
        <v>0</v>
      </c>
    </row>
    <row r="515" spans="1:4">
      <c r="C515" s="2">
        <f t="shared" ref="C515:C578" si="41">SUMIFS($G$2:$G$65,$F$2:$F$65,$A515)</f>
        <v>0</v>
      </c>
      <c r="D515" s="27">
        <f t="shared" ref="D515:D578" si="42" xml:space="preserve"> $B515-$C515</f>
        <v>0</v>
      </c>
    </row>
    <row r="516" spans="1:4">
      <c r="C516" s="2">
        <f t="shared" si="41"/>
        <v>0</v>
      </c>
      <c r="D516" s="27">
        <f t="shared" si="42"/>
        <v>0</v>
      </c>
    </row>
    <row r="517" spans="1:4">
      <c r="C517" s="2">
        <f t="shared" si="41"/>
        <v>0</v>
      </c>
      <c r="D517" s="27">
        <f t="shared" si="42"/>
        <v>0</v>
      </c>
    </row>
    <row r="518" spans="1:4">
      <c r="C518" s="2">
        <f t="shared" si="41"/>
        <v>0</v>
      </c>
      <c r="D518" s="27">
        <f t="shared" si="42"/>
        <v>0</v>
      </c>
    </row>
    <row r="519" spans="1:4">
      <c r="C519" s="2">
        <f t="shared" si="41"/>
        <v>0</v>
      </c>
      <c r="D519" s="27">
        <f t="shared" si="42"/>
        <v>0</v>
      </c>
    </row>
    <row r="520" spans="1:4">
      <c r="C520" s="2">
        <f t="shared" si="41"/>
        <v>0</v>
      </c>
      <c r="D520" s="27">
        <f t="shared" si="42"/>
        <v>0</v>
      </c>
    </row>
    <row r="521" spans="1:4">
      <c r="C521" s="2">
        <f t="shared" si="41"/>
        <v>0</v>
      </c>
      <c r="D521" s="27">
        <f t="shared" si="42"/>
        <v>0</v>
      </c>
    </row>
    <row r="522" spans="1:4">
      <c r="C522" s="2">
        <f t="shared" si="41"/>
        <v>0</v>
      </c>
      <c r="D522" s="27">
        <f t="shared" si="42"/>
        <v>0</v>
      </c>
    </row>
    <row r="523" spans="1:4">
      <c r="C523" s="2">
        <f t="shared" si="41"/>
        <v>0</v>
      </c>
      <c r="D523" s="27">
        <f t="shared" si="42"/>
        <v>0</v>
      </c>
    </row>
    <row r="524" spans="1:4">
      <c r="C524" s="2">
        <f t="shared" si="41"/>
        <v>0</v>
      </c>
      <c r="D524" s="27">
        <f t="shared" si="42"/>
        <v>0</v>
      </c>
    </row>
    <row r="525" spans="1:4">
      <c r="C525" s="2">
        <f t="shared" si="41"/>
        <v>0</v>
      </c>
      <c r="D525" s="27">
        <f t="shared" si="42"/>
        <v>0</v>
      </c>
    </row>
    <row r="526" spans="1:4">
      <c r="C526" s="2">
        <f t="shared" si="41"/>
        <v>0</v>
      </c>
      <c r="D526" s="27">
        <f t="shared" si="42"/>
        <v>0</v>
      </c>
    </row>
    <row r="527" spans="1:4">
      <c r="C527" s="2">
        <f t="shared" si="41"/>
        <v>0</v>
      </c>
      <c r="D527" s="27">
        <f t="shared" si="42"/>
        <v>0</v>
      </c>
    </row>
    <row r="528" spans="1:4">
      <c r="A528" s="26"/>
      <c r="C528" s="2">
        <f t="shared" si="41"/>
        <v>0</v>
      </c>
      <c r="D528" s="27">
        <f t="shared" si="42"/>
        <v>0</v>
      </c>
    </row>
    <row r="529" spans="1:4">
      <c r="C529" s="2">
        <f t="shared" si="41"/>
        <v>0</v>
      </c>
      <c r="D529" s="27">
        <f t="shared" si="42"/>
        <v>0</v>
      </c>
    </row>
    <row r="530" spans="1:4">
      <c r="C530" s="2">
        <f t="shared" si="41"/>
        <v>0</v>
      </c>
      <c r="D530" s="27">
        <f t="shared" si="42"/>
        <v>0</v>
      </c>
    </row>
    <row r="531" spans="1:4">
      <c r="A531" s="26"/>
      <c r="B531" s="26"/>
      <c r="C531" s="2">
        <f t="shared" si="41"/>
        <v>0</v>
      </c>
      <c r="D531" s="27">
        <f t="shared" si="42"/>
        <v>0</v>
      </c>
    </row>
    <row r="532" spans="1:4">
      <c r="A532" s="26"/>
      <c r="C532" s="2">
        <f t="shared" si="41"/>
        <v>0</v>
      </c>
      <c r="D532" s="27">
        <f t="shared" si="42"/>
        <v>0</v>
      </c>
    </row>
    <row r="533" spans="1:4">
      <c r="A533" s="26"/>
      <c r="B533" s="26"/>
      <c r="C533" s="2">
        <f t="shared" si="41"/>
        <v>0</v>
      </c>
      <c r="D533" s="27">
        <f t="shared" si="42"/>
        <v>0</v>
      </c>
    </row>
    <row r="534" spans="1:4">
      <c r="C534" s="2">
        <f t="shared" si="41"/>
        <v>0</v>
      </c>
      <c r="D534" s="27">
        <f t="shared" si="42"/>
        <v>0</v>
      </c>
    </row>
    <row r="535" spans="1:4">
      <c r="A535" s="26"/>
      <c r="C535" s="2">
        <f t="shared" si="41"/>
        <v>0</v>
      </c>
      <c r="D535" s="27">
        <f t="shared" si="42"/>
        <v>0</v>
      </c>
    </row>
    <row r="536" spans="1:4">
      <c r="C536" s="2">
        <f t="shared" si="41"/>
        <v>0</v>
      </c>
      <c r="D536" s="27">
        <f t="shared" si="42"/>
        <v>0</v>
      </c>
    </row>
    <row r="537" spans="1:4">
      <c r="A537" s="26"/>
      <c r="C537" s="2">
        <f t="shared" si="41"/>
        <v>0</v>
      </c>
      <c r="D537" s="27">
        <f t="shared" si="42"/>
        <v>0</v>
      </c>
    </row>
    <row r="538" spans="1:4">
      <c r="A538" s="25"/>
      <c r="B538" s="34"/>
      <c r="C538" s="2">
        <f t="shared" si="41"/>
        <v>0</v>
      </c>
      <c r="D538" s="27">
        <f t="shared" si="42"/>
        <v>0</v>
      </c>
    </row>
    <row r="539" spans="1:4">
      <c r="A539" s="26"/>
      <c r="C539" s="2">
        <f t="shared" si="41"/>
        <v>0</v>
      </c>
      <c r="D539" s="27">
        <f t="shared" si="42"/>
        <v>0</v>
      </c>
    </row>
    <row r="540" spans="1:4">
      <c r="A540" s="26"/>
      <c r="B540" s="26"/>
      <c r="C540" s="2">
        <f t="shared" si="41"/>
        <v>0</v>
      </c>
      <c r="D540" s="27">
        <f t="shared" si="42"/>
        <v>0</v>
      </c>
    </row>
    <row r="541" spans="1:4">
      <c r="A541" s="26"/>
      <c r="C541" s="2">
        <f t="shared" si="41"/>
        <v>0</v>
      </c>
      <c r="D541" s="27">
        <f t="shared" si="42"/>
        <v>0</v>
      </c>
    </row>
    <row r="542" spans="1:4">
      <c r="C542" s="2">
        <f t="shared" si="41"/>
        <v>0</v>
      </c>
      <c r="D542" s="27">
        <f t="shared" si="42"/>
        <v>0</v>
      </c>
    </row>
    <row r="543" spans="1:4">
      <c r="A543" s="26"/>
      <c r="C543" s="2">
        <f t="shared" si="41"/>
        <v>0</v>
      </c>
      <c r="D543" s="27">
        <f t="shared" si="42"/>
        <v>0</v>
      </c>
    </row>
    <row r="544" spans="1:4">
      <c r="C544" s="2">
        <f t="shared" si="41"/>
        <v>0</v>
      </c>
      <c r="D544" s="27">
        <f t="shared" si="42"/>
        <v>0</v>
      </c>
    </row>
    <row r="545" spans="1:4">
      <c r="C545" s="2">
        <f t="shared" si="41"/>
        <v>0</v>
      </c>
      <c r="D545" s="27">
        <f t="shared" si="42"/>
        <v>0</v>
      </c>
    </row>
    <row r="546" spans="1:4">
      <c r="C546" s="2">
        <f t="shared" si="41"/>
        <v>0</v>
      </c>
      <c r="D546" s="27">
        <f t="shared" si="42"/>
        <v>0</v>
      </c>
    </row>
    <row r="547" spans="1:4">
      <c r="C547" s="2">
        <f t="shared" si="41"/>
        <v>0</v>
      </c>
      <c r="D547" s="27">
        <f t="shared" si="42"/>
        <v>0</v>
      </c>
    </row>
    <row r="548" spans="1:4">
      <c r="C548" s="2">
        <f t="shared" si="41"/>
        <v>0</v>
      </c>
      <c r="D548" s="27">
        <f t="shared" si="42"/>
        <v>0</v>
      </c>
    </row>
    <row r="549" spans="1:4">
      <c r="A549" s="26"/>
      <c r="C549" s="2">
        <f t="shared" si="41"/>
        <v>0</v>
      </c>
      <c r="D549" s="27">
        <f t="shared" si="42"/>
        <v>0</v>
      </c>
    </row>
    <row r="550" spans="1:4">
      <c r="A550" s="26"/>
      <c r="C550" s="2">
        <f t="shared" si="41"/>
        <v>0</v>
      </c>
      <c r="D550" s="27">
        <f t="shared" si="42"/>
        <v>0</v>
      </c>
    </row>
    <row r="551" spans="1:4">
      <c r="C551" s="2">
        <f t="shared" si="41"/>
        <v>0</v>
      </c>
      <c r="D551" s="27">
        <f t="shared" si="42"/>
        <v>0</v>
      </c>
    </row>
    <row r="552" spans="1:4">
      <c r="A552" s="26"/>
      <c r="C552" s="2">
        <f t="shared" si="41"/>
        <v>0</v>
      </c>
      <c r="D552" s="27">
        <f t="shared" si="42"/>
        <v>0</v>
      </c>
    </row>
    <row r="553" spans="1:4">
      <c r="A553" s="26"/>
      <c r="C553" s="2">
        <f t="shared" si="41"/>
        <v>0</v>
      </c>
      <c r="D553" s="27">
        <f t="shared" si="42"/>
        <v>0</v>
      </c>
    </row>
    <row r="554" spans="1:4">
      <c r="A554" s="26"/>
      <c r="C554" s="2">
        <f t="shared" si="41"/>
        <v>0</v>
      </c>
      <c r="D554" s="27">
        <f t="shared" si="42"/>
        <v>0</v>
      </c>
    </row>
    <row r="555" spans="1:4">
      <c r="A555" s="26"/>
      <c r="C555" s="2">
        <f t="shared" si="41"/>
        <v>0</v>
      </c>
      <c r="D555" s="27">
        <f t="shared" si="42"/>
        <v>0</v>
      </c>
    </row>
    <row r="556" spans="1:4">
      <c r="A556" s="26"/>
      <c r="C556" s="2">
        <f t="shared" si="41"/>
        <v>0</v>
      </c>
      <c r="D556" s="27">
        <f t="shared" si="42"/>
        <v>0</v>
      </c>
    </row>
    <row r="557" spans="1:4">
      <c r="A557" s="25"/>
      <c r="C557" s="2">
        <f t="shared" si="41"/>
        <v>0</v>
      </c>
      <c r="D557" s="27">
        <f t="shared" si="42"/>
        <v>0</v>
      </c>
    </row>
    <row r="558" spans="1:4">
      <c r="A558" s="26"/>
      <c r="C558" s="2">
        <f t="shared" si="41"/>
        <v>0</v>
      </c>
      <c r="D558" s="27">
        <f t="shared" si="42"/>
        <v>0</v>
      </c>
    </row>
    <row r="559" spans="1:4">
      <c r="A559" s="25"/>
      <c r="B559" s="34"/>
      <c r="C559" s="2">
        <f t="shared" si="41"/>
        <v>0</v>
      </c>
      <c r="D559" s="27">
        <f t="shared" si="42"/>
        <v>0</v>
      </c>
    </row>
    <row r="560" spans="1:4">
      <c r="A560" s="25"/>
      <c r="B560" s="34"/>
      <c r="C560" s="2">
        <f t="shared" si="41"/>
        <v>0</v>
      </c>
      <c r="D560" s="27">
        <f t="shared" si="42"/>
        <v>0</v>
      </c>
    </row>
    <row r="561" spans="1:4">
      <c r="A561" s="25"/>
      <c r="B561" s="34"/>
      <c r="C561" s="2">
        <f t="shared" si="41"/>
        <v>0</v>
      </c>
      <c r="D561" s="27">
        <f t="shared" si="42"/>
        <v>0</v>
      </c>
    </row>
    <row r="562" spans="1:4">
      <c r="A562" s="25"/>
      <c r="B562" s="34"/>
      <c r="C562" s="2">
        <f t="shared" si="41"/>
        <v>0</v>
      </c>
      <c r="D562" s="27">
        <f t="shared" si="42"/>
        <v>0</v>
      </c>
    </row>
    <row r="563" spans="1:4">
      <c r="C563" s="2">
        <f t="shared" si="41"/>
        <v>0</v>
      </c>
      <c r="D563" s="27">
        <f t="shared" si="42"/>
        <v>0</v>
      </c>
    </row>
    <row r="564" spans="1:4">
      <c r="A564" s="25"/>
      <c r="B564" s="34"/>
      <c r="C564" s="2">
        <f t="shared" si="41"/>
        <v>0</v>
      </c>
      <c r="D564" s="27">
        <f t="shared" si="42"/>
        <v>0</v>
      </c>
    </row>
    <row r="565" spans="1:4">
      <c r="A565" s="26"/>
      <c r="C565" s="2">
        <f t="shared" si="41"/>
        <v>0</v>
      </c>
      <c r="D565" s="27">
        <f t="shared" si="42"/>
        <v>0</v>
      </c>
    </row>
    <row r="566" spans="1:4">
      <c r="C566" s="2">
        <f t="shared" si="41"/>
        <v>0</v>
      </c>
      <c r="D566" s="27">
        <f t="shared" si="42"/>
        <v>0</v>
      </c>
    </row>
    <row r="567" spans="1:4">
      <c r="C567" s="2">
        <f t="shared" si="41"/>
        <v>0</v>
      </c>
      <c r="D567" s="27">
        <f t="shared" si="42"/>
        <v>0</v>
      </c>
    </row>
    <row r="568" spans="1:4">
      <c r="C568" s="2">
        <f t="shared" si="41"/>
        <v>0</v>
      </c>
      <c r="D568" s="27">
        <f t="shared" si="42"/>
        <v>0</v>
      </c>
    </row>
    <row r="569" spans="1:4">
      <c r="C569" s="2">
        <f t="shared" si="41"/>
        <v>0</v>
      </c>
      <c r="D569" s="27">
        <f t="shared" si="42"/>
        <v>0</v>
      </c>
    </row>
    <row r="570" spans="1:4">
      <c r="C570" s="2">
        <f t="shared" si="41"/>
        <v>0</v>
      </c>
      <c r="D570" s="27">
        <f t="shared" si="42"/>
        <v>0</v>
      </c>
    </row>
    <row r="571" spans="1:4">
      <c r="C571" s="2">
        <f t="shared" si="41"/>
        <v>0</v>
      </c>
      <c r="D571" s="27">
        <f t="shared" si="42"/>
        <v>0</v>
      </c>
    </row>
    <row r="572" spans="1:4">
      <c r="C572" s="2">
        <f t="shared" si="41"/>
        <v>0</v>
      </c>
      <c r="D572" s="27">
        <f t="shared" si="42"/>
        <v>0</v>
      </c>
    </row>
    <row r="573" spans="1:4">
      <c r="C573" s="2">
        <f t="shared" si="41"/>
        <v>0</v>
      </c>
      <c r="D573" s="27">
        <f t="shared" si="42"/>
        <v>0</v>
      </c>
    </row>
    <row r="574" spans="1:4">
      <c r="C574" s="2">
        <f t="shared" si="41"/>
        <v>0</v>
      </c>
      <c r="D574" s="27">
        <f t="shared" si="42"/>
        <v>0</v>
      </c>
    </row>
    <row r="575" spans="1:4">
      <c r="A575" s="25"/>
      <c r="B575" s="34"/>
      <c r="C575" s="2">
        <f t="shared" si="41"/>
        <v>0</v>
      </c>
      <c r="D575" s="27">
        <f t="shared" si="42"/>
        <v>0</v>
      </c>
    </row>
    <row r="576" spans="1:4">
      <c r="C576" s="2">
        <f t="shared" si="41"/>
        <v>0</v>
      </c>
      <c r="D576" s="27">
        <f t="shared" si="42"/>
        <v>0</v>
      </c>
    </row>
    <row r="577" spans="1:4">
      <c r="C577" s="2">
        <f t="shared" si="41"/>
        <v>0</v>
      </c>
      <c r="D577" s="27">
        <f t="shared" si="42"/>
        <v>0</v>
      </c>
    </row>
    <row r="578" spans="1:4">
      <c r="C578" s="2">
        <f t="shared" si="41"/>
        <v>0</v>
      </c>
      <c r="D578" s="27">
        <f t="shared" si="42"/>
        <v>0</v>
      </c>
    </row>
    <row r="579" spans="1:4">
      <c r="C579" s="2">
        <f t="shared" ref="C579:C642" si="43">SUMIFS($G$2:$G$65,$F$2:$F$65,$A579)</f>
        <v>0</v>
      </c>
      <c r="D579" s="27">
        <f t="shared" ref="D579:D642" si="44" xml:space="preserve"> $B579-$C579</f>
        <v>0</v>
      </c>
    </row>
    <row r="580" spans="1:4">
      <c r="C580" s="2">
        <f t="shared" si="43"/>
        <v>0</v>
      </c>
      <c r="D580" s="27">
        <f t="shared" si="44"/>
        <v>0</v>
      </c>
    </row>
    <row r="581" spans="1:4">
      <c r="C581" s="2">
        <f t="shared" si="43"/>
        <v>0</v>
      </c>
      <c r="D581" s="27">
        <f t="shared" si="44"/>
        <v>0</v>
      </c>
    </row>
    <row r="582" spans="1:4">
      <c r="C582" s="2">
        <f t="shared" si="43"/>
        <v>0</v>
      </c>
      <c r="D582" s="27">
        <f t="shared" si="44"/>
        <v>0</v>
      </c>
    </row>
    <row r="583" spans="1:4">
      <c r="C583" s="2">
        <f t="shared" si="43"/>
        <v>0</v>
      </c>
      <c r="D583" s="27">
        <f t="shared" si="44"/>
        <v>0</v>
      </c>
    </row>
    <row r="584" spans="1:4">
      <c r="C584" s="2">
        <f t="shared" si="43"/>
        <v>0</v>
      </c>
      <c r="D584" s="27">
        <f t="shared" si="44"/>
        <v>0</v>
      </c>
    </row>
    <row r="585" spans="1:4">
      <c r="C585" s="2">
        <f t="shared" si="43"/>
        <v>0</v>
      </c>
      <c r="D585" s="27">
        <f t="shared" si="44"/>
        <v>0</v>
      </c>
    </row>
    <row r="586" spans="1:4">
      <c r="C586" s="2">
        <f t="shared" si="43"/>
        <v>0</v>
      </c>
      <c r="D586" s="27">
        <f t="shared" si="44"/>
        <v>0</v>
      </c>
    </row>
    <row r="587" spans="1:4">
      <c r="A587" s="25"/>
      <c r="B587" s="34"/>
      <c r="C587" s="2">
        <f t="shared" si="43"/>
        <v>0</v>
      </c>
      <c r="D587" s="27">
        <f t="shared" si="44"/>
        <v>0</v>
      </c>
    </row>
    <row r="588" spans="1:4">
      <c r="C588" s="2">
        <f t="shared" si="43"/>
        <v>0</v>
      </c>
      <c r="D588" s="27">
        <f t="shared" si="44"/>
        <v>0</v>
      </c>
    </row>
    <row r="589" spans="1:4">
      <c r="A589" s="25"/>
      <c r="B589" s="34"/>
      <c r="C589" s="2">
        <f t="shared" si="43"/>
        <v>0</v>
      </c>
      <c r="D589" s="27">
        <f t="shared" si="44"/>
        <v>0</v>
      </c>
    </row>
    <row r="590" spans="1:4">
      <c r="C590" s="2">
        <f t="shared" si="43"/>
        <v>0</v>
      </c>
      <c r="D590" s="27">
        <f t="shared" si="44"/>
        <v>0</v>
      </c>
    </row>
    <row r="591" spans="1:4">
      <c r="B591" s="26"/>
      <c r="C591" s="2">
        <f t="shared" si="43"/>
        <v>0</v>
      </c>
      <c r="D591" s="27">
        <f t="shared" si="44"/>
        <v>0</v>
      </c>
    </row>
    <row r="592" spans="1:4">
      <c r="C592" s="2">
        <f t="shared" si="43"/>
        <v>0</v>
      </c>
      <c r="D592" s="27">
        <f t="shared" si="44"/>
        <v>0</v>
      </c>
    </row>
    <row r="593" spans="1:4">
      <c r="C593" s="2">
        <f t="shared" si="43"/>
        <v>0</v>
      </c>
      <c r="D593" s="27">
        <f t="shared" si="44"/>
        <v>0</v>
      </c>
    </row>
    <row r="594" spans="1:4">
      <c r="C594" s="2">
        <f t="shared" si="43"/>
        <v>0</v>
      </c>
      <c r="D594" s="27">
        <f t="shared" si="44"/>
        <v>0</v>
      </c>
    </row>
    <row r="595" spans="1:4">
      <c r="C595" s="2">
        <f t="shared" si="43"/>
        <v>0</v>
      </c>
      <c r="D595" s="27">
        <f t="shared" si="44"/>
        <v>0</v>
      </c>
    </row>
    <row r="596" spans="1:4">
      <c r="C596" s="2">
        <f t="shared" si="43"/>
        <v>0</v>
      </c>
      <c r="D596" s="27">
        <f t="shared" si="44"/>
        <v>0</v>
      </c>
    </row>
    <row r="597" spans="1:4">
      <c r="C597" s="2">
        <f t="shared" si="43"/>
        <v>0</v>
      </c>
      <c r="D597" s="27">
        <f t="shared" si="44"/>
        <v>0</v>
      </c>
    </row>
    <row r="598" spans="1:4">
      <c r="C598" s="2">
        <f t="shared" si="43"/>
        <v>0</v>
      </c>
      <c r="D598" s="27">
        <f t="shared" si="44"/>
        <v>0</v>
      </c>
    </row>
    <row r="599" spans="1:4">
      <c r="C599" s="2">
        <f t="shared" si="43"/>
        <v>0</v>
      </c>
      <c r="D599" s="27">
        <f t="shared" si="44"/>
        <v>0</v>
      </c>
    </row>
    <row r="600" spans="1:4">
      <c r="C600" s="2">
        <f t="shared" si="43"/>
        <v>0</v>
      </c>
      <c r="D600" s="27">
        <f t="shared" si="44"/>
        <v>0</v>
      </c>
    </row>
    <row r="601" spans="1:4">
      <c r="B601" s="26"/>
      <c r="C601" s="2">
        <f t="shared" si="43"/>
        <v>0</v>
      </c>
      <c r="D601" s="27">
        <f t="shared" si="44"/>
        <v>0</v>
      </c>
    </row>
    <row r="602" spans="1:4">
      <c r="C602" s="2">
        <f t="shared" si="43"/>
        <v>0</v>
      </c>
      <c r="D602" s="27">
        <f t="shared" si="44"/>
        <v>0</v>
      </c>
    </row>
    <row r="603" spans="1:4">
      <c r="C603" s="2">
        <f t="shared" si="43"/>
        <v>0</v>
      </c>
      <c r="D603" s="27">
        <f t="shared" si="44"/>
        <v>0</v>
      </c>
    </row>
    <row r="604" spans="1:4">
      <c r="C604" s="2">
        <f t="shared" si="43"/>
        <v>0</v>
      </c>
      <c r="D604" s="27">
        <f t="shared" si="44"/>
        <v>0</v>
      </c>
    </row>
    <row r="605" spans="1:4">
      <c r="A605" s="25"/>
      <c r="B605" s="34"/>
      <c r="C605" s="2">
        <f t="shared" si="43"/>
        <v>0</v>
      </c>
      <c r="D605" s="27">
        <f t="shared" si="44"/>
        <v>0</v>
      </c>
    </row>
    <row r="606" spans="1:4">
      <c r="C606" s="2">
        <f t="shared" si="43"/>
        <v>0</v>
      </c>
      <c r="D606" s="27">
        <f t="shared" si="44"/>
        <v>0</v>
      </c>
    </row>
    <row r="607" spans="1:4">
      <c r="A607" s="66"/>
      <c r="C607" s="2">
        <f t="shared" si="43"/>
        <v>0</v>
      </c>
      <c r="D607" s="27">
        <f t="shared" si="44"/>
        <v>0</v>
      </c>
    </row>
    <row r="608" spans="1:4">
      <c r="C608" s="2">
        <f t="shared" si="43"/>
        <v>0</v>
      </c>
      <c r="D608" s="27">
        <f t="shared" si="44"/>
        <v>0</v>
      </c>
    </row>
    <row r="609" spans="1:4">
      <c r="C609" s="2">
        <f t="shared" si="43"/>
        <v>0</v>
      </c>
      <c r="D609" s="27">
        <f t="shared" si="44"/>
        <v>0</v>
      </c>
    </row>
    <row r="610" spans="1:4">
      <c r="C610" s="2">
        <f t="shared" si="43"/>
        <v>0</v>
      </c>
      <c r="D610" s="27">
        <f t="shared" si="44"/>
        <v>0</v>
      </c>
    </row>
    <row r="611" spans="1:4">
      <c r="C611" s="2">
        <f t="shared" si="43"/>
        <v>0</v>
      </c>
      <c r="D611" s="27">
        <f t="shared" si="44"/>
        <v>0</v>
      </c>
    </row>
    <row r="612" spans="1:4">
      <c r="B612" s="26"/>
      <c r="C612" s="2">
        <f t="shared" si="43"/>
        <v>0</v>
      </c>
      <c r="D612" s="27">
        <f t="shared" si="44"/>
        <v>0</v>
      </c>
    </row>
    <row r="613" spans="1:4">
      <c r="A613" s="25"/>
      <c r="B613" s="34"/>
      <c r="C613" s="2">
        <f t="shared" si="43"/>
        <v>0</v>
      </c>
      <c r="D613" s="27">
        <f t="shared" si="44"/>
        <v>0</v>
      </c>
    </row>
    <row r="614" spans="1:4">
      <c r="A614" s="26"/>
      <c r="C614" s="2">
        <f t="shared" si="43"/>
        <v>0</v>
      </c>
      <c r="D614" s="27">
        <f t="shared" si="44"/>
        <v>0</v>
      </c>
    </row>
    <row r="615" spans="1:4">
      <c r="A615" s="25"/>
      <c r="B615" s="34"/>
      <c r="C615" s="2">
        <f t="shared" si="43"/>
        <v>0</v>
      </c>
      <c r="D615" s="27">
        <f t="shared" si="44"/>
        <v>0</v>
      </c>
    </row>
    <row r="616" spans="1:4">
      <c r="A616" s="25"/>
      <c r="B616" s="34"/>
      <c r="C616" s="2">
        <f t="shared" si="43"/>
        <v>0</v>
      </c>
      <c r="D616" s="27">
        <f t="shared" si="44"/>
        <v>0</v>
      </c>
    </row>
    <row r="617" spans="1:4">
      <c r="A617" s="26"/>
      <c r="C617" s="2">
        <f t="shared" si="43"/>
        <v>0</v>
      </c>
      <c r="D617" s="27">
        <f t="shared" si="44"/>
        <v>0</v>
      </c>
    </row>
    <row r="618" spans="1:4">
      <c r="C618" s="2">
        <f t="shared" si="43"/>
        <v>0</v>
      </c>
      <c r="D618" s="27">
        <f t="shared" si="44"/>
        <v>0</v>
      </c>
    </row>
    <row r="619" spans="1:4">
      <c r="A619" s="26"/>
      <c r="C619" s="2">
        <f t="shared" si="43"/>
        <v>0</v>
      </c>
      <c r="D619" s="27">
        <f t="shared" si="44"/>
        <v>0</v>
      </c>
    </row>
    <row r="620" spans="1:4">
      <c r="A620" s="26"/>
      <c r="C620" s="2">
        <f t="shared" si="43"/>
        <v>0</v>
      </c>
      <c r="D620" s="27">
        <f t="shared" si="44"/>
        <v>0</v>
      </c>
    </row>
    <row r="621" spans="1:4">
      <c r="A621" s="26"/>
      <c r="C621" s="2">
        <f t="shared" si="43"/>
        <v>0</v>
      </c>
      <c r="D621" s="27">
        <f t="shared" si="44"/>
        <v>0</v>
      </c>
    </row>
    <row r="622" spans="1:4">
      <c r="C622" s="2">
        <f t="shared" si="43"/>
        <v>0</v>
      </c>
      <c r="D622" s="27">
        <f t="shared" si="44"/>
        <v>0</v>
      </c>
    </row>
    <row r="623" spans="1:4">
      <c r="C623" s="2">
        <f t="shared" si="43"/>
        <v>0</v>
      </c>
      <c r="D623" s="27">
        <f t="shared" si="44"/>
        <v>0</v>
      </c>
    </row>
    <row r="624" spans="1:4">
      <c r="A624" s="25"/>
      <c r="B624" s="34"/>
      <c r="C624" s="2">
        <f t="shared" si="43"/>
        <v>0</v>
      </c>
      <c r="D624" s="27">
        <f t="shared" si="44"/>
        <v>0</v>
      </c>
    </row>
    <row r="625" spans="1:4">
      <c r="C625" s="2">
        <f t="shared" si="43"/>
        <v>0</v>
      </c>
      <c r="D625" s="27">
        <f t="shared" si="44"/>
        <v>0</v>
      </c>
    </row>
    <row r="626" spans="1:4">
      <c r="A626" s="26"/>
      <c r="C626" s="2">
        <f t="shared" si="43"/>
        <v>0</v>
      </c>
      <c r="D626" s="27">
        <f t="shared" si="44"/>
        <v>0</v>
      </c>
    </row>
    <row r="627" spans="1:4">
      <c r="C627" s="2">
        <f t="shared" si="43"/>
        <v>0</v>
      </c>
      <c r="D627" s="27">
        <f t="shared" si="44"/>
        <v>0</v>
      </c>
    </row>
    <row r="628" spans="1:4">
      <c r="C628" s="2">
        <f t="shared" si="43"/>
        <v>0</v>
      </c>
      <c r="D628" s="27">
        <f t="shared" si="44"/>
        <v>0</v>
      </c>
    </row>
    <row r="629" spans="1:4">
      <c r="C629" s="2">
        <f t="shared" si="43"/>
        <v>0</v>
      </c>
      <c r="D629" s="27">
        <f t="shared" si="44"/>
        <v>0</v>
      </c>
    </row>
    <row r="630" spans="1:4">
      <c r="C630" s="2">
        <f t="shared" si="43"/>
        <v>0</v>
      </c>
      <c r="D630" s="27">
        <f t="shared" si="44"/>
        <v>0</v>
      </c>
    </row>
    <row r="631" spans="1:4">
      <c r="A631" s="26"/>
      <c r="C631" s="2">
        <f t="shared" si="43"/>
        <v>0</v>
      </c>
      <c r="D631" s="27">
        <f t="shared" si="44"/>
        <v>0</v>
      </c>
    </row>
    <row r="632" spans="1:4">
      <c r="C632" s="2">
        <f t="shared" si="43"/>
        <v>0</v>
      </c>
      <c r="D632" s="27">
        <f t="shared" si="44"/>
        <v>0</v>
      </c>
    </row>
    <row r="633" spans="1:4">
      <c r="C633" s="2">
        <f t="shared" si="43"/>
        <v>0</v>
      </c>
      <c r="D633" s="27">
        <f t="shared" si="44"/>
        <v>0</v>
      </c>
    </row>
    <row r="634" spans="1:4">
      <c r="A634" s="26"/>
      <c r="C634" s="2">
        <f t="shared" si="43"/>
        <v>0</v>
      </c>
      <c r="D634" s="27">
        <f t="shared" si="44"/>
        <v>0</v>
      </c>
    </row>
    <row r="635" spans="1:4">
      <c r="A635" s="26"/>
      <c r="C635" s="2">
        <f t="shared" si="43"/>
        <v>0</v>
      </c>
      <c r="D635" s="27">
        <f t="shared" si="44"/>
        <v>0</v>
      </c>
    </row>
    <row r="636" spans="1:4">
      <c r="C636" s="2">
        <f t="shared" si="43"/>
        <v>0</v>
      </c>
      <c r="D636" s="27">
        <f t="shared" si="44"/>
        <v>0</v>
      </c>
    </row>
    <row r="637" spans="1:4">
      <c r="A637" s="25"/>
      <c r="B637" s="34"/>
      <c r="C637" s="2">
        <f t="shared" si="43"/>
        <v>0</v>
      </c>
      <c r="D637" s="27">
        <f t="shared" si="44"/>
        <v>0</v>
      </c>
    </row>
    <row r="638" spans="1:4">
      <c r="A638" s="26"/>
      <c r="C638" s="2">
        <f t="shared" si="43"/>
        <v>0</v>
      </c>
      <c r="D638" s="27">
        <f t="shared" si="44"/>
        <v>0</v>
      </c>
    </row>
    <row r="639" spans="1:4">
      <c r="C639" s="2">
        <f t="shared" si="43"/>
        <v>0</v>
      </c>
      <c r="D639" s="27">
        <f t="shared" si="44"/>
        <v>0</v>
      </c>
    </row>
    <row r="640" spans="1:4">
      <c r="C640" s="2">
        <f t="shared" si="43"/>
        <v>0</v>
      </c>
      <c r="D640" s="27">
        <f t="shared" si="44"/>
        <v>0</v>
      </c>
    </row>
    <row r="641" spans="1:4">
      <c r="A641" s="25"/>
      <c r="B641" s="34"/>
      <c r="C641" s="2">
        <f t="shared" si="43"/>
        <v>0</v>
      </c>
      <c r="D641" s="27">
        <f t="shared" si="44"/>
        <v>0</v>
      </c>
    </row>
    <row r="642" spans="1:4">
      <c r="C642" s="2">
        <f t="shared" si="43"/>
        <v>0</v>
      </c>
      <c r="D642" s="27">
        <f t="shared" si="44"/>
        <v>0</v>
      </c>
    </row>
    <row r="643" spans="1:4">
      <c r="A643" s="25"/>
      <c r="B643" s="34"/>
      <c r="C643" s="2">
        <f t="shared" ref="C643:C651" si="45">SUMIFS($G$2:$G$65,$F$2:$F$65,$A643)</f>
        <v>0</v>
      </c>
      <c r="D643" s="27">
        <f t="shared" ref="D643:D651" si="46" xml:space="preserve"> $B643-$C643</f>
        <v>0</v>
      </c>
    </row>
    <row r="644" spans="1:4">
      <c r="B644" s="26"/>
      <c r="C644" s="2">
        <f t="shared" si="45"/>
        <v>0</v>
      </c>
      <c r="D644" s="27">
        <f t="shared" si="46"/>
        <v>0</v>
      </c>
    </row>
    <row r="645" spans="1:4">
      <c r="A645" s="25"/>
      <c r="B645" s="34"/>
      <c r="C645" s="2">
        <f t="shared" si="45"/>
        <v>0</v>
      </c>
      <c r="D645" s="27">
        <f t="shared" si="46"/>
        <v>0</v>
      </c>
    </row>
    <row r="646" spans="1:4">
      <c r="C646" s="2">
        <f t="shared" si="45"/>
        <v>0</v>
      </c>
      <c r="D646" s="27">
        <f t="shared" si="46"/>
        <v>0</v>
      </c>
    </row>
    <row r="647" spans="1:4">
      <c r="A647" s="25"/>
      <c r="C647" s="2">
        <f t="shared" si="45"/>
        <v>0</v>
      </c>
      <c r="D647" s="27">
        <f t="shared" si="46"/>
        <v>0</v>
      </c>
    </row>
    <row r="648" spans="1:4">
      <c r="C648" s="2">
        <f t="shared" si="45"/>
        <v>0</v>
      </c>
      <c r="D648" s="27">
        <f t="shared" si="46"/>
        <v>0</v>
      </c>
    </row>
    <row r="649" spans="1:4">
      <c r="C649" s="2">
        <f t="shared" si="45"/>
        <v>0</v>
      </c>
      <c r="D649" s="27">
        <f t="shared" si="46"/>
        <v>0</v>
      </c>
    </row>
    <row r="650" spans="1:4">
      <c r="C650" s="2">
        <f t="shared" si="45"/>
        <v>0</v>
      </c>
      <c r="D650" s="27">
        <f t="shared" si="46"/>
        <v>0</v>
      </c>
    </row>
    <row r="651" spans="1:4">
      <c r="B651" s="26"/>
      <c r="C651" s="2">
        <f t="shared" si="45"/>
        <v>0</v>
      </c>
      <c r="D651" s="27">
        <f t="shared" si="46"/>
        <v>0</v>
      </c>
    </row>
    <row r="652" spans="1:4">
      <c r="C652" s="2"/>
      <c r="D652" s="27"/>
    </row>
    <row r="653" spans="1:4">
      <c r="C653" s="2"/>
      <c r="D653" s="27"/>
    </row>
    <row r="654" spans="1:4">
      <c r="C654" s="2"/>
      <c r="D654" s="27"/>
    </row>
    <row r="655" spans="1:4">
      <c r="C655" s="2"/>
      <c r="D655" s="27"/>
    </row>
    <row r="656" spans="1:4">
      <c r="C656" s="2"/>
      <c r="D656" s="27"/>
    </row>
    <row r="657" spans="1:4">
      <c r="C657" s="2"/>
      <c r="D657" s="27"/>
    </row>
    <row r="658" spans="1:4">
      <c r="C658" s="2"/>
      <c r="D658" s="27"/>
    </row>
    <row r="659" spans="1:4">
      <c r="C659" s="2"/>
      <c r="D659" s="27"/>
    </row>
    <row r="660" spans="1:4">
      <c r="C660" s="2"/>
      <c r="D660" s="27"/>
    </row>
    <row r="661" spans="1:4">
      <c r="A661" s="26"/>
      <c r="C661" s="2"/>
      <c r="D661" s="27"/>
    </row>
    <row r="662" spans="1:4">
      <c r="C662" s="2"/>
      <c r="D662" s="27"/>
    </row>
    <row r="663" spans="1:4">
      <c r="A663" s="26"/>
      <c r="C663" s="2"/>
      <c r="D663" s="27"/>
    </row>
    <row r="664" spans="1:4">
      <c r="C664" s="2"/>
      <c r="D664" s="27"/>
    </row>
    <row r="665" spans="1:4">
      <c r="A665" s="26"/>
      <c r="C665" s="2"/>
      <c r="D665" s="27"/>
    </row>
    <row r="666" spans="1:4">
      <c r="C666" s="2"/>
      <c r="D666" s="27"/>
    </row>
    <row r="667" spans="1:4">
      <c r="A667" s="26"/>
      <c r="C667" s="2"/>
      <c r="D667" s="27"/>
    </row>
    <row r="668" spans="1:4">
      <c r="C668" s="2"/>
      <c r="D668" s="27"/>
    </row>
    <row r="669" spans="1:4">
      <c r="A669" s="26"/>
      <c r="C669" s="2"/>
      <c r="D669" s="27"/>
    </row>
    <row r="670" spans="1:4">
      <c r="C670" s="2"/>
      <c r="D670" s="27"/>
    </row>
    <row r="671" spans="1:4">
      <c r="A671" s="26"/>
      <c r="C671" s="2"/>
      <c r="D671" s="27"/>
    </row>
    <row r="672" spans="1:4">
      <c r="A672" s="25"/>
      <c r="B672" s="34"/>
      <c r="C672" s="2"/>
      <c r="D672" s="27"/>
    </row>
    <row r="673" spans="1:4">
      <c r="A673" s="26"/>
      <c r="C673" s="2"/>
      <c r="D673" s="27"/>
    </row>
    <row r="674" spans="1:4">
      <c r="A674" s="26"/>
      <c r="C674" s="2"/>
      <c r="D674" s="27"/>
    </row>
    <row r="675" spans="1:4">
      <c r="A675" s="26"/>
      <c r="C675" s="2"/>
      <c r="D675" s="27"/>
    </row>
    <row r="676" spans="1:4">
      <c r="A676" s="26"/>
      <c r="C676" s="2"/>
      <c r="D676" s="27"/>
    </row>
    <row r="677" spans="1:4">
      <c r="A677" s="26"/>
      <c r="C677" s="2"/>
      <c r="D677" s="27"/>
    </row>
    <row r="678" spans="1:4">
      <c r="A678" s="26"/>
      <c r="C678" s="2"/>
      <c r="D678" s="27"/>
    </row>
    <row r="679" spans="1:4">
      <c r="A679" s="26"/>
      <c r="C679" s="2"/>
      <c r="D679" s="27"/>
    </row>
    <row r="680" spans="1:4">
      <c r="A680" s="26"/>
      <c r="C680" s="2"/>
      <c r="D680" s="27"/>
    </row>
    <row r="681" spans="1:4">
      <c r="A681" s="26"/>
      <c r="C681" s="2"/>
      <c r="D681" s="27"/>
    </row>
    <row r="682" spans="1:4">
      <c r="A682" s="26"/>
      <c r="C682" s="2"/>
      <c r="D682" s="27"/>
    </row>
    <row r="683" spans="1:4">
      <c r="A683" s="26"/>
      <c r="C683" s="2"/>
      <c r="D683" s="27"/>
    </row>
    <row r="684" spans="1:4">
      <c r="A684" s="25"/>
      <c r="B684" s="34"/>
      <c r="C684" s="2"/>
      <c r="D684" s="27"/>
    </row>
    <row r="685" spans="1:4">
      <c r="A685" s="26"/>
      <c r="C685" s="2"/>
      <c r="D685" s="27"/>
    </row>
    <row r="686" spans="1:4">
      <c r="A686" s="26"/>
      <c r="C686" s="2"/>
      <c r="D686" s="27"/>
    </row>
    <row r="687" spans="1:4">
      <c r="A687" s="26"/>
      <c r="C687" s="2"/>
      <c r="D687" s="27"/>
    </row>
    <row r="688" spans="1:4">
      <c r="A688" s="26"/>
      <c r="C688" s="2"/>
      <c r="D688" s="27"/>
    </row>
    <row r="689" spans="1:4">
      <c r="A689" s="26"/>
      <c r="C689" s="2"/>
      <c r="D689" s="27"/>
    </row>
    <row r="690" spans="1:4">
      <c r="A690" s="26"/>
      <c r="C690" s="2"/>
      <c r="D690" s="27"/>
    </row>
    <row r="691" spans="1:4">
      <c r="A691" s="26"/>
      <c r="C691" s="2"/>
      <c r="D691" s="27"/>
    </row>
    <row r="692" spans="1:4">
      <c r="A692" s="26"/>
      <c r="C692" s="2"/>
      <c r="D692" s="27"/>
    </row>
    <row r="693" spans="1:4">
      <c r="A693" s="26"/>
      <c r="C693" s="2"/>
      <c r="D693" s="27"/>
    </row>
    <row r="694" spans="1:4">
      <c r="A694" s="26"/>
      <c r="C694" s="2"/>
      <c r="D694" s="27"/>
    </row>
    <row r="695" spans="1:4">
      <c r="A695" s="26"/>
      <c r="C695" s="2"/>
      <c r="D695" s="27"/>
    </row>
    <row r="696" spans="1:4">
      <c r="A696" s="26"/>
      <c r="C696" s="2"/>
      <c r="D696" s="27"/>
    </row>
    <row r="697" spans="1:4">
      <c r="A697" s="26"/>
      <c r="C697" s="2"/>
      <c r="D697" s="27"/>
    </row>
    <row r="698" spans="1:4">
      <c r="A698" s="26"/>
      <c r="C698" s="2"/>
      <c r="D698" s="27"/>
    </row>
    <row r="699" spans="1:4">
      <c r="A699" s="26"/>
      <c r="C699" s="2"/>
      <c r="D699" s="27"/>
    </row>
    <row r="700" spans="1:4">
      <c r="A700" s="25"/>
      <c r="B700" s="34"/>
      <c r="C700" s="2"/>
      <c r="D700" s="27"/>
    </row>
    <row r="701" spans="1:4">
      <c r="A701" s="25"/>
      <c r="B701" s="34"/>
      <c r="C701" s="2"/>
      <c r="D701" s="27"/>
    </row>
    <row r="702" spans="1:4">
      <c r="A702" s="25"/>
      <c r="B702" s="34"/>
      <c r="C702" s="2"/>
      <c r="D702" s="27"/>
    </row>
    <row r="703" spans="1:4">
      <c r="A703" s="26"/>
      <c r="C703" s="2"/>
      <c r="D703" s="27"/>
    </row>
    <row r="704" spans="1:4">
      <c r="A704" s="26"/>
      <c r="C704" s="2"/>
      <c r="D704" s="27"/>
    </row>
    <row r="705" spans="1:4">
      <c r="A705" s="26"/>
      <c r="C705" s="2"/>
      <c r="D705" s="27"/>
    </row>
    <row r="706" spans="1:4">
      <c r="A706" s="25"/>
      <c r="B706" s="34"/>
      <c r="C706" s="2"/>
      <c r="D706" s="27"/>
    </row>
    <row r="707" spans="1:4">
      <c r="A707" s="25"/>
      <c r="B707" s="34"/>
      <c r="C707" s="2"/>
      <c r="D707" s="27"/>
    </row>
    <row r="708" spans="1:4">
      <c r="A708" s="25"/>
      <c r="B708" s="34"/>
      <c r="C708" s="2"/>
      <c r="D708" s="27"/>
    </row>
    <row r="709" spans="1:4">
      <c r="A709" s="25"/>
      <c r="B709" s="34"/>
      <c r="C709" s="2"/>
      <c r="D709" s="27"/>
    </row>
    <row r="710" spans="1:4">
      <c r="A710" s="26"/>
      <c r="C710" s="2"/>
      <c r="D710" s="27"/>
    </row>
    <row r="711" spans="1:4">
      <c r="A711" s="26"/>
      <c r="C711" s="2"/>
      <c r="D711" s="27"/>
    </row>
    <row r="712" spans="1:4">
      <c r="A712" s="26"/>
      <c r="C712" s="2"/>
      <c r="D712" s="27"/>
    </row>
    <row r="713" spans="1:4">
      <c r="A713" s="26"/>
      <c r="C713" s="2"/>
      <c r="D713" s="27"/>
    </row>
    <row r="714" spans="1:4">
      <c r="A714" s="26"/>
      <c r="C714" s="2"/>
      <c r="D714" s="27"/>
    </row>
    <row r="715" spans="1:4">
      <c r="A715" s="25"/>
      <c r="B715" s="34"/>
      <c r="C715" s="2"/>
      <c r="D715" s="27"/>
    </row>
    <row r="716" spans="1:4">
      <c r="A716" s="26"/>
      <c r="C716" s="2"/>
      <c r="D716" s="27"/>
    </row>
    <row r="717" spans="1:4">
      <c r="A717" s="26"/>
      <c r="C717" s="2"/>
      <c r="D717" s="27"/>
    </row>
    <row r="718" spans="1:4">
      <c r="A718" s="26"/>
      <c r="C718" s="2"/>
      <c r="D718" s="27"/>
    </row>
    <row r="719" spans="1:4">
      <c r="A719" s="25"/>
      <c r="B719" s="34"/>
      <c r="C719" s="2"/>
      <c r="D719" s="27"/>
    </row>
    <row r="720" spans="1:4">
      <c r="A720" s="26"/>
      <c r="C720" s="2"/>
      <c r="D720" s="27"/>
    </row>
    <row r="721" spans="1:4">
      <c r="A721" s="26"/>
      <c r="C721" s="2"/>
      <c r="D721" s="27"/>
    </row>
    <row r="722" spans="1:4">
      <c r="A722" s="26"/>
      <c r="C722" s="2"/>
      <c r="D722" s="27"/>
    </row>
    <row r="723" spans="1:4">
      <c r="A723" s="26"/>
      <c r="C723" s="2"/>
      <c r="D723" s="27"/>
    </row>
    <row r="724" spans="1:4">
      <c r="A724" s="26"/>
      <c r="C724" s="2"/>
      <c r="D724" s="27"/>
    </row>
    <row r="725" spans="1:4">
      <c r="A725" s="26"/>
      <c r="C725" s="2"/>
      <c r="D725" s="27"/>
    </row>
    <row r="726" spans="1:4">
      <c r="A726" s="26"/>
      <c r="C726" s="2"/>
      <c r="D726" s="27"/>
    </row>
    <row r="727" spans="1:4">
      <c r="A727" s="26"/>
      <c r="C727" s="2"/>
      <c r="D727" s="27"/>
    </row>
    <row r="728" spans="1:4">
      <c r="A728" s="25"/>
      <c r="B728" s="34"/>
      <c r="C728" s="2"/>
      <c r="D728" s="27"/>
    </row>
    <row r="729" spans="1:4">
      <c r="A729" s="26"/>
      <c r="C729" s="2"/>
      <c r="D729" s="27"/>
    </row>
    <row r="730" spans="1:4">
      <c r="A730" s="26"/>
      <c r="C730" s="2"/>
      <c r="D730" s="27"/>
    </row>
    <row r="731" spans="1:4">
      <c r="A731" s="26"/>
      <c r="C731" s="2"/>
      <c r="D731" s="27"/>
    </row>
    <row r="732" spans="1:4">
      <c r="A732" s="26"/>
      <c r="C732" s="2"/>
      <c r="D732" s="27"/>
    </row>
    <row r="733" spans="1:4">
      <c r="A733" s="26"/>
      <c r="C733" s="2"/>
      <c r="D733" s="27"/>
    </row>
    <row r="734" spans="1:4">
      <c r="A734" s="26"/>
      <c r="C734" s="2"/>
      <c r="D734" s="27"/>
    </row>
    <row r="735" spans="1:4">
      <c r="A735" s="25"/>
      <c r="B735" s="34"/>
      <c r="C735" s="2"/>
      <c r="D735" s="27"/>
    </row>
    <row r="736" spans="1:4">
      <c r="A736" s="25"/>
      <c r="B736" s="34"/>
      <c r="C736" s="2"/>
      <c r="D736" s="27"/>
    </row>
    <row r="737" spans="1:4">
      <c r="A737" s="26"/>
      <c r="C737" s="2"/>
      <c r="D737" s="27"/>
    </row>
    <row r="738" spans="1:4">
      <c r="A738" s="26"/>
      <c r="C738" s="2"/>
      <c r="D738" s="27"/>
    </row>
    <row r="739" spans="1:4">
      <c r="A739" s="25"/>
      <c r="B739" s="34"/>
      <c r="C739" s="2"/>
      <c r="D739" s="27"/>
    </row>
    <row r="740" spans="1:4">
      <c r="A740" s="26"/>
      <c r="C740" s="2"/>
      <c r="D740" s="27"/>
    </row>
    <row r="741" spans="1:4">
      <c r="A741" s="26"/>
      <c r="C741" s="2"/>
      <c r="D741" s="27"/>
    </row>
    <row r="742" spans="1:4">
      <c r="A742" s="25"/>
      <c r="B742" s="34"/>
      <c r="C742" s="2"/>
      <c r="D742" s="27"/>
    </row>
    <row r="743" spans="1:4">
      <c r="A743" s="26"/>
      <c r="C743" s="2"/>
      <c r="D743" s="27"/>
    </row>
    <row r="744" spans="1:4">
      <c r="A744" s="25"/>
      <c r="B744" s="34"/>
      <c r="C744" s="2"/>
      <c r="D744" s="27"/>
    </row>
    <row r="745" spans="1:4">
      <c r="C745" s="2"/>
      <c r="D745" s="27"/>
    </row>
    <row r="746" spans="1:4">
      <c r="A746" s="26"/>
      <c r="C746" s="2"/>
      <c r="D746" s="27"/>
    </row>
    <row r="747" spans="1:4">
      <c r="A747" s="25"/>
      <c r="B747" s="34"/>
      <c r="C747" s="2"/>
      <c r="D747" s="27"/>
    </row>
    <row r="748" spans="1:4">
      <c r="A748" s="25"/>
      <c r="B748" s="34"/>
      <c r="C748" s="2"/>
      <c r="D748" s="27"/>
    </row>
    <row r="749" spans="1:4">
      <c r="C749" s="2"/>
      <c r="D749" s="27"/>
    </row>
    <row r="750" spans="1:4">
      <c r="C750" s="2"/>
      <c r="D750" s="27"/>
    </row>
    <row r="751" spans="1:4">
      <c r="C751" s="2"/>
      <c r="D751" s="27"/>
    </row>
    <row r="752" spans="1:4">
      <c r="C752" s="2"/>
      <c r="D752" s="27"/>
    </row>
    <row r="753" spans="1:4">
      <c r="A753" s="25"/>
      <c r="B753" s="34"/>
      <c r="C753" s="2"/>
      <c r="D753" s="27"/>
    </row>
    <row r="754" spans="1:4">
      <c r="C754" s="2"/>
      <c r="D754" s="27"/>
    </row>
    <row r="755" spans="1:4">
      <c r="C755" s="2"/>
      <c r="D755" s="27"/>
    </row>
    <row r="756" spans="1:4">
      <c r="C756" s="2"/>
      <c r="D756" s="27"/>
    </row>
    <row r="757" spans="1:4">
      <c r="A757" s="25"/>
      <c r="B757" s="34"/>
      <c r="C757" s="2"/>
      <c r="D757" s="27"/>
    </row>
    <row r="758" spans="1:4">
      <c r="A758" s="25"/>
      <c r="B758" s="34"/>
      <c r="C758" s="2"/>
      <c r="D758" s="27"/>
    </row>
    <row r="759" spans="1:4">
      <c r="C759" s="2"/>
      <c r="D759" s="27"/>
    </row>
    <row r="760" spans="1:4">
      <c r="C760" s="2"/>
      <c r="D760" s="27"/>
    </row>
    <row r="761" spans="1:4">
      <c r="C761" s="2"/>
      <c r="D761" s="27"/>
    </row>
    <row r="762" spans="1:4">
      <c r="A762" s="25"/>
      <c r="B762" s="34"/>
      <c r="C762" s="2"/>
      <c r="D762" s="27"/>
    </row>
    <row r="763" spans="1:4">
      <c r="C763" s="2"/>
      <c r="D763" s="27"/>
    </row>
    <row r="764" spans="1:4">
      <c r="C764" s="2"/>
      <c r="D764" s="27"/>
    </row>
    <row r="765" spans="1:4">
      <c r="C765" s="2"/>
      <c r="D765" s="27"/>
    </row>
    <row r="766" spans="1:4">
      <c r="A766" s="26"/>
      <c r="C766" s="2"/>
      <c r="D766" s="27"/>
    </row>
    <row r="767" spans="1:4">
      <c r="A767" s="26"/>
      <c r="C767" s="2"/>
      <c r="D767" s="27"/>
    </row>
    <row r="768" spans="1:4">
      <c r="A768" s="26"/>
      <c r="C768" s="2"/>
      <c r="D768" s="27"/>
    </row>
    <row r="769" spans="1:4">
      <c r="A769" s="26"/>
      <c r="C769" s="2"/>
      <c r="D769" s="27"/>
    </row>
    <row r="770" spans="1:4">
      <c r="A770" s="26"/>
      <c r="C770" s="2"/>
      <c r="D770" s="27"/>
    </row>
    <row r="771" spans="1:4">
      <c r="A771" s="26"/>
      <c r="C771" s="2"/>
      <c r="D771" s="27"/>
    </row>
    <row r="772" spans="1:4">
      <c r="A772" s="25"/>
      <c r="B772" s="34"/>
      <c r="C772" s="2"/>
      <c r="D772" s="27"/>
    </row>
    <row r="773" spans="1:4">
      <c r="A773" s="26"/>
      <c r="C773" s="2"/>
      <c r="D773" s="27"/>
    </row>
    <row r="774" spans="1:4">
      <c r="A774" s="26"/>
      <c r="C774" s="2"/>
      <c r="D774" s="27"/>
    </row>
    <row r="775" spans="1:4">
      <c r="A775" s="26"/>
      <c r="C775" s="2"/>
      <c r="D775" s="27"/>
    </row>
    <row r="776" spans="1:4">
      <c r="A776" s="26"/>
      <c r="C776" s="2"/>
      <c r="D776" s="27"/>
    </row>
    <row r="777" spans="1:4">
      <c r="A777" s="25"/>
      <c r="B777" s="34"/>
      <c r="C777" s="2"/>
      <c r="D777" s="27"/>
    </row>
    <row r="778" spans="1:4">
      <c r="C778" s="2"/>
      <c r="D778" s="27"/>
    </row>
    <row r="779" spans="1:4">
      <c r="C779" s="2"/>
      <c r="D779" s="27"/>
    </row>
    <row r="780" spans="1:4">
      <c r="C780" s="2"/>
      <c r="D780" s="27"/>
    </row>
    <row r="781" spans="1:4">
      <c r="A781" s="25"/>
      <c r="B781" s="34"/>
      <c r="C781" s="2"/>
      <c r="D781" s="27"/>
    </row>
    <row r="782" spans="1:4">
      <c r="C782" s="2"/>
      <c r="D782" s="27"/>
    </row>
    <row r="783" spans="1:4">
      <c r="C783" s="2"/>
      <c r="D783" s="27"/>
    </row>
    <row r="784" spans="1:4">
      <c r="A784" s="25"/>
      <c r="B784" s="34"/>
      <c r="C784" s="2"/>
      <c r="D784" s="27"/>
    </row>
    <row r="785" spans="1:4">
      <c r="C785" s="2"/>
      <c r="D785" s="27"/>
    </row>
    <row r="786" spans="1:4">
      <c r="C786" s="2"/>
      <c r="D786" s="27"/>
    </row>
    <row r="787" spans="1:4">
      <c r="C787" s="2"/>
      <c r="D787" s="27"/>
    </row>
    <row r="788" spans="1:4">
      <c r="C788" s="2"/>
      <c r="D788" s="27"/>
    </row>
    <row r="789" spans="1:4">
      <c r="C789" s="2"/>
      <c r="D789" s="27"/>
    </row>
    <row r="790" spans="1:4">
      <c r="A790" s="25"/>
      <c r="B790" s="34"/>
      <c r="C790" s="2"/>
      <c r="D790" s="27"/>
    </row>
    <row r="791" spans="1:4">
      <c r="A791" s="26"/>
      <c r="C791" s="2"/>
      <c r="D791" s="27"/>
    </row>
    <row r="792" spans="1:4">
      <c r="A792" s="26"/>
      <c r="C792" s="2"/>
      <c r="D792" s="27"/>
    </row>
    <row r="793" spans="1:4">
      <c r="A793" s="26"/>
      <c r="C793" s="2"/>
      <c r="D793" s="27"/>
    </row>
    <row r="794" spans="1:4">
      <c r="A794" s="25"/>
      <c r="B794" s="34"/>
      <c r="C794" s="2"/>
      <c r="D794" s="27"/>
    </row>
    <row r="795" spans="1:4">
      <c r="C795" s="2"/>
      <c r="D795" s="27"/>
    </row>
    <row r="796" spans="1:4">
      <c r="C796" s="2"/>
      <c r="D796" s="27"/>
    </row>
    <row r="797" spans="1:4">
      <c r="C797" s="2"/>
      <c r="D797" s="27"/>
    </row>
    <row r="798" spans="1:4">
      <c r="C798" s="2"/>
      <c r="D798" s="27"/>
    </row>
    <row r="799" spans="1:4">
      <c r="C799" s="2"/>
      <c r="D799" s="27"/>
    </row>
    <row r="800" spans="1:4">
      <c r="A800" s="25"/>
      <c r="B800" s="34"/>
      <c r="C800" s="2"/>
      <c r="D800" s="27"/>
    </row>
    <row r="801" spans="1:4">
      <c r="C801" s="2"/>
      <c r="D801" s="27"/>
    </row>
    <row r="802" spans="1:4">
      <c r="C802" s="2"/>
      <c r="D802" s="27"/>
    </row>
    <row r="803" spans="1:4">
      <c r="C803" s="2"/>
      <c r="D803" s="27"/>
    </row>
    <row r="804" spans="1:4">
      <c r="C804" s="2"/>
      <c r="D804" s="27"/>
    </row>
    <row r="805" spans="1:4">
      <c r="C805" s="2"/>
      <c r="D805" s="27"/>
    </row>
    <row r="806" spans="1:4">
      <c r="C806" s="2"/>
      <c r="D806" s="27"/>
    </row>
    <row r="807" spans="1:4">
      <c r="C807" s="2"/>
      <c r="D807" s="27"/>
    </row>
    <row r="808" spans="1:4">
      <c r="A808" s="25"/>
      <c r="B808" s="34"/>
      <c r="C808" s="2"/>
      <c r="D808" s="27"/>
    </row>
    <row r="809" spans="1:4">
      <c r="C809" s="2"/>
      <c r="D809" s="27"/>
    </row>
    <row r="810" spans="1:4">
      <c r="C810" s="2"/>
      <c r="D810" s="27"/>
    </row>
    <row r="811" spans="1:4">
      <c r="C811" s="2"/>
      <c r="D811" s="27"/>
    </row>
    <row r="812" spans="1:4">
      <c r="C812" s="2"/>
      <c r="D812" s="27"/>
    </row>
    <row r="813" spans="1:4">
      <c r="C813" s="2"/>
      <c r="D813" s="27"/>
    </row>
    <row r="814" spans="1:4">
      <c r="C814" s="2"/>
      <c r="D814" s="27"/>
    </row>
    <row r="815" spans="1:4">
      <c r="C815" s="2"/>
      <c r="D815" s="27"/>
    </row>
    <row r="816" spans="1:4">
      <c r="C816" s="2"/>
      <c r="D816" s="27"/>
    </row>
    <row r="817" spans="1:4">
      <c r="C817" s="2"/>
      <c r="D817" s="27"/>
    </row>
    <row r="818" spans="1:4">
      <c r="C818" s="2"/>
      <c r="D818" s="27"/>
    </row>
    <row r="819" spans="1:4">
      <c r="C819" s="2"/>
      <c r="D819" s="27"/>
    </row>
    <row r="820" spans="1:4">
      <c r="C820" s="2"/>
      <c r="D820" s="27"/>
    </row>
    <row r="821" spans="1:4">
      <c r="C821" s="2"/>
      <c r="D821" s="27"/>
    </row>
    <row r="822" spans="1:4">
      <c r="A822" s="25"/>
      <c r="B822" s="34"/>
      <c r="C822" s="2"/>
      <c r="D822" s="27"/>
    </row>
    <row r="823" spans="1:4">
      <c r="C823" s="2"/>
      <c r="D823" s="27"/>
    </row>
    <row r="824" spans="1:4">
      <c r="C824" s="2"/>
      <c r="D824" s="27"/>
    </row>
    <row r="825" spans="1:4">
      <c r="C825" s="2"/>
      <c r="D825" s="27"/>
    </row>
    <row r="826" spans="1:4">
      <c r="C826" s="2"/>
      <c r="D826" s="27"/>
    </row>
    <row r="827" spans="1:4">
      <c r="C827" s="2"/>
      <c r="D827" s="27"/>
    </row>
    <row r="828" spans="1:4">
      <c r="C828" s="2"/>
      <c r="D828" s="27"/>
    </row>
    <row r="829" spans="1:4">
      <c r="C829" s="2"/>
      <c r="D829" s="27"/>
    </row>
    <row r="830" spans="1:4">
      <c r="C830" s="2"/>
      <c r="D830" s="27"/>
    </row>
    <row r="831" spans="1:4">
      <c r="C831" s="2"/>
      <c r="D831" s="27"/>
    </row>
    <row r="832" spans="1:4">
      <c r="C832" s="2"/>
      <c r="D832" s="27"/>
    </row>
    <row r="833" spans="1:4">
      <c r="C833" s="2"/>
      <c r="D833" s="27"/>
    </row>
    <row r="834" spans="1:4">
      <c r="C834" s="2"/>
      <c r="D834" s="27"/>
    </row>
    <row r="835" spans="1:4">
      <c r="C835" s="2"/>
      <c r="D835" s="27"/>
    </row>
    <row r="836" spans="1:4">
      <c r="C836" s="2"/>
      <c r="D836" s="27"/>
    </row>
    <row r="837" spans="1:4">
      <c r="C837" s="2"/>
      <c r="D837" s="27"/>
    </row>
    <row r="838" spans="1:4">
      <c r="A838" s="25"/>
      <c r="B838" s="34"/>
      <c r="C838" s="2"/>
      <c r="D838" s="27"/>
    </row>
    <row r="839" spans="1:4">
      <c r="C839" s="2"/>
      <c r="D839" s="27"/>
    </row>
    <row r="840" spans="1:4">
      <c r="C840" s="2"/>
      <c r="D840" s="27"/>
    </row>
    <row r="841" spans="1:4">
      <c r="A841" s="25"/>
      <c r="B841" s="34"/>
      <c r="C841" s="2"/>
      <c r="D841" s="27"/>
    </row>
    <row r="842" spans="1:4">
      <c r="C842" s="2"/>
      <c r="D842" s="27"/>
    </row>
    <row r="843" spans="1:4">
      <c r="C843" s="2"/>
      <c r="D843" s="27"/>
    </row>
    <row r="844" spans="1:4">
      <c r="C844" s="2"/>
      <c r="D844" s="27"/>
    </row>
    <row r="845" spans="1:4">
      <c r="C845" s="2"/>
      <c r="D845" s="27"/>
    </row>
    <row r="846" spans="1:4">
      <c r="C846" s="2"/>
      <c r="D846" s="27"/>
    </row>
    <row r="847" spans="1:4">
      <c r="C847" s="2"/>
      <c r="D847" s="27"/>
    </row>
    <row r="848" spans="1:4">
      <c r="A848" s="25"/>
      <c r="B848" s="34"/>
      <c r="C848" s="2"/>
      <c r="D848" s="27"/>
    </row>
    <row r="849" spans="1:4">
      <c r="A849" s="25"/>
      <c r="B849" s="34"/>
      <c r="C849" s="2"/>
      <c r="D849" s="27"/>
    </row>
    <row r="850" spans="1:4">
      <c r="C850" s="2"/>
      <c r="D850" s="27"/>
    </row>
    <row r="851" spans="1:4">
      <c r="A851" s="25"/>
      <c r="B851" s="34"/>
      <c r="C851" s="2"/>
      <c r="D851" s="27"/>
    </row>
    <row r="852" spans="1:4">
      <c r="A852" s="25"/>
      <c r="B852" s="34"/>
      <c r="C852" s="2"/>
      <c r="D852" s="27"/>
    </row>
    <row r="853" spans="1:4">
      <c r="A853" s="25"/>
      <c r="C853" s="2"/>
      <c r="D853" s="27"/>
    </row>
    <row r="854" spans="1:4">
      <c r="C854" s="2"/>
      <c r="D854" s="27"/>
    </row>
    <row r="855" spans="1:4">
      <c r="C855" s="2"/>
      <c r="D855" s="27"/>
    </row>
    <row r="856" spans="1:4">
      <c r="C856" s="2"/>
      <c r="D856" s="27"/>
    </row>
    <row r="857" spans="1:4">
      <c r="C857" s="2"/>
      <c r="D857" s="27"/>
    </row>
    <row r="858" spans="1:4">
      <c r="C858" s="2"/>
      <c r="D858" s="27"/>
    </row>
    <row r="859" spans="1:4">
      <c r="C859" s="2"/>
      <c r="D859" s="27"/>
    </row>
    <row r="860" spans="1:4">
      <c r="C860" s="2"/>
      <c r="D860" s="27"/>
    </row>
    <row r="861" spans="1:4">
      <c r="A861" s="25"/>
      <c r="B861" s="34"/>
      <c r="C861" s="2"/>
      <c r="D861" s="27"/>
    </row>
    <row r="862" spans="1:4">
      <c r="A862" s="25"/>
      <c r="B862" s="34"/>
      <c r="C862" s="2"/>
      <c r="D862" s="27"/>
    </row>
    <row r="863" spans="1:4">
      <c r="C863" s="2"/>
      <c r="D863" s="27"/>
    </row>
    <row r="864" spans="1:4">
      <c r="C864" s="2"/>
      <c r="D864" s="27"/>
    </row>
    <row r="865" spans="1:4">
      <c r="C865" s="2"/>
      <c r="D865" s="27"/>
    </row>
    <row r="866" spans="1:4">
      <c r="C866" s="2"/>
      <c r="D866" s="27"/>
    </row>
    <row r="867" spans="1:4">
      <c r="C867" s="2"/>
      <c r="D867" s="27"/>
    </row>
    <row r="868" spans="1:4">
      <c r="C868" s="2"/>
      <c r="D868" s="27"/>
    </row>
    <row r="869" spans="1:4">
      <c r="A869" s="26"/>
      <c r="C869" s="2"/>
      <c r="D869" s="27"/>
    </row>
    <row r="870" spans="1:4">
      <c r="A870" s="25"/>
      <c r="C870" s="2"/>
      <c r="D870" s="27"/>
    </row>
    <row r="871" spans="1:4">
      <c r="A871" s="26"/>
      <c r="C871" s="2"/>
      <c r="D871" s="27"/>
    </row>
    <row r="872" spans="1:4">
      <c r="A872" s="26"/>
      <c r="C872" s="2"/>
      <c r="D872" s="27"/>
    </row>
    <row r="873" spans="1:4">
      <c r="A873" s="26"/>
      <c r="C873" s="2"/>
      <c r="D873" s="27"/>
    </row>
    <row r="874" spans="1:4">
      <c r="A874" s="26"/>
      <c r="C874" s="2"/>
      <c r="D874" s="27"/>
    </row>
    <row r="875" spans="1:4">
      <c r="A875" s="26"/>
      <c r="C875" s="2"/>
      <c r="D875" s="27"/>
    </row>
    <row r="876" spans="1:4">
      <c r="A876" s="26"/>
      <c r="C876" s="2"/>
      <c r="D876" s="27"/>
    </row>
    <row r="877" spans="1:4">
      <c r="A877" s="26"/>
      <c r="C877" s="2"/>
      <c r="D877" s="27"/>
    </row>
    <row r="878" spans="1:4">
      <c r="C878" s="2"/>
      <c r="D878" s="27"/>
    </row>
    <row r="879" spans="1:4">
      <c r="C879" s="2"/>
      <c r="D879" s="27"/>
    </row>
    <row r="880" spans="1:4">
      <c r="A880" s="25"/>
      <c r="B880" s="34"/>
      <c r="C880" s="2"/>
      <c r="D880" s="27"/>
    </row>
    <row r="881" spans="1:4">
      <c r="C881" s="2"/>
      <c r="D881" s="27"/>
    </row>
    <row r="882" spans="1:4">
      <c r="C882" s="2"/>
      <c r="D882" s="27"/>
    </row>
    <row r="883" spans="1:4">
      <c r="C883" s="2"/>
      <c r="D883" s="27"/>
    </row>
    <row r="884" spans="1:4">
      <c r="C884" s="2"/>
      <c r="D884" s="27"/>
    </row>
    <row r="885" spans="1:4">
      <c r="C885" s="2"/>
      <c r="D885" s="27"/>
    </row>
    <row r="886" spans="1:4">
      <c r="C886" s="2"/>
      <c r="D886" s="27"/>
    </row>
    <row r="887" spans="1:4">
      <c r="A887" s="25"/>
      <c r="B887" s="34"/>
      <c r="C887" s="2"/>
      <c r="D887" s="27"/>
    </row>
    <row r="888" spans="1:4">
      <c r="C888" s="2"/>
      <c r="D888" s="27"/>
    </row>
    <row r="889" spans="1:4">
      <c r="C889" s="2"/>
      <c r="D889" s="27"/>
    </row>
    <row r="890" spans="1:4">
      <c r="C890" s="2"/>
      <c r="D890" s="27"/>
    </row>
    <row r="891" spans="1:4">
      <c r="C891" s="2"/>
      <c r="D891" s="27"/>
    </row>
    <row r="892" spans="1:4">
      <c r="C892" s="2"/>
      <c r="D892" s="27"/>
    </row>
    <row r="893" spans="1:4">
      <c r="C893" s="2"/>
      <c r="D893" s="27"/>
    </row>
    <row r="894" spans="1:4">
      <c r="C894" s="2"/>
      <c r="D894" s="27"/>
    </row>
    <row r="895" spans="1:4">
      <c r="C895" s="2"/>
      <c r="D895" s="27"/>
    </row>
    <row r="896" spans="1:4">
      <c r="C896" s="2"/>
      <c r="D896" s="27"/>
    </row>
    <row r="897" spans="1:4">
      <c r="C897" s="2"/>
      <c r="D897" s="27"/>
    </row>
    <row r="898" spans="1:4">
      <c r="C898" s="2"/>
      <c r="D898" s="27"/>
    </row>
    <row r="899" spans="1:4">
      <c r="A899" s="25"/>
      <c r="B899" s="34"/>
      <c r="C899" s="2"/>
      <c r="D899" s="27"/>
    </row>
    <row r="900" spans="1:4">
      <c r="A900" s="26"/>
      <c r="C900" s="2"/>
      <c r="D900" s="27"/>
    </row>
    <row r="901" spans="1:4">
      <c r="C901" s="2"/>
      <c r="D901" s="27"/>
    </row>
    <row r="902" spans="1:4">
      <c r="C902" s="2"/>
      <c r="D902" s="27"/>
    </row>
    <row r="903" spans="1:4">
      <c r="C903" s="2"/>
      <c r="D903" s="27"/>
    </row>
    <row r="904" spans="1:4">
      <c r="C904" s="2"/>
      <c r="D904" s="27"/>
    </row>
    <row r="905" spans="1:4">
      <c r="C905" s="2"/>
      <c r="D905" s="27"/>
    </row>
    <row r="906" spans="1:4">
      <c r="C906" s="2"/>
      <c r="D906" s="27"/>
    </row>
    <row r="907" spans="1:4">
      <c r="A907" s="25"/>
      <c r="B907" s="34"/>
      <c r="C907" s="2"/>
      <c r="D907" s="27"/>
    </row>
    <row r="908" spans="1:4">
      <c r="C908" s="2"/>
      <c r="D908" s="27"/>
    </row>
    <row r="909" spans="1:4">
      <c r="C909" s="2"/>
      <c r="D909" s="27"/>
    </row>
    <row r="910" spans="1:4">
      <c r="A910" s="26"/>
      <c r="C910" s="2"/>
      <c r="D910" s="27"/>
    </row>
    <row r="911" spans="1:4">
      <c r="C911" s="2"/>
      <c r="D911" s="27"/>
    </row>
    <row r="912" spans="1:4">
      <c r="C912" s="2"/>
      <c r="D912" s="27"/>
    </row>
    <row r="913" spans="1:4">
      <c r="C913" s="2"/>
      <c r="D913" s="27"/>
    </row>
    <row r="914" spans="1:4">
      <c r="C914" s="2"/>
      <c r="D914" s="27"/>
    </row>
    <row r="915" spans="1:4">
      <c r="C915" s="2"/>
      <c r="D915" s="27"/>
    </row>
    <row r="916" spans="1:4">
      <c r="C916" s="2"/>
      <c r="D916" s="27"/>
    </row>
    <row r="917" spans="1:4">
      <c r="C917" s="2"/>
      <c r="D917" s="27"/>
    </row>
    <row r="918" spans="1:4">
      <c r="C918" s="2"/>
      <c r="D918" s="27"/>
    </row>
    <row r="919" spans="1:4">
      <c r="C919" s="2"/>
      <c r="D919" s="27"/>
    </row>
    <row r="920" spans="1:4">
      <c r="A920" s="25"/>
      <c r="B920" s="34"/>
      <c r="C920" s="2"/>
      <c r="D920" s="27"/>
    </row>
    <row r="921" spans="1:4">
      <c r="A921" s="25"/>
      <c r="B921" s="34"/>
      <c r="C921" s="2"/>
      <c r="D921" s="27"/>
    </row>
    <row r="922" spans="1:4">
      <c r="C922" s="2"/>
      <c r="D922" s="27"/>
    </row>
    <row r="923" spans="1:4">
      <c r="C923" s="2"/>
      <c r="D923" s="27"/>
    </row>
    <row r="924" spans="1:4">
      <c r="C924" s="2"/>
      <c r="D924" s="27"/>
    </row>
    <row r="925" spans="1:4">
      <c r="C925" s="2"/>
      <c r="D925" s="27"/>
    </row>
    <row r="926" spans="1:4">
      <c r="C926" s="2"/>
      <c r="D926" s="27"/>
    </row>
    <row r="927" spans="1:4">
      <c r="C927" s="2"/>
      <c r="D927" s="27"/>
    </row>
    <row r="928" spans="1:4">
      <c r="C928" s="2"/>
      <c r="D928" s="27"/>
    </row>
    <row r="929" spans="1:4">
      <c r="C929" s="2"/>
      <c r="D929" s="27"/>
    </row>
    <row r="930" spans="1:4">
      <c r="C930" s="2"/>
      <c r="D930" s="27"/>
    </row>
    <row r="931" spans="1:4">
      <c r="C931" s="2"/>
      <c r="D931" s="27"/>
    </row>
    <row r="932" spans="1:4">
      <c r="C932" s="2"/>
      <c r="D932" s="27"/>
    </row>
    <row r="933" spans="1:4">
      <c r="A933" s="26"/>
      <c r="C933" s="2"/>
      <c r="D933" s="27"/>
    </row>
    <row r="934" spans="1:4">
      <c r="C934" s="2"/>
      <c r="D934" s="27"/>
    </row>
    <row r="935" spans="1:4">
      <c r="A935" s="26"/>
      <c r="C935" s="2"/>
      <c r="D935" s="27"/>
    </row>
    <row r="936" spans="1:4">
      <c r="A936" s="26"/>
      <c r="C936" s="2"/>
      <c r="D936" s="27"/>
    </row>
    <row r="937" spans="1:4">
      <c r="A937" s="26"/>
      <c r="C937" s="2"/>
      <c r="D937" s="27"/>
    </row>
    <row r="938" spans="1:4">
      <c r="A938" s="25"/>
      <c r="B938" s="34"/>
      <c r="C938" s="2"/>
      <c r="D938" s="27"/>
    </row>
    <row r="939" spans="1:4">
      <c r="A939" s="26"/>
      <c r="C939" s="2"/>
      <c r="D939" s="27"/>
    </row>
    <row r="940" spans="1:4">
      <c r="A940" s="26"/>
      <c r="C940" s="2"/>
      <c r="D940" s="27"/>
    </row>
    <row r="941" spans="1:4">
      <c r="A941" s="26"/>
      <c r="C941" s="2"/>
      <c r="D941" s="27"/>
    </row>
    <row r="942" spans="1:4">
      <c r="A942" s="26"/>
      <c r="C942" s="2"/>
      <c r="D942" s="27"/>
    </row>
    <row r="943" spans="1:4">
      <c r="C943" s="2"/>
      <c r="D943" s="27"/>
    </row>
    <row r="944" spans="1:4">
      <c r="C944" s="2"/>
      <c r="D944" s="27"/>
    </row>
    <row r="945" spans="1:4">
      <c r="C945" s="2"/>
      <c r="D945" s="27"/>
    </row>
    <row r="946" spans="1:4">
      <c r="C946" s="2"/>
      <c r="D946" s="27"/>
    </row>
    <row r="947" spans="1:4">
      <c r="C947" s="2"/>
      <c r="D947" s="27"/>
    </row>
    <row r="948" spans="1:4">
      <c r="C948" s="2"/>
      <c r="D948" s="27"/>
    </row>
    <row r="949" spans="1:4">
      <c r="A949" s="25"/>
      <c r="B949" s="34"/>
      <c r="C949" s="2"/>
      <c r="D949" s="27"/>
    </row>
    <row r="950" spans="1:4">
      <c r="A950" s="25"/>
      <c r="B950" s="34"/>
      <c r="C950" s="2"/>
      <c r="D950" s="27"/>
    </row>
    <row r="951" spans="1:4">
      <c r="A951" s="25"/>
      <c r="B951" s="34"/>
      <c r="C951" s="2"/>
      <c r="D951" s="27"/>
    </row>
    <row r="952" spans="1:4">
      <c r="C952" s="2"/>
      <c r="D952" s="27"/>
    </row>
    <row r="953" spans="1:4">
      <c r="C953" s="2"/>
      <c r="D953" s="27"/>
    </row>
    <row r="954" spans="1:4">
      <c r="C954" s="2"/>
      <c r="D954" s="27"/>
    </row>
    <row r="955" spans="1:4">
      <c r="C955" s="2"/>
      <c r="D955" s="27"/>
    </row>
    <row r="956" spans="1:4">
      <c r="C956" s="2"/>
      <c r="D956" s="27"/>
    </row>
    <row r="957" spans="1:4">
      <c r="C957" s="2"/>
      <c r="D957" s="27"/>
    </row>
    <row r="958" spans="1:4">
      <c r="A958" s="25"/>
      <c r="B958" s="34"/>
      <c r="C958" s="2"/>
      <c r="D958" s="27"/>
    </row>
    <row r="959" spans="1:4">
      <c r="C959" s="2"/>
      <c r="D959" s="27"/>
    </row>
    <row r="960" spans="1:4">
      <c r="A960" s="25"/>
      <c r="B960" s="34"/>
      <c r="C960" s="2"/>
      <c r="D960" s="27"/>
    </row>
    <row r="961" spans="1:4">
      <c r="C961" s="2"/>
      <c r="D961" s="27"/>
    </row>
    <row r="962" spans="1:4">
      <c r="A962" s="25"/>
      <c r="B962" s="34"/>
      <c r="C962" s="2"/>
      <c r="D962" s="27"/>
    </row>
    <row r="963" spans="1:4">
      <c r="A963" s="25"/>
      <c r="B963" s="34"/>
      <c r="C963" s="2"/>
      <c r="D963" s="27"/>
    </row>
    <row r="964" spans="1:4">
      <c r="C964" s="2"/>
      <c r="D964" s="27"/>
    </row>
    <row r="965" spans="1:4">
      <c r="C965" s="2"/>
      <c r="D965" s="27"/>
    </row>
    <row r="966" spans="1:4">
      <c r="C966" s="2"/>
      <c r="D966" s="27"/>
    </row>
    <row r="967" spans="1:4">
      <c r="C967" s="2"/>
      <c r="D967" s="27"/>
    </row>
    <row r="968" spans="1:4">
      <c r="A968" s="25"/>
      <c r="B968" s="34"/>
      <c r="C968" s="2"/>
      <c r="D968" s="27"/>
    </row>
    <row r="969" spans="1:4">
      <c r="A969" s="25"/>
      <c r="B969" s="34"/>
      <c r="C969" s="2"/>
      <c r="D969" s="27"/>
    </row>
    <row r="970" spans="1:4">
      <c r="C970" s="2"/>
      <c r="D970" s="27"/>
    </row>
    <row r="971" spans="1:4">
      <c r="C971" s="2"/>
      <c r="D971" s="27"/>
    </row>
    <row r="972" spans="1:4">
      <c r="C972" s="2"/>
      <c r="D972" s="27"/>
    </row>
    <row r="973" spans="1:4">
      <c r="C973" s="2"/>
      <c r="D973" s="27"/>
    </row>
    <row r="974" spans="1:4">
      <c r="C974" s="2"/>
      <c r="D974" s="27"/>
    </row>
    <row r="975" spans="1:4">
      <c r="C975" s="2"/>
      <c r="D975" s="27"/>
    </row>
    <row r="976" spans="1:4">
      <c r="C976" s="2"/>
      <c r="D976" s="27"/>
    </row>
    <row r="977" spans="1:4">
      <c r="A977" s="25"/>
      <c r="B977" s="34"/>
      <c r="C977" s="2"/>
      <c r="D977" s="27"/>
    </row>
    <row r="978" spans="1:4">
      <c r="A978" s="26"/>
      <c r="C978" s="2"/>
      <c r="D978" s="27"/>
    </row>
    <row r="979" spans="1:4">
      <c r="A979" s="26"/>
      <c r="C979" s="2"/>
      <c r="D979" s="27"/>
    </row>
    <row r="980" spans="1:4">
      <c r="A980" s="26"/>
      <c r="C980" s="2"/>
      <c r="D980" s="27"/>
    </row>
    <row r="981" spans="1:4">
      <c r="A981" s="26"/>
      <c r="C981" s="2"/>
      <c r="D981" s="27"/>
    </row>
    <row r="982" spans="1:4">
      <c r="A982" s="26"/>
      <c r="C982" s="2"/>
      <c r="D982" s="27"/>
    </row>
    <row r="983" spans="1:4">
      <c r="A983" s="26"/>
      <c r="C983" s="2"/>
      <c r="D983" s="27"/>
    </row>
    <row r="984" spans="1:4">
      <c r="A984" s="26"/>
      <c r="C984" s="2"/>
      <c r="D984" s="27"/>
    </row>
    <row r="985" spans="1:4">
      <c r="A985" s="26"/>
      <c r="C985" s="2"/>
      <c r="D985" s="27"/>
    </row>
    <row r="986" spans="1:4">
      <c r="C986" s="2"/>
      <c r="D986" s="27"/>
    </row>
    <row r="987" spans="1:4">
      <c r="C987" s="2"/>
      <c r="D987" s="27"/>
    </row>
    <row r="988" spans="1:4">
      <c r="C988" s="2"/>
      <c r="D988" s="27"/>
    </row>
    <row r="989" spans="1:4">
      <c r="C989" s="2"/>
      <c r="D989" s="27"/>
    </row>
    <row r="990" spans="1:4">
      <c r="C990" s="2"/>
      <c r="D990" s="27"/>
    </row>
    <row r="991" spans="1:4">
      <c r="C991" s="2"/>
      <c r="D991" s="27"/>
    </row>
    <row r="992" spans="1:4">
      <c r="C992" s="2"/>
      <c r="D992" s="27"/>
    </row>
    <row r="993" spans="1:4">
      <c r="C993" s="2"/>
      <c r="D993" s="27"/>
    </row>
    <row r="994" spans="1:4">
      <c r="A994" s="26"/>
      <c r="C994" s="2"/>
      <c r="D994" s="27"/>
    </row>
    <row r="995" spans="1:4">
      <c r="A995" s="25"/>
      <c r="B995" s="34"/>
      <c r="C995" s="2"/>
      <c r="D995" s="27"/>
    </row>
    <row r="996" spans="1:4">
      <c r="C996" s="2"/>
      <c r="D996" s="27"/>
    </row>
    <row r="997" spans="1:4">
      <c r="C997" s="2"/>
      <c r="D997" s="27"/>
    </row>
    <row r="998" spans="1:4">
      <c r="A998" s="26"/>
      <c r="C998" s="2"/>
      <c r="D998" s="27"/>
    </row>
    <row r="999" spans="1:4">
      <c r="A999" s="26"/>
      <c r="C999" s="2"/>
      <c r="D999" s="27"/>
    </row>
    <row r="1000" spans="1:4">
      <c r="A1000" s="25"/>
      <c r="B1000" s="34"/>
      <c r="C1000" s="2"/>
      <c r="D1000" s="27"/>
    </row>
    <row r="1001" spans="1:4">
      <c r="A1001" s="26"/>
      <c r="C1001" s="2"/>
      <c r="D1001" s="27"/>
    </row>
    <row r="1002" spans="1:4">
      <c r="A1002" s="25"/>
      <c r="B1002" s="34"/>
      <c r="C1002" s="2"/>
      <c r="D1002" s="27"/>
    </row>
    <row r="1003" spans="1:4">
      <c r="A1003" s="25"/>
      <c r="B1003" s="34"/>
      <c r="C1003" s="2"/>
      <c r="D1003" s="27"/>
    </row>
    <row r="1004" spans="1:4">
      <c r="C1004" s="2"/>
      <c r="D1004" s="27"/>
    </row>
    <row r="1005" spans="1:4">
      <c r="A1005" s="25"/>
      <c r="B1005" s="34"/>
      <c r="C1005" s="2"/>
      <c r="D1005" s="27"/>
    </row>
    <row r="1006" spans="1:4">
      <c r="C1006" s="2"/>
      <c r="D1006" s="27"/>
    </row>
    <row r="1007" spans="1:4">
      <c r="C1007" s="2"/>
      <c r="D1007" s="27"/>
    </row>
    <row r="1008" spans="1:4">
      <c r="C1008" s="2"/>
      <c r="D1008" s="27"/>
    </row>
    <row r="1009" spans="1:4">
      <c r="A1009" s="25"/>
      <c r="B1009" s="34"/>
      <c r="C1009" s="2"/>
      <c r="D1009" s="27"/>
    </row>
    <row r="1010" spans="1:4">
      <c r="C1010" s="2"/>
      <c r="D1010" s="27"/>
    </row>
    <row r="1011" spans="1:4">
      <c r="A1011" s="25"/>
      <c r="B1011" s="34"/>
      <c r="C1011" s="2"/>
      <c r="D1011" s="27"/>
    </row>
    <row r="1012" spans="1:4">
      <c r="A1012" s="25"/>
      <c r="B1012" s="34"/>
      <c r="C1012" s="2"/>
      <c r="D1012" s="27"/>
    </row>
    <row r="1013" spans="1:4">
      <c r="C1013" s="2"/>
      <c r="D1013" s="27"/>
    </row>
    <row r="1014" spans="1:4">
      <c r="C1014" s="2"/>
      <c r="D1014" s="27"/>
    </row>
    <row r="1015" spans="1:4">
      <c r="C1015" s="2"/>
      <c r="D1015" s="27"/>
    </row>
    <row r="1016" spans="1:4">
      <c r="C1016" s="2"/>
      <c r="D1016" s="27"/>
    </row>
    <row r="1017" spans="1:4">
      <c r="C1017" s="2"/>
      <c r="D1017" s="27"/>
    </row>
    <row r="1018" spans="1:4">
      <c r="C1018" s="2"/>
      <c r="D1018" s="27"/>
    </row>
    <row r="1019" spans="1:4">
      <c r="C1019" s="2"/>
      <c r="D1019" s="27"/>
    </row>
    <row r="1020" spans="1:4">
      <c r="C1020" s="2"/>
      <c r="D1020" s="27"/>
    </row>
    <row r="1021" spans="1:4">
      <c r="A1021" s="25"/>
      <c r="B1021" s="34"/>
      <c r="C1021" s="2"/>
      <c r="D1021" s="27"/>
    </row>
    <row r="1022" spans="1:4">
      <c r="A1022" s="25"/>
      <c r="B1022" s="34"/>
      <c r="C1022" s="2"/>
      <c r="D1022" s="27"/>
    </row>
    <row r="1023" spans="1:4">
      <c r="A1023" s="25"/>
      <c r="C1023" s="2"/>
      <c r="D1023" s="27"/>
    </row>
    <row r="1024" spans="1:4">
      <c r="C1024" s="2"/>
      <c r="D1024" s="27"/>
    </row>
    <row r="1025" spans="1:4">
      <c r="A1025" s="25"/>
      <c r="B1025" s="34"/>
      <c r="C1025" s="2"/>
      <c r="D1025" s="27"/>
    </row>
    <row r="1026" spans="1:4">
      <c r="A1026" s="25"/>
      <c r="B1026" s="34"/>
      <c r="C1026" s="2"/>
      <c r="D1026" s="27"/>
    </row>
    <row r="1027" spans="1:4">
      <c r="C1027" s="2"/>
      <c r="D1027" s="27"/>
    </row>
    <row r="1028" spans="1:4">
      <c r="C1028" s="2"/>
      <c r="D1028" s="27"/>
    </row>
    <row r="1029" spans="1:4">
      <c r="C1029" s="2"/>
      <c r="D1029" s="27"/>
    </row>
    <row r="1030" spans="1:4">
      <c r="C1030" s="2"/>
      <c r="D1030" s="27"/>
    </row>
    <row r="1031" spans="1:4">
      <c r="A1031" s="25"/>
      <c r="B1031" s="34"/>
      <c r="C1031" s="2"/>
      <c r="D1031" s="27"/>
    </row>
    <row r="1032" spans="1:4">
      <c r="C1032" s="2"/>
      <c r="D1032" s="27"/>
    </row>
    <row r="1033" spans="1:4">
      <c r="C1033" s="2"/>
      <c r="D1033" s="27"/>
    </row>
    <row r="1034" spans="1:4">
      <c r="A1034" s="26"/>
      <c r="C1034" s="2"/>
      <c r="D1034" s="27"/>
    </row>
    <row r="1035" spans="1:4">
      <c r="C1035" s="2"/>
      <c r="D1035" s="27"/>
    </row>
    <row r="1036" spans="1:4">
      <c r="C1036" s="2"/>
      <c r="D1036" s="27"/>
    </row>
    <row r="1037" spans="1:4">
      <c r="A1037" s="26"/>
      <c r="C1037" s="2"/>
      <c r="D1037" s="27"/>
    </row>
    <row r="1038" spans="1:4">
      <c r="C1038" s="2"/>
      <c r="D1038" s="27"/>
    </row>
    <row r="1039" spans="1:4">
      <c r="A1039" s="26"/>
      <c r="C1039" s="2"/>
      <c r="D1039" s="27"/>
    </row>
    <row r="1040" spans="1:4">
      <c r="A1040" s="25"/>
      <c r="B1040" s="34"/>
      <c r="C1040" s="2"/>
      <c r="D1040" s="27"/>
    </row>
    <row r="1041" spans="1:4">
      <c r="A1041" s="25"/>
      <c r="B1041" s="34"/>
      <c r="C1041" s="2"/>
      <c r="D1041" s="27"/>
    </row>
    <row r="1042" spans="1:4">
      <c r="C1042" s="2"/>
      <c r="D1042" s="27"/>
    </row>
    <row r="1043" spans="1:4">
      <c r="C1043" s="2"/>
      <c r="D1043" s="27"/>
    </row>
    <row r="1044" spans="1:4">
      <c r="C1044" s="2"/>
      <c r="D1044" s="27"/>
    </row>
    <row r="1045" spans="1:4">
      <c r="C1045" s="2"/>
      <c r="D1045" s="27"/>
    </row>
    <row r="1046" spans="1:4">
      <c r="C1046" s="2"/>
      <c r="D1046" s="27"/>
    </row>
    <row r="1047" spans="1:4">
      <c r="C1047" s="2"/>
      <c r="D1047" s="27"/>
    </row>
    <row r="1048" spans="1:4">
      <c r="C1048" s="2"/>
      <c r="D1048" s="27"/>
    </row>
    <row r="1049" spans="1:4">
      <c r="C1049" s="2"/>
      <c r="D1049" s="27"/>
    </row>
    <row r="1050" spans="1:4">
      <c r="C1050" s="2"/>
      <c r="D1050" s="27"/>
    </row>
    <row r="1051" spans="1:4">
      <c r="A1051" s="25"/>
      <c r="B1051" s="34"/>
      <c r="C1051" s="2"/>
      <c r="D1051" s="27"/>
    </row>
    <row r="1052" spans="1:4">
      <c r="A1052" s="25"/>
      <c r="C1052" s="2"/>
      <c r="D1052" s="27"/>
    </row>
    <row r="1053" spans="1:4">
      <c r="A1053" s="25"/>
      <c r="C1053" s="2"/>
      <c r="D1053" s="27"/>
    </row>
    <row r="1054" spans="1:4">
      <c r="A1054" s="25"/>
      <c r="B1054" s="34"/>
      <c r="C1054" s="2"/>
      <c r="D1054" s="27"/>
    </row>
    <row r="1055" spans="1:4">
      <c r="A1055" s="25"/>
      <c r="B1055" s="34"/>
      <c r="C1055" s="2"/>
      <c r="D1055" s="27"/>
    </row>
    <row r="1056" spans="1:4">
      <c r="C1056" s="2"/>
      <c r="D1056" s="27"/>
    </row>
    <row r="1057" spans="1:4">
      <c r="C1057" s="2"/>
      <c r="D1057" s="27"/>
    </row>
    <row r="1058" spans="1:4">
      <c r="C1058" s="2"/>
      <c r="D1058" s="27"/>
    </row>
    <row r="1059" spans="1:4">
      <c r="C1059" s="2"/>
      <c r="D1059" s="27"/>
    </row>
    <row r="1060" spans="1:4">
      <c r="C1060" s="2"/>
      <c r="D1060" s="27"/>
    </row>
    <row r="1061" spans="1:4">
      <c r="A1061" s="25"/>
      <c r="B1061" s="34"/>
      <c r="C1061" s="2"/>
      <c r="D1061" s="27"/>
    </row>
    <row r="1062" spans="1:4">
      <c r="C1062" s="2"/>
      <c r="D1062" s="27"/>
    </row>
    <row r="1063" spans="1:4">
      <c r="C1063" s="2"/>
      <c r="D1063" s="27"/>
    </row>
    <row r="1064" spans="1:4">
      <c r="C1064" s="2"/>
      <c r="D1064" s="27"/>
    </row>
    <row r="1065" spans="1:4">
      <c r="C1065" s="2"/>
      <c r="D1065" s="27"/>
    </row>
    <row r="1066" spans="1:4">
      <c r="C1066" s="2"/>
      <c r="D1066" s="27"/>
    </row>
    <row r="1067" spans="1:4">
      <c r="C1067" s="2"/>
      <c r="D1067" s="27"/>
    </row>
    <row r="1068" spans="1:4">
      <c r="C1068" s="2"/>
      <c r="D1068" s="27"/>
    </row>
    <row r="1069" spans="1:4">
      <c r="C1069" s="2"/>
      <c r="D1069" s="27"/>
    </row>
    <row r="1070" spans="1:4">
      <c r="C1070" s="2"/>
      <c r="D1070" s="27"/>
    </row>
    <row r="1071" spans="1:4">
      <c r="C1071" s="2"/>
      <c r="D1071" s="27"/>
    </row>
    <row r="1072" spans="1:4">
      <c r="C1072" s="2"/>
      <c r="D1072" s="27"/>
    </row>
    <row r="1073" spans="1:4">
      <c r="C1073" s="2"/>
      <c r="D1073" s="27"/>
    </row>
    <row r="1074" spans="1:4">
      <c r="C1074" s="2"/>
      <c r="D1074" s="27"/>
    </row>
    <row r="1075" spans="1:4">
      <c r="C1075" s="2"/>
      <c r="D1075" s="27"/>
    </row>
    <row r="1076" spans="1:4">
      <c r="A1076" s="25"/>
      <c r="C1076" s="2"/>
      <c r="D1076" s="27"/>
    </row>
    <row r="1077" spans="1:4">
      <c r="C1077" s="2"/>
      <c r="D1077" s="27"/>
    </row>
    <row r="1078" spans="1:4">
      <c r="A1078" s="25"/>
      <c r="B1078" s="34"/>
      <c r="C1078" s="2"/>
      <c r="D1078" s="27"/>
    </row>
    <row r="1079" spans="1:4">
      <c r="A1079" s="25"/>
      <c r="C1079" s="2"/>
      <c r="D1079" s="27"/>
    </row>
    <row r="1080" spans="1:4">
      <c r="A1080" s="25"/>
      <c r="B1080" s="34"/>
      <c r="C1080" s="2"/>
      <c r="D1080" s="27"/>
    </row>
    <row r="1081" spans="1:4">
      <c r="A1081" s="25"/>
      <c r="B1081" s="34"/>
      <c r="C1081" s="2"/>
      <c r="D1081" s="27"/>
    </row>
    <row r="1082" spans="1:4">
      <c r="A1082" s="25"/>
      <c r="B1082" s="34"/>
      <c r="C1082" s="2"/>
      <c r="D1082" s="27"/>
    </row>
    <row r="1083" spans="1:4">
      <c r="C1083" s="2"/>
      <c r="D1083" s="27"/>
    </row>
    <row r="1084" spans="1:4">
      <c r="A1084" s="25"/>
      <c r="B1084" s="34"/>
      <c r="C1084" s="2"/>
      <c r="D1084" s="27"/>
    </row>
    <row r="1085" spans="1:4">
      <c r="C1085" s="2"/>
      <c r="D1085" s="27"/>
    </row>
    <row r="1086" spans="1:4">
      <c r="A1086" s="25"/>
      <c r="B1086" s="34"/>
      <c r="C1086" s="2"/>
      <c r="D1086" s="27"/>
    </row>
    <row r="1087" spans="1:4">
      <c r="A1087" s="25"/>
      <c r="B1087" s="34"/>
      <c r="C1087" s="2"/>
      <c r="D1087" s="27"/>
    </row>
    <row r="1088" spans="1:4">
      <c r="A1088" s="25"/>
      <c r="C1088" s="2"/>
      <c r="D1088" s="27"/>
    </row>
    <row r="1089" spans="3:4">
      <c r="C1089" s="2"/>
      <c r="D1089" s="27"/>
    </row>
    <row r="1090" spans="3:4">
      <c r="C1090" s="2"/>
      <c r="D1090" s="27"/>
    </row>
    <row r="1091" spans="3:4">
      <c r="C1091" s="2"/>
      <c r="D1091" s="27"/>
    </row>
    <row r="1092" spans="3:4">
      <c r="C1092" s="2"/>
      <c r="D1092" s="27"/>
    </row>
    <row r="1093" spans="3:4">
      <c r="C1093" s="2"/>
      <c r="D1093" s="27"/>
    </row>
    <row r="1094" spans="3:4">
      <c r="C1094" s="2"/>
      <c r="D1094" s="27"/>
    </row>
    <row r="1095" spans="3:4">
      <c r="C1095" s="2"/>
      <c r="D1095" s="27"/>
    </row>
    <row r="1096" spans="3:4">
      <c r="C1096" s="2"/>
      <c r="D1096" s="27"/>
    </row>
    <row r="1097" spans="3:4">
      <c r="C1097" s="2"/>
      <c r="D1097" s="27"/>
    </row>
    <row r="1098" spans="3:4">
      <c r="C1098" s="2"/>
      <c r="D1098" s="27"/>
    </row>
    <row r="1099" spans="3:4">
      <c r="C1099" s="2"/>
      <c r="D1099" s="27"/>
    </row>
    <row r="1100" spans="3:4">
      <c r="C1100" s="2"/>
      <c r="D1100" s="27"/>
    </row>
    <row r="1101" spans="3:4">
      <c r="C1101" s="2"/>
      <c r="D1101" s="27"/>
    </row>
    <row r="1102" spans="3:4">
      <c r="C1102" s="2"/>
      <c r="D1102" s="27"/>
    </row>
    <row r="1103" spans="3:4">
      <c r="C1103" s="2"/>
      <c r="D1103" s="27"/>
    </row>
    <row r="1104" spans="3:4">
      <c r="C1104" s="2"/>
      <c r="D1104" s="27"/>
    </row>
    <row r="1105" spans="1:4">
      <c r="C1105" s="2"/>
      <c r="D1105" s="27"/>
    </row>
    <row r="1106" spans="1:4">
      <c r="C1106" s="2"/>
      <c r="D1106" s="27"/>
    </row>
    <row r="1107" spans="1:4">
      <c r="C1107" s="2"/>
      <c r="D1107" s="27"/>
    </row>
    <row r="1108" spans="1:4">
      <c r="C1108" s="2"/>
      <c r="D1108" s="27"/>
    </row>
    <row r="1109" spans="1:4">
      <c r="C1109" s="2"/>
      <c r="D1109" s="27"/>
    </row>
    <row r="1110" spans="1:4">
      <c r="C1110" s="2"/>
      <c r="D1110" s="27"/>
    </row>
    <row r="1111" spans="1:4">
      <c r="C1111" s="2"/>
      <c r="D1111" s="27"/>
    </row>
    <row r="1112" spans="1:4">
      <c r="C1112" s="2"/>
      <c r="D1112" s="27"/>
    </row>
    <row r="1113" spans="1:4">
      <c r="A1113" s="25"/>
      <c r="B1113" s="34"/>
      <c r="C1113" s="2"/>
      <c r="D1113" s="27"/>
    </row>
    <row r="1114" spans="1:4">
      <c r="C1114" s="2"/>
      <c r="D1114" s="27"/>
    </row>
    <row r="1115" spans="1:4">
      <c r="A1115" s="25"/>
      <c r="B1115" s="34"/>
      <c r="C1115" s="2"/>
      <c r="D1115" s="27"/>
    </row>
    <row r="1116" spans="1:4">
      <c r="C1116" s="2"/>
      <c r="D1116" s="27"/>
    </row>
    <row r="1117" spans="1:4">
      <c r="C1117" s="2"/>
      <c r="D1117" s="27"/>
    </row>
    <row r="1118" spans="1:4">
      <c r="C1118" s="2"/>
      <c r="D1118" s="27"/>
    </row>
    <row r="1119" spans="1:4">
      <c r="C1119" s="2"/>
      <c r="D1119" s="27"/>
    </row>
    <row r="1120" spans="1:4">
      <c r="C1120" s="2"/>
      <c r="D1120" s="27"/>
    </row>
    <row r="1121" spans="1:4">
      <c r="C1121" s="2"/>
      <c r="D1121" s="27"/>
    </row>
    <row r="1122" spans="1:4">
      <c r="C1122" s="2"/>
      <c r="D1122" s="27"/>
    </row>
    <row r="1123" spans="1:4">
      <c r="C1123" s="2"/>
      <c r="D1123" s="27"/>
    </row>
    <row r="1124" spans="1:4">
      <c r="A1124" s="26"/>
      <c r="C1124" s="2"/>
      <c r="D1124" s="27"/>
    </row>
    <row r="1125" spans="1:4">
      <c r="A1125" s="25"/>
      <c r="B1125" s="34"/>
      <c r="C1125" s="2"/>
      <c r="D1125" s="27"/>
    </row>
    <row r="1126" spans="1:4">
      <c r="A1126" s="26"/>
      <c r="C1126" s="2"/>
      <c r="D1126" s="27"/>
    </row>
    <row r="1127" spans="1:4">
      <c r="A1127" s="26"/>
      <c r="C1127" s="2"/>
      <c r="D1127" s="27"/>
    </row>
    <row r="1128" spans="1:4">
      <c r="A1128" s="26"/>
      <c r="C1128" s="2"/>
      <c r="D1128" s="27"/>
    </row>
    <row r="1129" spans="1:4">
      <c r="C1129" s="2"/>
      <c r="D1129" s="27"/>
    </row>
    <row r="1130" spans="1:4">
      <c r="A1130" s="26"/>
      <c r="C1130" s="2"/>
      <c r="D1130" s="27"/>
    </row>
    <row r="1131" spans="1:4">
      <c r="C1131" s="2"/>
      <c r="D1131" s="27"/>
    </row>
    <row r="1132" spans="1:4">
      <c r="A1132" s="26"/>
      <c r="C1132" s="2"/>
      <c r="D1132" s="27"/>
    </row>
    <row r="1133" spans="1:4">
      <c r="C1133" s="2"/>
      <c r="D1133" s="27"/>
    </row>
    <row r="1134" spans="1:4">
      <c r="A1134" s="25"/>
      <c r="B1134" s="34"/>
      <c r="C1134" s="2"/>
      <c r="D1134" s="27"/>
    </row>
    <row r="1135" spans="1:4">
      <c r="C1135" s="2"/>
      <c r="D1135" s="27"/>
    </row>
    <row r="1136" spans="1:4">
      <c r="C1136" s="2"/>
      <c r="D1136" s="27"/>
    </row>
    <row r="1137" spans="1:4">
      <c r="C1137" s="2"/>
      <c r="D1137" s="27"/>
    </row>
    <row r="1138" spans="1:4">
      <c r="A1138" s="26"/>
      <c r="C1138" s="2"/>
      <c r="D1138" s="27"/>
    </row>
    <row r="1139" spans="1:4">
      <c r="C1139" s="2"/>
      <c r="D1139" s="27"/>
    </row>
    <row r="1140" spans="1:4">
      <c r="C1140" s="2"/>
      <c r="D1140" s="27"/>
    </row>
    <row r="1141" spans="1:4">
      <c r="C1141" s="2"/>
      <c r="D1141" s="27"/>
    </row>
    <row r="1142" spans="1:4">
      <c r="A1142" s="26"/>
      <c r="C1142" s="2"/>
      <c r="D1142" s="27"/>
    </row>
    <row r="1143" spans="1:4">
      <c r="A1143" s="26"/>
      <c r="C1143" s="2"/>
      <c r="D1143" s="27"/>
    </row>
    <row r="1144" spans="1:4">
      <c r="A1144" s="26"/>
      <c r="C1144" s="2"/>
      <c r="D1144" s="27"/>
    </row>
    <row r="1145" spans="1:4">
      <c r="A1145" s="26"/>
      <c r="C1145" s="2"/>
      <c r="D1145" s="27"/>
    </row>
    <row r="1146" spans="1:4">
      <c r="A1146" s="25"/>
      <c r="B1146" s="34"/>
      <c r="C1146" s="2"/>
      <c r="D1146" s="27"/>
    </row>
    <row r="1147" spans="1:4">
      <c r="A1147" s="26"/>
      <c r="C1147" s="2"/>
      <c r="D1147" s="27"/>
    </row>
    <row r="1148" spans="1:4">
      <c r="A1148" s="26"/>
      <c r="C1148" s="2"/>
      <c r="D1148" s="27"/>
    </row>
    <row r="1149" spans="1:4">
      <c r="A1149" s="26"/>
      <c r="C1149" s="2"/>
      <c r="D1149" s="27"/>
    </row>
    <row r="1150" spans="1:4">
      <c r="A1150" s="26"/>
      <c r="C1150" s="2"/>
      <c r="D1150" s="27"/>
    </row>
    <row r="1151" spans="1:4">
      <c r="A1151" s="26"/>
      <c r="C1151" s="2"/>
      <c r="D1151" s="27"/>
    </row>
    <row r="1152" spans="1:4">
      <c r="A1152" s="26"/>
      <c r="C1152" s="2"/>
      <c r="D1152" s="27"/>
    </row>
    <row r="1153" spans="1:4">
      <c r="A1153" s="26"/>
      <c r="C1153" s="2"/>
      <c r="D1153" s="27"/>
    </row>
    <row r="1154" spans="1:4">
      <c r="A1154" s="26"/>
      <c r="C1154" s="2"/>
      <c r="D1154" s="27"/>
    </row>
    <row r="1155" spans="1:4">
      <c r="A1155" s="26"/>
      <c r="C1155" s="2"/>
      <c r="D1155" s="27"/>
    </row>
    <row r="1156" spans="1:4">
      <c r="A1156" s="26"/>
      <c r="C1156" s="2"/>
      <c r="D1156" s="27"/>
    </row>
    <row r="1157" spans="1:4">
      <c r="A1157" s="26"/>
      <c r="C1157" s="2"/>
      <c r="D1157" s="27"/>
    </row>
    <row r="1158" spans="1:4">
      <c r="A1158" s="26"/>
      <c r="C1158" s="2"/>
      <c r="D1158" s="27"/>
    </row>
    <row r="1159" spans="1:4">
      <c r="A1159" s="25"/>
      <c r="B1159" s="34"/>
      <c r="C1159" s="2"/>
      <c r="D1159" s="27"/>
    </row>
    <row r="1160" spans="1:4">
      <c r="A1160" s="26"/>
      <c r="C1160" s="2"/>
      <c r="D1160" s="27"/>
    </row>
    <row r="1161" spans="1:4">
      <c r="A1161" s="26"/>
      <c r="C1161" s="2"/>
      <c r="D1161" s="27"/>
    </row>
    <row r="1162" spans="1:4">
      <c r="A1162" s="26"/>
      <c r="C1162" s="2"/>
      <c r="D1162" s="27"/>
    </row>
    <row r="1163" spans="1:4">
      <c r="A1163" s="26"/>
      <c r="C1163" s="2"/>
      <c r="D1163" s="27"/>
    </row>
    <row r="1164" spans="1:4">
      <c r="A1164" s="26"/>
      <c r="C1164" s="2"/>
      <c r="D1164" s="27"/>
    </row>
    <row r="1165" spans="1:4">
      <c r="A1165" s="26"/>
      <c r="C1165" s="2"/>
      <c r="D1165" s="27"/>
    </row>
    <row r="1166" spans="1:4">
      <c r="A1166" s="26"/>
      <c r="C1166" s="2"/>
      <c r="D1166" s="27"/>
    </row>
    <row r="1167" spans="1:4">
      <c r="A1167" s="26"/>
      <c r="C1167" s="2"/>
      <c r="D1167" s="27"/>
    </row>
    <row r="1168" spans="1:4">
      <c r="A1168" s="26"/>
      <c r="C1168" s="2"/>
      <c r="D1168" s="27"/>
    </row>
    <row r="1169" spans="1:4">
      <c r="A1169" s="26"/>
      <c r="C1169" s="2"/>
      <c r="D1169" s="27"/>
    </row>
    <row r="1170" spans="1:4">
      <c r="A1170" s="26"/>
      <c r="C1170" s="2"/>
      <c r="D1170" s="27"/>
    </row>
    <row r="1171" spans="1:4">
      <c r="A1171" s="26"/>
      <c r="C1171" s="2"/>
      <c r="D1171" s="27"/>
    </row>
    <row r="1172" spans="1:4">
      <c r="A1172" s="25"/>
      <c r="B1172" s="34"/>
      <c r="C1172" s="2"/>
      <c r="D1172" s="27"/>
    </row>
    <row r="1173" spans="1:4">
      <c r="C1173" s="2"/>
      <c r="D1173" s="27"/>
    </row>
    <row r="1174" spans="1:4">
      <c r="C1174" s="2"/>
      <c r="D1174" s="27"/>
    </row>
    <row r="1175" spans="1:4">
      <c r="C1175" s="2"/>
      <c r="D1175" s="27"/>
    </row>
    <row r="1176" spans="1:4">
      <c r="C1176" s="2"/>
      <c r="D1176" s="27"/>
    </row>
    <row r="1177" spans="1:4">
      <c r="C1177" s="2"/>
      <c r="D1177" s="27"/>
    </row>
    <row r="1178" spans="1:4">
      <c r="C1178" s="2"/>
      <c r="D1178" s="27"/>
    </row>
    <row r="1179" spans="1:4">
      <c r="C1179" s="2"/>
      <c r="D1179" s="27"/>
    </row>
    <row r="1180" spans="1:4">
      <c r="C1180" s="2"/>
      <c r="D1180" s="27"/>
    </row>
    <row r="1181" spans="1:4">
      <c r="C1181" s="2"/>
      <c r="D1181" s="27"/>
    </row>
    <row r="1182" spans="1:4">
      <c r="C1182" s="2"/>
      <c r="D1182" s="27"/>
    </row>
    <row r="1183" spans="1:4">
      <c r="C1183" s="2"/>
      <c r="D1183" s="27"/>
    </row>
    <row r="1184" spans="1:4">
      <c r="C1184" s="2"/>
      <c r="D1184" s="27"/>
    </row>
    <row r="1185" spans="3:4">
      <c r="C1185" s="2"/>
      <c r="D1185" s="27"/>
    </row>
    <row r="1186" spans="3:4">
      <c r="C1186" s="2"/>
      <c r="D1186" s="27"/>
    </row>
    <row r="1187" spans="3:4">
      <c r="C1187" s="2"/>
      <c r="D1187" s="27"/>
    </row>
    <row r="1188" spans="3:4">
      <c r="C1188" s="2"/>
      <c r="D1188" s="27"/>
    </row>
    <row r="1189" spans="3:4">
      <c r="C1189" s="2"/>
      <c r="D1189" s="27"/>
    </row>
    <row r="1190" spans="3:4">
      <c r="C1190" s="2"/>
      <c r="D1190" s="27"/>
    </row>
    <row r="1191" spans="3:4">
      <c r="C1191" s="2"/>
      <c r="D1191" s="27"/>
    </row>
    <row r="1192" spans="3:4">
      <c r="C1192" s="2"/>
      <c r="D1192" s="27"/>
    </row>
    <row r="1193" spans="3:4">
      <c r="C1193" s="2"/>
      <c r="D1193" s="27"/>
    </row>
    <row r="1194" spans="3:4">
      <c r="C1194" s="2"/>
      <c r="D1194" s="27"/>
    </row>
    <row r="1195" spans="3:4">
      <c r="C1195" s="2"/>
      <c r="D1195" s="27"/>
    </row>
    <row r="1196" spans="3:4">
      <c r="C1196" s="2"/>
      <c r="D1196" s="27"/>
    </row>
    <row r="1197" spans="3:4">
      <c r="C1197" s="2"/>
      <c r="D1197" s="27"/>
    </row>
    <row r="1198" spans="3:4">
      <c r="C1198" s="2"/>
      <c r="D1198" s="27"/>
    </row>
    <row r="1199" spans="3:4">
      <c r="C1199" s="2"/>
      <c r="D1199" s="27"/>
    </row>
    <row r="1200" spans="3:4">
      <c r="C1200" s="2"/>
      <c r="D1200" s="27"/>
    </row>
    <row r="1201" spans="1:4">
      <c r="C1201" s="2"/>
      <c r="D1201" s="27"/>
    </row>
    <row r="1202" spans="1:4">
      <c r="C1202" s="2"/>
      <c r="D1202" s="27"/>
    </row>
    <row r="1203" spans="1:4">
      <c r="A1203" s="25"/>
      <c r="B1203" s="34"/>
      <c r="C1203" s="2"/>
      <c r="D1203" s="27"/>
    </row>
    <row r="1204" spans="1:4">
      <c r="C1204" s="2"/>
      <c r="D1204" s="27"/>
    </row>
    <row r="1205" spans="1:4">
      <c r="A1205" s="25"/>
      <c r="C1205" s="2"/>
      <c r="D1205" s="27"/>
    </row>
    <row r="1206" spans="1:4">
      <c r="A1206" s="25"/>
      <c r="B1206" s="34"/>
      <c r="C1206" s="2"/>
      <c r="D1206" s="27"/>
    </row>
    <row r="1207" spans="1:4">
      <c r="A1207" s="25"/>
      <c r="B1207" s="34"/>
      <c r="C1207" s="2"/>
      <c r="D1207" s="27"/>
    </row>
    <row r="1208" spans="1:4">
      <c r="A1208" s="25"/>
      <c r="B1208" s="34"/>
      <c r="C1208" s="2"/>
      <c r="D1208" s="27"/>
    </row>
    <row r="1209" spans="1:4">
      <c r="C1209" s="2"/>
      <c r="D1209" s="27"/>
    </row>
    <row r="1210" spans="1:4">
      <c r="A1210" s="25"/>
      <c r="B1210" s="34"/>
      <c r="C1210" s="2"/>
      <c r="D1210" s="27"/>
    </row>
    <row r="1211" spans="1:4">
      <c r="C1211" s="2"/>
      <c r="D1211" s="27"/>
    </row>
    <row r="1212" spans="1:4">
      <c r="A1212" s="25"/>
      <c r="B1212" s="34"/>
      <c r="C1212" s="2"/>
      <c r="D1212" s="27"/>
    </row>
    <row r="1213" spans="1:4">
      <c r="A1213" s="25"/>
      <c r="B1213" s="34"/>
      <c r="C1213" s="2"/>
      <c r="D1213" s="27"/>
    </row>
    <row r="1214" spans="1:4">
      <c r="A1214" s="25"/>
      <c r="B1214" s="34"/>
      <c r="C1214" s="2"/>
      <c r="D1214" s="27"/>
    </row>
    <row r="1215" spans="1:4">
      <c r="C1215" s="2"/>
      <c r="D1215" s="27"/>
    </row>
    <row r="1216" spans="1:4">
      <c r="C1216" s="2"/>
      <c r="D1216" s="27"/>
    </row>
    <row r="1217" spans="3:4">
      <c r="C1217" s="2"/>
      <c r="D1217" s="27"/>
    </row>
    <row r="1218" spans="3:4">
      <c r="C1218" s="2"/>
      <c r="D1218" s="27"/>
    </row>
    <row r="1219" spans="3:4">
      <c r="C1219" s="2"/>
      <c r="D1219" s="27"/>
    </row>
    <row r="1220" spans="3:4">
      <c r="C1220" s="2"/>
      <c r="D1220" s="27"/>
    </row>
    <row r="1221" spans="3:4">
      <c r="C1221" s="2"/>
      <c r="D1221" s="27"/>
    </row>
    <row r="1222" spans="3:4">
      <c r="C1222" s="2"/>
      <c r="D1222" s="27"/>
    </row>
    <row r="1223" spans="3:4">
      <c r="C1223" s="2"/>
      <c r="D1223" s="27"/>
    </row>
    <row r="1224" spans="3:4">
      <c r="C1224" s="2"/>
      <c r="D1224" s="27"/>
    </row>
    <row r="1225" spans="3:4">
      <c r="C1225" s="2"/>
      <c r="D1225" s="27"/>
    </row>
    <row r="1226" spans="3:4">
      <c r="C1226" s="2"/>
      <c r="D1226" s="27"/>
    </row>
    <row r="1227" spans="3:4">
      <c r="C1227" s="2"/>
      <c r="D1227" s="27"/>
    </row>
    <row r="1228" spans="3:4">
      <c r="C1228" s="2"/>
      <c r="D1228" s="27"/>
    </row>
    <row r="1229" spans="3:4">
      <c r="C1229" s="2"/>
      <c r="D1229" s="27"/>
    </row>
    <row r="1230" spans="3:4">
      <c r="C1230" s="2"/>
      <c r="D1230" s="27"/>
    </row>
    <row r="1231" spans="3:4">
      <c r="C1231" s="2"/>
      <c r="D1231" s="27"/>
    </row>
    <row r="1232" spans="3:4">
      <c r="C1232" s="2"/>
      <c r="D1232" s="27"/>
    </row>
    <row r="1233" spans="1:4">
      <c r="C1233" s="2"/>
      <c r="D1233" s="27"/>
    </row>
    <row r="1234" spans="1:4">
      <c r="C1234" s="2"/>
      <c r="D1234" s="27"/>
    </row>
    <row r="1235" spans="1:4">
      <c r="C1235" s="2"/>
      <c r="D1235" s="27"/>
    </row>
    <row r="1236" spans="1:4">
      <c r="C1236" s="2"/>
      <c r="D1236" s="27"/>
    </row>
    <row r="1237" spans="1:4">
      <c r="C1237" s="2"/>
      <c r="D1237" s="27"/>
    </row>
    <row r="1238" spans="1:4">
      <c r="C1238" s="2"/>
      <c r="D1238" s="27"/>
    </row>
    <row r="1239" spans="1:4">
      <c r="C1239" s="2"/>
      <c r="D1239" s="27"/>
    </row>
    <row r="1240" spans="1:4">
      <c r="C1240" s="2"/>
      <c r="D1240" s="27"/>
    </row>
    <row r="1241" spans="1:4">
      <c r="C1241" s="2"/>
      <c r="D1241" s="27"/>
    </row>
    <row r="1242" spans="1:4">
      <c r="C1242" s="2"/>
      <c r="D1242" s="27"/>
    </row>
    <row r="1243" spans="1:4">
      <c r="C1243" s="2"/>
      <c r="D1243" s="27"/>
    </row>
    <row r="1244" spans="1:4">
      <c r="C1244" s="2"/>
      <c r="D1244" s="27"/>
    </row>
    <row r="1245" spans="1:4">
      <c r="C1245" s="2"/>
      <c r="D1245" s="27"/>
    </row>
    <row r="1246" spans="1:4">
      <c r="C1246" s="2"/>
      <c r="D1246" s="27"/>
    </row>
    <row r="1247" spans="1:4">
      <c r="A1247" s="25"/>
      <c r="B1247" s="34"/>
      <c r="C1247" s="2"/>
      <c r="D1247" s="27"/>
    </row>
    <row r="1248" spans="1:4">
      <c r="A1248" s="25"/>
      <c r="C1248" s="2"/>
      <c r="D1248" s="27"/>
    </row>
    <row r="1249" spans="1:4">
      <c r="C1249" s="2"/>
      <c r="D1249" s="27"/>
    </row>
    <row r="1250" spans="1:4">
      <c r="C1250" s="2"/>
      <c r="D1250" s="27"/>
    </row>
    <row r="1251" spans="1:4">
      <c r="C1251" s="2"/>
      <c r="D1251" s="27"/>
    </row>
    <row r="1252" spans="1:4">
      <c r="C1252" s="2"/>
      <c r="D1252" s="27"/>
    </row>
    <row r="1253" spans="1:4">
      <c r="C1253" s="2"/>
      <c r="D1253" s="27"/>
    </row>
    <row r="1254" spans="1:4">
      <c r="C1254" s="2"/>
      <c r="D1254" s="27"/>
    </row>
    <row r="1255" spans="1:4">
      <c r="C1255" s="2"/>
      <c r="D1255" s="27"/>
    </row>
    <row r="1256" spans="1:4">
      <c r="A1256" s="25"/>
      <c r="B1256" s="34"/>
      <c r="C1256" s="2"/>
      <c r="D1256" s="27"/>
    </row>
    <row r="1257" spans="1:4">
      <c r="C1257" s="2"/>
      <c r="D1257" s="27"/>
    </row>
    <row r="1258" spans="1:4">
      <c r="A1258" s="25"/>
      <c r="B1258" s="34"/>
      <c r="C1258" s="2"/>
      <c r="D1258" s="27"/>
    </row>
    <row r="1259" spans="1:4">
      <c r="A1259" s="25"/>
      <c r="B1259" s="34"/>
      <c r="C1259" s="2"/>
      <c r="D1259" s="27"/>
    </row>
    <row r="1260" spans="1:4">
      <c r="C1260" s="2"/>
      <c r="D1260" s="27"/>
    </row>
    <row r="1261" spans="1:4">
      <c r="C1261" s="2"/>
      <c r="D1261" s="27"/>
    </row>
    <row r="1262" spans="1:4">
      <c r="A1262" s="25"/>
      <c r="B1262" s="34"/>
      <c r="C1262" s="2"/>
      <c r="D1262" s="27"/>
    </row>
    <row r="1263" spans="1:4">
      <c r="C1263" s="2"/>
      <c r="D1263" s="27"/>
    </row>
    <row r="1264" spans="1:4">
      <c r="C1264" s="2"/>
      <c r="D1264" s="27"/>
    </row>
    <row r="1265" spans="1:4">
      <c r="C1265" s="2"/>
      <c r="D1265" s="27"/>
    </row>
    <row r="1266" spans="1:4">
      <c r="C1266" s="2"/>
      <c r="D1266" s="27"/>
    </row>
    <row r="1267" spans="1:4">
      <c r="A1267" s="25"/>
      <c r="B1267" s="34"/>
      <c r="C1267" s="2"/>
      <c r="D1267" s="27"/>
    </row>
    <row r="1268" spans="1:4">
      <c r="C1268" s="2"/>
      <c r="D1268" s="27"/>
    </row>
    <row r="1269" spans="1:4">
      <c r="C1269" s="2"/>
      <c r="D1269" s="27"/>
    </row>
    <row r="1270" spans="1:4">
      <c r="C1270" s="2"/>
      <c r="D1270" s="27"/>
    </row>
    <row r="1271" spans="1:4">
      <c r="C1271" s="2"/>
      <c r="D1271" s="27"/>
    </row>
    <row r="1272" spans="1:4">
      <c r="C1272" s="2"/>
      <c r="D1272" s="27"/>
    </row>
    <row r="1273" spans="1:4">
      <c r="C1273" s="2"/>
      <c r="D1273" s="27"/>
    </row>
    <row r="1274" spans="1:4">
      <c r="C1274" s="2"/>
      <c r="D1274" s="27"/>
    </row>
    <row r="1275" spans="1:4">
      <c r="C1275" s="2"/>
      <c r="D1275" s="27"/>
    </row>
    <row r="1276" spans="1:4">
      <c r="C1276" s="2"/>
      <c r="D1276" s="27"/>
    </row>
    <row r="1277" spans="1:4">
      <c r="C1277" s="2"/>
      <c r="D1277" s="27"/>
    </row>
    <row r="1278" spans="1:4">
      <c r="C1278" s="2"/>
      <c r="D1278" s="27"/>
    </row>
    <row r="1279" spans="1:4">
      <c r="C1279" s="2"/>
      <c r="D1279" s="27"/>
    </row>
    <row r="1280" spans="1:4">
      <c r="C1280" s="2"/>
      <c r="D1280" s="27"/>
    </row>
    <row r="1281" spans="1:4">
      <c r="C1281" s="2"/>
      <c r="D1281" s="27"/>
    </row>
    <row r="1282" spans="1:4">
      <c r="C1282" s="2"/>
      <c r="D1282" s="27"/>
    </row>
    <row r="1283" spans="1:4">
      <c r="C1283" s="2"/>
      <c r="D1283" s="27"/>
    </row>
    <row r="1284" spans="1:4">
      <c r="C1284" s="2"/>
      <c r="D1284" s="27"/>
    </row>
    <row r="1285" spans="1:4">
      <c r="C1285" s="2"/>
      <c r="D1285" s="27"/>
    </row>
    <row r="1286" spans="1:4">
      <c r="C1286" s="2"/>
      <c r="D1286" s="27"/>
    </row>
    <row r="1287" spans="1:4">
      <c r="C1287" s="2"/>
      <c r="D1287" s="27"/>
    </row>
    <row r="1288" spans="1:4">
      <c r="C1288" s="2"/>
      <c r="D1288" s="27"/>
    </row>
    <row r="1289" spans="1:4">
      <c r="A1289" s="25"/>
      <c r="B1289" s="34"/>
      <c r="C1289" s="2"/>
      <c r="D1289" s="27"/>
    </row>
    <row r="1290" spans="1:4">
      <c r="C1290" s="2"/>
      <c r="D1290" s="27"/>
    </row>
    <row r="1291" spans="1:4">
      <c r="A1291" s="25"/>
      <c r="B1291" s="34"/>
      <c r="C1291" s="2"/>
      <c r="D1291" s="27"/>
    </row>
    <row r="1292" spans="1:4">
      <c r="A1292" s="25"/>
      <c r="B1292" s="34"/>
      <c r="C1292" s="2"/>
      <c r="D1292" s="27"/>
    </row>
    <row r="1293" spans="1:4">
      <c r="A1293" s="25"/>
      <c r="B1293" s="34"/>
      <c r="C1293" s="2"/>
      <c r="D1293" s="27"/>
    </row>
    <row r="1294" spans="1:4">
      <c r="A1294" s="25"/>
      <c r="B1294" s="34"/>
      <c r="C1294" s="2"/>
      <c r="D1294" s="27"/>
    </row>
    <row r="1295" spans="1:4">
      <c r="A1295" s="25"/>
      <c r="B1295" s="34"/>
      <c r="C1295" s="2"/>
      <c r="D1295" s="27"/>
    </row>
    <row r="1296" spans="1:4">
      <c r="A1296" s="25"/>
      <c r="B1296" s="34"/>
      <c r="C1296" s="2"/>
      <c r="D1296" s="27"/>
    </row>
    <row r="1297" spans="1:4">
      <c r="A1297" s="25"/>
      <c r="B1297" s="34"/>
      <c r="C1297" s="2"/>
      <c r="D1297" s="27"/>
    </row>
    <row r="1298" spans="1:4">
      <c r="C1298" s="2"/>
      <c r="D1298" s="27"/>
    </row>
    <row r="1299" spans="1:4">
      <c r="C1299" s="2"/>
      <c r="D1299" s="27"/>
    </row>
    <row r="1300" spans="1:4">
      <c r="C1300" s="2"/>
      <c r="D1300" s="27"/>
    </row>
    <row r="1301" spans="1:4">
      <c r="C1301" s="2"/>
      <c r="D1301" s="27"/>
    </row>
    <row r="1302" spans="1:4">
      <c r="C1302" s="2"/>
      <c r="D1302" s="27"/>
    </row>
    <row r="1303" spans="1:4">
      <c r="C1303" s="2"/>
      <c r="D1303" s="27"/>
    </row>
    <row r="1304" spans="1:4">
      <c r="C1304" s="2"/>
      <c r="D1304" s="27"/>
    </row>
    <row r="1305" spans="1:4">
      <c r="C1305" s="2"/>
      <c r="D1305" s="27"/>
    </row>
    <row r="1306" spans="1:4">
      <c r="C1306" s="2"/>
      <c r="D1306" s="27"/>
    </row>
    <row r="1307" spans="1:4">
      <c r="C1307" s="2"/>
      <c r="D1307" s="27"/>
    </row>
    <row r="1308" spans="1:4">
      <c r="C1308" s="2"/>
      <c r="D1308" s="27"/>
    </row>
    <row r="1309" spans="1:4">
      <c r="C1309" s="2"/>
      <c r="D1309" s="27"/>
    </row>
    <row r="1310" spans="1:4">
      <c r="C1310" s="2"/>
      <c r="D1310" s="27"/>
    </row>
    <row r="1311" spans="1:4">
      <c r="C1311" s="2"/>
      <c r="D1311" s="27"/>
    </row>
    <row r="1312" spans="1:4">
      <c r="C1312" s="2"/>
      <c r="D1312" s="27"/>
    </row>
    <row r="1313" spans="1:4">
      <c r="C1313" s="2"/>
      <c r="D1313" s="27"/>
    </row>
    <row r="1314" spans="1:4">
      <c r="C1314" s="2"/>
      <c r="D1314" s="27"/>
    </row>
    <row r="1315" spans="1:4">
      <c r="C1315" s="2"/>
      <c r="D1315" s="27"/>
    </row>
    <row r="1316" spans="1:4">
      <c r="C1316" s="2"/>
      <c r="D1316" s="27"/>
    </row>
    <row r="1317" spans="1:4">
      <c r="C1317" s="2"/>
      <c r="D1317" s="27"/>
    </row>
    <row r="1318" spans="1:4">
      <c r="C1318" s="2"/>
      <c r="D1318" s="27"/>
    </row>
    <row r="1319" spans="1:4">
      <c r="C1319" s="2"/>
      <c r="D1319" s="27"/>
    </row>
    <row r="1320" spans="1:4">
      <c r="A1320" s="25"/>
      <c r="B1320" s="34"/>
      <c r="C1320" s="2"/>
      <c r="D1320" s="27"/>
    </row>
    <row r="1321" spans="1:4">
      <c r="A1321" s="25"/>
      <c r="B1321" s="34"/>
      <c r="C1321" s="2"/>
      <c r="D1321" s="27"/>
    </row>
    <row r="1322" spans="1:4">
      <c r="A1322" s="25"/>
      <c r="B1322" s="34"/>
      <c r="C1322" s="2"/>
      <c r="D1322" s="27"/>
    </row>
    <row r="1323" spans="1:4">
      <c r="C1323" s="2"/>
      <c r="D1323" s="27"/>
    </row>
    <row r="1324" spans="1:4">
      <c r="A1324" s="25"/>
      <c r="B1324" s="34"/>
      <c r="C1324" s="2"/>
      <c r="D1324" s="27"/>
    </row>
    <row r="1325" spans="1:4">
      <c r="C1325" s="2"/>
      <c r="D1325" s="27"/>
    </row>
    <row r="1326" spans="1:4">
      <c r="A1326" s="25"/>
      <c r="B1326" s="34"/>
      <c r="C1326" s="2"/>
      <c r="D1326" s="27"/>
    </row>
    <row r="1327" spans="1:4">
      <c r="C1327" s="2"/>
      <c r="D1327" s="27"/>
    </row>
    <row r="1328" spans="1:4">
      <c r="C1328" s="2"/>
      <c r="D1328" s="27"/>
    </row>
    <row r="1329" spans="1:4">
      <c r="C1329" s="2"/>
      <c r="D1329" s="27"/>
    </row>
    <row r="1330" spans="1:4">
      <c r="A1330" s="26"/>
      <c r="C1330" s="2"/>
      <c r="D1330" s="27"/>
    </row>
    <row r="1331" spans="1:4">
      <c r="C1331" s="2"/>
      <c r="D1331" s="27"/>
    </row>
    <row r="1332" spans="1:4">
      <c r="A1332" s="26"/>
      <c r="C1332" s="2"/>
      <c r="D1332" s="27"/>
    </row>
    <row r="1333" spans="1:4">
      <c r="A1333" s="26"/>
      <c r="C1333" s="2"/>
      <c r="D1333" s="27"/>
    </row>
    <row r="1334" spans="1:4">
      <c r="A1334" s="26"/>
      <c r="C1334" s="2"/>
      <c r="D1334" s="27"/>
    </row>
    <row r="1335" spans="1:4">
      <c r="A1335" s="26"/>
      <c r="C1335" s="2"/>
      <c r="D1335" s="27"/>
    </row>
    <row r="1336" spans="1:4">
      <c r="A1336" s="26"/>
      <c r="C1336" s="2"/>
      <c r="D1336" s="27"/>
    </row>
    <row r="1337" spans="1:4">
      <c r="A1337" s="26"/>
      <c r="C1337" s="2"/>
      <c r="D1337" s="27"/>
    </row>
    <row r="1338" spans="1:4">
      <c r="A1338" s="26"/>
      <c r="C1338" s="2"/>
      <c r="D1338" s="27"/>
    </row>
    <row r="1339" spans="1:4">
      <c r="A1339" s="26"/>
      <c r="C1339" s="2"/>
      <c r="D1339" s="27"/>
    </row>
    <row r="1340" spans="1:4">
      <c r="A1340" s="26"/>
      <c r="C1340" s="2"/>
      <c r="D1340" s="27"/>
    </row>
    <row r="1341" spans="1:4">
      <c r="A1341" s="26"/>
      <c r="C1341" s="2"/>
      <c r="D1341" s="27"/>
    </row>
    <row r="1342" spans="1:4">
      <c r="A1342" s="25"/>
      <c r="B1342" s="34"/>
      <c r="C1342" s="2"/>
      <c r="D1342" s="27"/>
    </row>
  </sheetData>
  <autoFilter ref="A1:T1342"/>
  <sortState ref="F2:G77">
    <sortCondition ref="F2"/>
    <sortCondition ref="G2"/>
  </sortState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A1:M66"/>
  <sheetViews>
    <sheetView tabSelected="1" zoomScale="80" zoomScaleNormal="80" workbookViewId="0">
      <selection activeCell="A16" sqref="A16"/>
    </sheetView>
  </sheetViews>
  <sheetFormatPr defaultRowHeight="17.399999999999999"/>
  <cols>
    <col min="3" max="3" width="10.59765625" bestFit="1" customWidth="1"/>
    <col min="4" max="4" width="63.8984375" customWidth="1"/>
    <col min="7" max="7" width="11" bestFit="1" customWidth="1"/>
    <col min="8" max="8" width="17.59765625" customWidth="1"/>
    <col min="9" max="9" width="15.09765625" customWidth="1"/>
    <col min="10" max="10" width="27.5" bestFit="1" customWidth="1"/>
    <col min="13" max="13" width="39.3984375" bestFit="1" customWidth="1"/>
  </cols>
  <sheetData>
    <row r="1" spans="1:13">
      <c r="A1">
        <v>1</v>
      </c>
      <c r="D1" s="25"/>
      <c r="G1" s="61" t="s">
        <v>227</v>
      </c>
    </row>
    <row r="2" spans="1:13">
      <c r="B2" s="131" t="s">
        <v>2</v>
      </c>
      <c r="C2" s="5" t="s">
        <v>9</v>
      </c>
      <c r="D2" s="5" t="s">
        <v>389</v>
      </c>
      <c r="G2" s="49" t="s">
        <v>385</v>
      </c>
      <c r="H2" t="str">
        <f>CHOOSE(LEFT(G2,1),"i3","i21","i40","l3","l21","l40")</f>
        <v>l3</v>
      </c>
      <c r="I2" t="s">
        <v>190</v>
      </c>
      <c r="L2" t="s">
        <v>236</v>
      </c>
    </row>
    <row r="3" spans="1:13">
      <c r="B3" s="131"/>
      <c r="C3" s="5" t="s">
        <v>3</v>
      </c>
      <c r="D3" s="41" t="s">
        <v>109</v>
      </c>
      <c r="I3" s="72" t="s">
        <v>134</v>
      </c>
      <c r="J3" s="72" t="s">
        <v>135</v>
      </c>
      <c r="K3" s="73"/>
      <c r="L3" s="72">
        <v>975195</v>
      </c>
      <c r="M3" s="72" t="s">
        <v>230</v>
      </c>
    </row>
    <row r="4" spans="1:13">
      <c r="B4" s="131"/>
      <c r="C4" s="5" t="s">
        <v>4</v>
      </c>
      <c r="D4" s="41" t="s">
        <v>12</v>
      </c>
      <c r="I4" s="72" t="s">
        <v>148</v>
      </c>
      <c r="J4" s="72" t="s">
        <v>149</v>
      </c>
      <c r="K4" s="73"/>
      <c r="L4" s="72">
        <v>975668</v>
      </c>
      <c r="M4" s="72" t="s">
        <v>219</v>
      </c>
    </row>
    <row r="5" spans="1:13">
      <c r="B5" s="131"/>
      <c r="C5" s="5" t="s">
        <v>10</v>
      </c>
      <c r="D5" s="41" t="s">
        <v>13</v>
      </c>
      <c r="I5" s="72" t="s">
        <v>152</v>
      </c>
      <c r="J5" s="72" t="s">
        <v>153</v>
      </c>
      <c r="K5" s="73"/>
      <c r="L5" s="72">
        <v>978399</v>
      </c>
      <c r="M5" s="72" t="s">
        <v>231</v>
      </c>
    </row>
    <row r="6" spans="1:13" ht="19.2">
      <c r="B6" s="132" t="s">
        <v>6</v>
      </c>
      <c r="C6" s="133"/>
      <c r="D6" s="46" t="s">
        <v>640</v>
      </c>
      <c r="E6" t="s">
        <v>336</v>
      </c>
      <c r="I6" s="72" t="s">
        <v>130</v>
      </c>
      <c r="J6" s="72" t="s">
        <v>131</v>
      </c>
      <c r="K6" s="73"/>
      <c r="L6" s="72">
        <v>978505</v>
      </c>
      <c r="M6" s="72" t="s">
        <v>217</v>
      </c>
    </row>
    <row r="7" spans="1:13" s="25" customFormat="1" ht="19.2">
      <c r="B7" s="132" t="s">
        <v>102</v>
      </c>
      <c r="C7" s="133"/>
      <c r="D7" s="47">
        <v>0</v>
      </c>
      <c r="I7" s="72" t="s">
        <v>142</v>
      </c>
      <c r="J7" s="72" t="s">
        <v>143</v>
      </c>
      <c r="K7" s="73"/>
      <c r="L7" s="72">
        <v>983739</v>
      </c>
      <c r="M7" s="72" t="s">
        <v>222</v>
      </c>
    </row>
    <row r="8" spans="1:13" s="25" customFormat="1" ht="19.2">
      <c r="B8" s="132" t="s">
        <v>172</v>
      </c>
      <c r="C8" s="133"/>
      <c r="D8" s="47" t="s">
        <v>452</v>
      </c>
      <c r="I8" s="72" t="s">
        <v>140</v>
      </c>
      <c r="J8" s="72" t="s">
        <v>141</v>
      </c>
      <c r="K8" s="73"/>
      <c r="L8" s="72">
        <v>984312</v>
      </c>
      <c r="M8" s="72" t="s">
        <v>232</v>
      </c>
    </row>
    <row r="9" spans="1:13" s="25" customFormat="1">
      <c r="B9" s="132" t="s">
        <v>103</v>
      </c>
      <c r="C9" s="133"/>
      <c r="D9" s="42" t="str">
        <f>IF(D7=1,"VALUE("&amp;D6&amp;")",D6)</f>
        <v>A161</v>
      </c>
      <c r="I9" s="72" t="s">
        <v>132</v>
      </c>
      <c r="J9" s="72" t="s">
        <v>133</v>
      </c>
      <c r="K9" s="73"/>
      <c r="L9" s="72">
        <v>984966</v>
      </c>
      <c r="M9" s="72" t="s">
        <v>233</v>
      </c>
    </row>
    <row r="10" spans="1:13">
      <c r="B10" s="132" t="s">
        <v>5</v>
      </c>
      <c r="C10" s="133"/>
      <c r="D10" s="41" t="s">
        <v>8</v>
      </c>
      <c r="F10">
        <v>2</v>
      </c>
      <c r="G10" t="s">
        <v>333</v>
      </c>
      <c r="I10" s="72" t="s">
        <v>128</v>
      </c>
      <c r="J10" s="72" t="s">
        <v>129</v>
      </c>
      <c r="K10" s="73"/>
      <c r="L10" s="72">
        <v>985165</v>
      </c>
      <c r="M10" s="72" t="s">
        <v>218</v>
      </c>
    </row>
    <row r="11" spans="1:13">
      <c r="B11" s="43" t="s">
        <v>7</v>
      </c>
      <c r="C11" s="44" t="s">
        <v>11</v>
      </c>
      <c r="D11" s="45" t="str">
        <f>D10&amp;"("&amp;D9&amp;",'"&amp;D2&amp;"["&amp;D3&amp;"]"&amp;D4&amp;"'!"&amp;D5&amp;",5,0)"</f>
        <v>VLOOKUP(A161,'D:\[사용인코드(KJ).xlsx]CODE'!$C:$G,5,0)</v>
      </c>
      <c r="F11" s="62" t="str">
        <f>IF(F10=1,F19,D21)</f>
        <v>20210831_F_39_202107_현대해상_FC본사시상(영업활성화)_배포.xlsx</v>
      </c>
      <c r="I11" s="72" t="s">
        <v>146</v>
      </c>
      <c r="J11" s="72" t="s">
        <v>147</v>
      </c>
      <c r="K11" s="73"/>
      <c r="L11" s="72">
        <v>985275</v>
      </c>
      <c r="M11" s="72" t="s">
        <v>216</v>
      </c>
    </row>
    <row r="12" spans="1:13">
      <c r="D12" s="28"/>
      <c r="F12" s="62" t="s">
        <v>334</v>
      </c>
      <c r="I12" s="72" t="s">
        <v>138</v>
      </c>
      <c r="J12" s="72" t="s">
        <v>139</v>
      </c>
      <c r="K12" s="73"/>
      <c r="L12" s="72">
        <v>985759</v>
      </c>
      <c r="M12" s="72" t="s">
        <v>221</v>
      </c>
    </row>
    <row r="13" spans="1:13">
      <c r="D13" t="s">
        <v>193</v>
      </c>
      <c r="I13" s="72" t="s">
        <v>144</v>
      </c>
      <c r="J13" s="72" t="s">
        <v>145</v>
      </c>
      <c r="K13" s="73"/>
      <c r="L13" s="72">
        <v>985772</v>
      </c>
      <c r="M13" s="72" t="s">
        <v>224</v>
      </c>
    </row>
    <row r="14" spans="1:13">
      <c r="B14" s="25"/>
      <c r="C14" s="25" t="s">
        <v>194</v>
      </c>
      <c r="D14" s="59" t="s">
        <v>195</v>
      </c>
      <c r="I14" s="72" t="s">
        <v>136</v>
      </c>
      <c r="J14" s="72" t="s">
        <v>137</v>
      </c>
      <c r="K14" s="73"/>
      <c r="L14" s="72">
        <v>985899</v>
      </c>
      <c r="M14" s="72" t="s">
        <v>215</v>
      </c>
    </row>
    <row r="15" spans="1:13">
      <c r="I15" s="72" t="s">
        <v>126</v>
      </c>
      <c r="J15" s="72" t="s">
        <v>127</v>
      </c>
      <c r="K15" s="73"/>
      <c r="L15" s="72">
        <v>985943</v>
      </c>
      <c r="M15" s="72" t="s">
        <v>220</v>
      </c>
    </row>
    <row r="16" spans="1:13">
      <c r="I16" s="73" t="s">
        <v>327</v>
      </c>
      <c r="J16" s="83" t="s">
        <v>328</v>
      </c>
      <c r="K16" s="73"/>
      <c r="L16" s="72">
        <v>986486</v>
      </c>
      <c r="M16" s="72" t="s">
        <v>234</v>
      </c>
    </row>
    <row r="17" spans="1:13">
      <c r="D17" t="s">
        <v>112</v>
      </c>
      <c r="I17" s="72" t="s">
        <v>150</v>
      </c>
      <c r="J17" s="72" t="s">
        <v>151</v>
      </c>
      <c r="K17" s="73"/>
      <c r="L17" s="72">
        <v>987600</v>
      </c>
      <c r="M17" s="83" t="s">
        <v>329</v>
      </c>
    </row>
    <row r="18" spans="1:13">
      <c r="D18" s="6" t="s">
        <v>14</v>
      </c>
      <c r="J18" s="73"/>
      <c r="K18" s="73"/>
      <c r="L18" s="72">
        <v>986921</v>
      </c>
      <c r="M18" s="72" t="s">
        <v>235</v>
      </c>
    </row>
    <row r="19" spans="1:13">
      <c r="B19" t="s">
        <v>173</v>
      </c>
      <c r="F19" s="62" t="str">
        <f>IF(IFERROR(FIND("KJ시상정산",D21),0)&gt;0,D21,B25)</f>
        <v>202107 KJ시상정산.xlsx</v>
      </c>
      <c r="I19" s="73"/>
      <c r="J19" s="73"/>
      <c r="K19" s="73"/>
      <c r="L19" s="73"/>
      <c r="M19" s="73"/>
    </row>
    <row r="20" spans="1:13">
      <c r="B20" s="78" t="s">
        <v>174</v>
      </c>
      <c r="C20" s="78" t="s">
        <v>171</v>
      </c>
      <c r="D20" s="79" t="s">
        <v>170</v>
      </c>
      <c r="F20" s="65" t="s">
        <v>335</v>
      </c>
      <c r="I20" s="73" t="s">
        <v>191</v>
      </c>
      <c r="J20" s="73"/>
      <c r="K20" s="73"/>
      <c r="L20" s="73" t="s">
        <v>255</v>
      </c>
      <c r="M20" s="73"/>
    </row>
    <row r="21" spans="1:13">
      <c r="B21" s="78">
        <v>2</v>
      </c>
      <c r="C21" s="78" t="s">
        <v>641</v>
      </c>
      <c r="D21" s="80" t="str">
        <f>VLOOKUP(B21,$A$25:$D$33,2,0)</f>
        <v>20210831_F_39_202107_현대해상_FC본사시상(영업활성화)_배포.xlsx</v>
      </c>
      <c r="I21" s="72">
        <v>33473984</v>
      </c>
      <c r="J21" s="72" t="s">
        <v>175</v>
      </c>
      <c r="K21" s="73"/>
      <c r="L21" s="69" t="s">
        <v>237</v>
      </c>
      <c r="M21" s="70" t="s">
        <v>238</v>
      </c>
    </row>
    <row r="22" spans="1:13">
      <c r="I22" s="72">
        <v>34004375</v>
      </c>
      <c r="J22" s="72" t="s">
        <v>176</v>
      </c>
      <c r="K22" s="73"/>
      <c r="L22" s="69" t="s">
        <v>239</v>
      </c>
      <c r="M22" s="70" t="s">
        <v>240</v>
      </c>
    </row>
    <row r="23" spans="1:13">
      <c r="C23" s="59" t="s">
        <v>192</v>
      </c>
      <c r="F23" s="64" t="s">
        <v>257</v>
      </c>
      <c r="I23" s="72">
        <v>33472165</v>
      </c>
      <c r="J23" s="72" t="s">
        <v>177</v>
      </c>
      <c r="K23" s="73"/>
      <c r="L23" s="69" t="s">
        <v>241</v>
      </c>
      <c r="M23" s="70" t="s">
        <v>242</v>
      </c>
    </row>
    <row r="24" spans="1:13">
      <c r="I24" s="72">
        <v>34004374</v>
      </c>
      <c r="J24" s="72" t="s">
        <v>178</v>
      </c>
      <c r="K24" s="73"/>
      <c r="L24" s="69" t="s">
        <v>251</v>
      </c>
      <c r="M24" s="70" t="s">
        <v>252</v>
      </c>
    </row>
    <row r="25" spans="1:13">
      <c r="A25" s="48">
        <v>1</v>
      </c>
      <c r="B25" s="25" t="s">
        <v>431</v>
      </c>
      <c r="I25" s="72">
        <v>34007496</v>
      </c>
      <c r="J25" s="72" t="s">
        <v>179</v>
      </c>
      <c r="K25" s="73"/>
      <c r="L25" s="69" t="s">
        <v>243</v>
      </c>
      <c r="M25" s="70" t="s">
        <v>244</v>
      </c>
    </row>
    <row r="26" spans="1:13">
      <c r="A26" s="48">
        <v>2</v>
      </c>
      <c r="B26" s="25" t="s">
        <v>639</v>
      </c>
      <c r="I26" s="72">
        <v>34000173</v>
      </c>
      <c r="J26" s="72" t="s">
        <v>180</v>
      </c>
      <c r="K26" s="73"/>
      <c r="L26" s="69" t="s">
        <v>245</v>
      </c>
      <c r="M26" s="70" t="s">
        <v>246</v>
      </c>
    </row>
    <row r="27" spans="1:13">
      <c r="A27" s="48"/>
      <c r="B27" s="25"/>
      <c r="I27" s="72">
        <v>34001768</v>
      </c>
      <c r="J27" s="72" t="s">
        <v>181</v>
      </c>
      <c r="K27" s="73"/>
      <c r="L27" s="71" t="s">
        <v>247</v>
      </c>
      <c r="M27" s="69" t="s">
        <v>248</v>
      </c>
    </row>
    <row r="28" spans="1:13">
      <c r="A28" s="48"/>
      <c r="F28" s="19"/>
      <c r="I28" s="72">
        <v>34003780</v>
      </c>
      <c r="J28" s="72" t="s">
        <v>182</v>
      </c>
      <c r="K28" s="73"/>
      <c r="L28" s="69" t="s">
        <v>249</v>
      </c>
      <c r="M28" s="70" t="s">
        <v>250</v>
      </c>
    </row>
    <row r="29" spans="1:13">
      <c r="A29" s="48"/>
      <c r="D29" s="25"/>
      <c r="I29" s="72">
        <v>34006848</v>
      </c>
      <c r="J29" s="72" t="s">
        <v>183</v>
      </c>
      <c r="K29" s="73"/>
      <c r="L29" s="69" t="s">
        <v>253</v>
      </c>
      <c r="M29" s="70" t="s">
        <v>254</v>
      </c>
    </row>
    <row r="30" spans="1:13">
      <c r="B30" s="25"/>
      <c r="C30" s="25"/>
      <c r="D30" s="25"/>
      <c r="I30" s="72">
        <v>34006850</v>
      </c>
      <c r="J30" s="72" t="s">
        <v>184</v>
      </c>
      <c r="K30" s="73"/>
      <c r="L30" s="77" t="s">
        <v>270</v>
      </c>
      <c r="M30" s="70" t="s">
        <v>271</v>
      </c>
    </row>
    <row r="31" spans="1:13">
      <c r="C31" s="25"/>
      <c r="D31" s="25"/>
      <c r="E31" s="63"/>
      <c r="F31" s="63"/>
      <c r="G31" s="63"/>
      <c r="I31" s="72">
        <v>34007328</v>
      </c>
      <c r="J31" s="72" t="s">
        <v>185</v>
      </c>
      <c r="K31" s="73"/>
      <c r="L31" s="69" t="s">
        <v>321</v>
      </c>
      <c r="M31" s="70" t="s">
        <v>287</v>
      </c>
    </row>
    <row r="32" spans="1:13">
      <c r="B32" s="25"/>
      <c r="C32" s="25"/>
      <c r="D32" s="25"/>
      <c r="E32" s="68"/>
      <c r="F32" s="68"/>
      <c r="G32" s="64"/>
      <c r="I32" s="72">
        <v>34008346</v>
      </c>
      <c r="J32" s="72" t="s">
        <v>186</v>
      </c>
      <c r="K32" s="73"/>
      <c r="L32" s="69" t="s">
        <v>322</v>
      </c>
      <c r="M32" s="70" t="s">
        <v>323</v>
      </c>
    </row>
    <row r="33" spans="2:13">
      <c r="B33" s="25"/>
      <c r="C33" s="25"/>
      <c r="D33" s="25"/>
      <c r="E33" s="68"/>
      <c r="F33" s="68"/>
      <c r="G33" s="64"/>
      <c r="I33" s="72">
        <v>33472335</v>
      </c>
      <c r="J33" s="72" t="s">
        <v>187</v>
      </c>
      <c r="K33" s="73"/>
      <c r="L33" s="81" t="s">
        <v>324</v>
      </c>
      <c r="M33" s="82" t="s">
        <v>325</v>
      </c>
    </row>
    <row r="34" spans="2:13">
      <c r="B34" s="25"/>
      <c r="C34" s="25"/>
      <c r="D34" s="25"/>
      <c r="E34" s="67"/>
      <c r="F34" s="67"/>
      <c r="G34" s="64"/>
      <c r="I34" s="72">
        <v>34007327</v>
      </c>
      <c r="J34" s="72" t="s">
        <v>188</v>
      </c>
      <c r="K34" s="73"/>
      <c r="L34" s="92" t="s">
        <v>363</v>
      </c>
      <c r="M34" s="93" t="s">
        <v>364</v>
      </c>
    </row>
    <row r="35" spans="2:13">
      <c r="B35" s="25"/>
      <c r="C35" s="25"/>
      <c r="D35" s="25"/>
      <c r="E35" s="64"/>
      <c r="F35" s="64"/>
      <c r="G35" s="64"/>
      <c r="I35" s="72">
        <v>34006484</v>
      </c>
      <c r="J35" s="72" t="s">
        <v>189</v>
      </c>
      <c r="K35" s="73"/>
      <c r="L35" s="108" t="s">
        <v>370</v>
      </c>
      <c r="M35" s="70" t="s">
        <v>371</v>
      </c>
    </row>
    <row r="36" spans="2:13">
      <c r="B36" s="25"/>
      <c r="C36" s="25"/>
      <c r="E36" s="63"/>
      <c r="F36" s="63"/>
      <c r="G36" s="63"/>
      <c r="I36" s="72">
        <v>34009060</v>
      </c>
      <c r="J36" s="87" t="s">
        <v>331</v>
      </c>
      <c r="K36" s="73"/>
      <c r="L36" s="69"/>
      <c r="M36" s="70"/>
    </row>
    <row r="37" spans="2:13">
      <c r="B37" s="25"/>
      <c r="C37" s="25"/>
      <c r="E37" s="63"/>
      <c r="F37" s="63"/>
      <c r="G37" s="63"/>
      <c r="I37" s="72">
        <v>34008104</v>
      </c>
      <c r="J37" s="72" t="s">
        <v>229</v>
      </c>
      <c r="K37" s="73"/>
      <c r="L37" s="73"/>
      <c r="M37" s="73"/>
    </row>
    <row r="38" spans="2:13">
      <c r="I38" s="73"/>
      <c r="J38" s="73"/>
      <c r="K38" s="73"/>
    </row>
    <row r="39" spans="2:13">
      <c r="I39" s="74" t="s">
        <v>226</v>
      </c>
      <c r="J39" s="74"/>
      <c r="K39" s="73"/>
      <c r="L39" s="73" t="s">
        <v>285</v>
      </c>
      <c r="M39" s="73"/>
    </row>
    <row r="40" spans="2:13">
      <c r="I40" s="75">
        <v>61180884</v>
      </c>
      <c r="J40" s="75" t="s">
        <v>215</v>
      </c>
      <c r="K40" s="73"/>
      <c r="L40" s="73">
        <v>3451828</v>
      </c>
      <c r="M40" s="73" t="s">
        <v>272</v>
      </c>
    </row>
    <row r="41" spans="2:13">
      <c r="I41" s="75">
        <v>61180466</v>
      </c>
      <c r="J41" s="75" t="s">
        <v>216</v>
      </c>
      <c r="K41" s="73"/>
      <c r="L41" s="73">
        <v>3373792</v>
      </c>
      <c r="M41" s="73" t="s">
        <v>273</v>
      </c>
    </row>
    <row r="42" spans="2:13">
      <c r="I42" s="75">
        <v>61140527</v>
      </c>
      <c r="J42" s="75" t="s">
        <v>217</v>
      </c>
      <c r="K42" s="73"/>
      <c r="L42" s="73">
        <v>3462165</v>
      </c>
      <c r="M42" s="73" t="s">
        <v>274</v>
      </c>
    </row>
    <row r="43" spans="2:13">
      <c r="I43" s="75">
        <v>61180402</v>
      </c>
      <c r="J43" s="75" t="s">
        <v>218</v>
      </c>
      <c r="K43" s="73"/>
      <c r="L43" s="73">
        <v>3440965</v>
      </c>
      <c r="M43" s="73" t="s">
        <v>275</v>
      </c>
    </row>
    <row r="44" spans="2:13">
      <c r="I44" s="75">
        <v>61130758</v>
      </c>
      <c r="J44" s="75" t="s">
        <v>219</v>
      </c>
      <c r="K44" s="73"/>
      <c r="L44" s="73">
        <v>3452520</v>
      </c>
      <c r="M44" s="73" t="s">
        <v>276</v>
      </c>
    </row>
    <row r="45" spans="2:13">
      <c r="I45" s="75">
        <v>61141124</v>
      </c>
      <c r="J45" s="75" t="s">
        <v>220</v>
      </c>
      <c r="K45" s="73"/>
      <c r="L45" s="73">
        <v>3378058</v>
      </c>
      <c r="M45" s="73" t="s">
        <v>277</v>
      </c>
    </row>
    <row r="46" spans="2:13">
      <c r="I46" s="75">
        <v>61180785</v>
      </c>
      <c r="J46" s="75" t="s">
        <v>221</v>
      </c>
      <c r="K46" s="73"/>
      <c r="L46" s="73">
        <v>3428598</v>
      </c>
      <c r="M46" s="73" t="s">
        <v>278</v>
      </c>
    </row>
    <row r="47" spans="2:13">
      <c r="I47" s="75">
        <v>61170436</v>
      </c>
      <c r="J47" s="75" t="s">
        <v>222</v>
      </c>
      <c r="K47" s="73"/>
      <c r="L47" s="25">
        <v>3371992</v>
      </c>
      <c r="M47" s="25" t="s">
        <v>279</v>
      </c>
    </row>
    <row r="48" spans="2:13">
      <c r="I48" s="75">
        <v>61190500</v>
      </c>
      <c r="J48" s="75" t="s">
        <v>223</v>
      </c>
      <c r="K48" s="73"/>
      <c r="L48" s="25">
        <v>3451840</v>
      </c>
      <c r="M48" s="25" t="s">
        <v>280</v>
      </c>
    </row>
    <row r="49" spans="9:13">
      <c r="I49" s="75">
        <v>61180784</v>
      </c>
      <c r="J49" s="75" t="s">
        <v>224</v>
      </c>
      <c r="K49" s="73"/>
      <c r="L49">
        <v>3444936</v>
      </c>
      <c r="M49" t="s">
        <v>281</v>
      </c>
    </row>
    <row r="50" spans="9:13">
      <c r="I50" s="75">
        <v>61170028</v>
      </c>
      <c r="J50" s="75" t="s">
        <v>225</v>
      </c>
      <c r="L50">
        <v>3443807</v>
      </c>
      <c r="M50" t="s">
        <v>282</v>
      </c>
    </row>
    <row r="51" spans="9:13">
      <c r="I51" s="60">
        <v>61190329</v>
      </c>
      <c r="J51" s="60" t="s">
        <v>234</v>
      </c>
      <c r="L51">
        <v>3369611</v>
      </c>
      <c r="M51" t="s">
        <v>283</v>
      </c>
    </row>
    <row r="52" spans="9:13">
      <c r="I52" s="88">
        <v>61140477</v>
      </c>
      <c r="J52" s="89" t="s">
        <v>230</v>
      </c>
      <c r="L52">
        <v>3357943</v>
      </c>
      <c r="M52" t="s">
        <v>284</v>
      </c>
    </row>
    <row r="53" spans="9:13">
      <c r="I53" s="88">
        <v>61140723</v>
      </c>
      <c r="J53" s="89" t="s">
        <v>231</v>
      </c>
      <c r="L53" s="86">
        <v>3458901</v>
      </c>
      <c r="M53" t="s">
        <v>330</v>
      </c>
    </row>
    <row r="54" spans="9:13">
      <c r="I54" s="88">
        <v>61200182</v>
      </c>
      <c r="J54" s="89" t="s">
        <v>332</v>
      </c>
    </row>
    <row r="56" spans="9:13">
      <c r="L56" s="25" t="s">
        <v>384</v>
      </c>
    </row>
    <row r="57" spans="9:13">
      <c r="L57" s="110">
        <v>2900919</v>
      </c>
      <c r="M57" s="111" t="s">
        <v>375</v>
      </c>
    </row>
    <row r="58" spans="9:13">
      <c r="L58" s="110">
        <v>2904890</v>
      </c>
      <c r="M58" s="111" t="s">
        <v>374</v>
      </c>
    </row>
    <row r="59" spans="9:13">
      <c r="L59" s="110">
        <v>2906972</v>
      </c>
      <c r="M59" s="111" t="s">
        <v>376</v>
      </c>
    </row>
    <row r="60" spans="9:13">
      <c r="L60" s="110">
        <v>2907089</v>
      </c>
      <c r="M60" s="111" t="s">
        <v>380</v>
      </c>
    </row>
    <row r="61" spans="9:13">
      <c r="L61" s="110">
        <v>2907430</v>
      </c>
      <c r="M61" s="111" t="s">
        <v>383</v>
      </c>
    </row>
    <row r="62" spans="9:13">
      <c r="L62" s="110">
        <v>2907431</v>
      </c>
      <c r="M62" s="111" t="s">
        <v>377</v>
      </c>
    </row>
    <row r="63" spans="9:13">
      <c r="L63" s="110">
        <v>2907629</v>
      </c>
      <c r="M63" s="111" t="s">
        <v>382</v>
      </c>
    </row>
    <row r="64" spans="9:13">
      <c r="L64" s="110">
        <v>2908129</v>
      </c>
      <c r="M64" s="111" t="s">
        <v>378</v>
      </c>
    </row>
    <row r="65" spans="12:13">
      <c r="L65" s="110">
        <v>2908147</v>
      </c>
      <c r="M65" s="111" t="s">
        <v>379</v>
      </c>
    </row>
    <row r="66" spans="12:13">
      <c r="L66" s="110">
        <v>2908716</v>
      </c>
      <c r="M66" s="111" t="s">
        <v>381</v>
      </c>
    </row>
  </sheetData>
  <dataConsolidate/>
  <mergeCells count="6">
    <mergeCell ref="B2:B5"/>
    <mergeCell ref="B10:C10"/>
    <mergeCell ref="B6:C6"/>
    <mergeCell ref="B7:C7"/>
    <mergeCell ref="B9:C9"/>
    <mergeCell ref="B8:C8"/>
  </mergeCells>
  <phoneticPr fontId="1" type="noConversion"/>
  <dataValidations count="2">
    <dataValidation type="list" allowBlank="1" showInputMessage="1" showErrorMessage="1" sqref="G2">
      <formula1>"1.지사코드,2.모대리점,3.흥국화재,4.현대,5.롯데,6.한화"</formula1>
    </dataValidation>
    <dataValidation type="list" allowBlank="1" showInputMessage="1" sqref="D8">
      <formula1>"A,B,C,E,D,E,F,G,H,I"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ooks_opened">
                <anchor>
                  <from>
                    <xdr:col>0</xdr:col>
                    <xdr:colOff>266700</xdr:colOff>
                    <xdr:row>21</xdr:row>
                    <xdr:rowOff>99060</xdr:rowOff>
                  </from>
                  <to>
                    <xdr:col>1</xdr:col>
                    <xdr:colOff>617220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곱하기1">
                <anchor>
                  <from>
                    <xdr:col>4</xdr:col>
                    <xdr:colOff>670560</xdr:colOff>
                    <xdr:row>12</xdr:row>
                    <xdr:rowOff>22860</xdr:rowOff>
                  </from>
                  <to>
                    <xdr:col>6</xdr:col>
                    <xdr:colOff>723900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Module2.지사코드식별">
                <anchor>
                  <from>
                    <xdr:col>6</xdr:col>
                    <xdr:colOff>7620</xdr:colOff>
                    <xdr:row>2</xdr:row>
                    <xdr:rowOff>106680</xdr:rowOff>
                  </from>
                  <to>
                    <xdr:col>7</xdr:col>
                    <xdr:colOff>449580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음수곱하기1">
                <anchor>
                  <from>
                    <xdr:col>4</xdr:col>
                    <xdr:colOff>670560</xdr:colOff>
                    <xdr:row>14</xdr:row>
                    <xdr:rowOff>137160</xdr:rowOff>
                  </from>
                  <to>
                    <xdr:col>6</xdr:col>
                    <xdr:colOff>708660</xdr:colOff>
                    <xdr:row>16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8" name="Button 9">
              <controlPr defaultSize="0" print="0" autoFill="0" autoPict="0" macro="[0]!서식1">
                <anchor>
                  <from>
                    <xdr:col>5</xdr:col>
                    <xdr:colOff>22860</xdr:colOff>
                    <xdr:row>20</xdr:row>
                    <xdr:rowOff>76200</xdr:rowOff>
                  </from>
                  <to>
                    <xdr:col>6</xdr:col>
                    <xdr:colOff>731520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9" name="Button 10">
              <controlPr defaultSize="0" print="0" autoFill="0" autoPict="0" macro="[0]!서식2">
                <anchor>
                  <from>
                    <xdr:col>5</xdr:col>
                    <xdr:colOff>22860</xdr:colOff>
                    <xdr:row>23</xdr:row>
                    <xdr:rowOff>106680</xdr:rowOff>
                  </from>
                  <to>
                    <xdr:col>6</xdr:col>
                    <xdr:colOff>731520</xdr:colOff>
                    <xdr:row>24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-0.499984740745262"/>
  </sheetPr>
  <dimension ref="A1:BQ48"/>
  <sheetViews>
    <sheetView topLeftCell="N37" zoomScale="80" zoomScaleNormal="80" workbookViewId="0">
      <selection activeCell="O37" sqref="O37"/>
    </sheetView>
  </sheetViews>
  <sheetFormatPr defaultRowHeight="17.399999999999999"/>
  <cols>
    <col min="1" max="2" width="9" style="25"/>
    <col min="3" max="3" width="14.3984375" style="25" customWidth="1"/>
    <col min="4" max="7" width="9" style="25"/>
    <col min="8" max="8" width="13.8984375" style="25" customWidth="1"/>
    <col min="9" max="9" width="9" style="25"/>
    <col min="10" max="10" width="11.3984375" style="25" customWidth="1"/>
    <col min="11" max="11" width="13.3984375" style="25" customWidth="1"/>
    <col min="12" max="12" width="9" style="25"/>
    <col min="13" max="13" width="16.09765625" style="25" customWidth="1"/>
    <col min="14" max="24" width="9" style="25"/>
    <col min="25" max="25" width="20.5" style="25" bestFit="1" customWidth="1"/>
    <col min="26" max="26" width="9" style="25"/>
    <col min="27" max="27" width="20.5" style="25" bestFit="1" customWidth="1"/>
    <col min="28" max="28" width="10.09765625" style="25" bestFit="1" customWidth="1"/>
    <col min="29" max="29" width="16.09765625" style="25" bestFit="1" customWidth="1"/>
    <col min="30" max="30" width="9" style="25"/>
    <col min="31" max="31" width="18" style="25" bestFit="1" customWidth="1"/>
    <col min="32" max="35" width="9" style="25"/>
    <col min="36" max="36" width="16.09765625" style="25" bestFit="1" customWidth="1"/>
    <col min="37" max="40" width="9" style="25"/>
    <col min="41" max="41" width="11" style="25" bestFit="1" customWidth="1"/>
    <col min="42" max="64" width="9" style="25"/>
  </cols>
  <sheetData>
    <row r="1" spans="1:24">
      <c r="A1" s="14" t="s">
        <v>24</v>
      </c>
      <c r="B1" s="14"/>
      <c r="C1" s="14"/>
      <c r="D1" s="14"/>
      <c r="E1" s="14"/>
      <c r="F1" s="14"/>
      <c r="G1" s="14"/>
      <c r="H1" s="14"/>
      <c r="I1"/>
      <c r="J1" s="14" t="s">
        <v>25</v>
      </c>
      <c r="K1" s="13"/>
      <c r="L1" s="13"/>
      <c r="M1" s="13"/>
      <c r="N1" s="13"/>
      <c r="O1" s="10">
        <f>MAX(J33:O33)</f>
        <v>12</v>
      </c>
      <c r="P1"/>
      <c r="Q1" s="13" t="s">
        <v>89</v>
      </c>
      <c r="R1" s="13"/>
      <c r="S1"/>
      <c r="T1" s="13" t="s">
        <v>62</v>
      </c>
      <c r="U1" s="13"/>
      <c r="W1" s="13" t="s">
        <v>409</v>
      </c>
      <c r="X1" s="13"/>
    </row>
    <row r="2" spans="1:24">
      <c r="A2" s="15" t="s">
        <v>23</v>
      </c>
      <c r="B2" s="5" t="s">
        <v>9</v>
      </c>
      <c r="C2" s="134" t="str">
        <f>IF($A$3="수수료",VLOOKUP($A$4,수수료파일,2,0),VLOOKUP($A$4,시상파일,2,0))</f>
        <v>E:\글로벌백업(180329)\04.수수료작업\202106수수료\</v>
      </c>
      <c r="D2" s="134"/>
      <c r="E2" s="134"/>
      <c r="F2" s="134"/>
      <c r="G2" s="134"/>
      <c r="H2" s="134"/>
      <c r="I2"/>
      <c r="J2" s="8" t="s">
        <v>15</v>
      </c>
      <c r="K2" s="8" t="s">
        <v>16</v>
      </c>
      <c r="L2" s="8" t="s">
        <v>17</v>
      </c>
      <c r="M2" s="8" t="s">
        <v>0</v>
      </c>
      <c r="N2" s="9" t="s">
        <v>93</v>
      </c>
      <c r="O2" s="9"/>
      <c r="P2"/>
      <c r="Q2" s="9" t="s">
        <v>65</v>
      </c>
      <c r="R2" s="9" t="s">
        <v>66</v>
      </c>
      <c r="S2"/>
      <c r="T2" s="113" t="s">
        <v>28</v>
      </c>
      <c r="U2" s="113" t="s">
        <v>30</v>
      </c>
      <c r="W2" s="113" t="s">
        <v>28</v>
      </c>
      <c r="X2" s="113" t="s">
        <v>30</v>
      </c>
    </row>
    <row r="3" spans="1:24">
      <c r="A3" s="16" t="s">
        <v>98</v>
      </c>
      <c r="B3" s="5" t="s">
        <v>3</v>
      </c>
      <c r="C3" s="134" t="str">
        <f>IF($A$3="수수료",VLOOKUP($A$4,수수료파일,3,0),VLOOKUP($A$4,시상파일,3,0))</f>
        <v>마감실적리스트(장기)-202107240606.xlsx</v>
      </c>
      <c r="D3" s="134"/>
      <c r="E3" s="134"/>
      <c r="F3" s="134"/>
      <c r="G3" s="134"/>
      <c r="H3" s="134"/>
      <c r="I3"/>
      <c r="J3" s="9"/>
      <c r="K3" s="26" t="s">
        <v>292</v>
      </c>
      <c r="L3" s="9"/>
      <c r="M3" s="123" t="s">
        <v>559</v>
      </c>
      <c r="N3" s="9" t="s">
        <v>453</v>
      </c>
      <c r="O3" s="9"/>
      <c r="P3" s="25">
        <f t="shared" ref="P3:P32" si="0">COUNTIFS(AE:AE,M3)</f>
        <v>1</v>
      </c>
      <c r="Q3" s="9" t="s">
        <v>53</v>
      </c>
      <c r="R3" s="9" t="s">
        <v>64</v>
      </c>
      <c r="S3"/>
      <c r="T3" s="113" t="s">
        <v>31</v>
      </c>
      <c r="U3" s="113" t="s">
        <v>124</v>
      </c>
      <c r="W3" s="113" t="s">
        <v>31</v>
      </c>
      <c r="X3" s="113" t="s">
        <v>124</v>
      </c>
    </row>
    <row r="4" spans="1:24">
      <c r="A4" s="16">
        <v>202106</v>
      </c>
      <c r="B4" s="5" t="s">
        <v>4</v>
      </c>
      <c r="C4" s="134" t="str">
        <f>IF($A$3="수수료",VLOOKUP($A$4,수수료파일,4,0),VLOOKUP($A$4,시상파일,4,0))</f>
        <v>WORKSHEET</v>
      </c>
      <c r="D4" s="134"/>
      <c r="E4" s="134"/>
      <c r="F4" s="134"/>
      <c r="G4" s="134"/>
      <c r="H4" s="134"/>
      <c r="I4"/>
      <c r="J4" s="9"/>
      <c r="K4" s="26" t="s">
        <v>292</v>
      </c>
      <c r="L4" s="9"/>
      <c r="M4" s="123" t="s">
        <v>560</v>
      </c>
      <c r="N4" s="9" t="s">
        <v>453</v>
      </c>
      <c r="O4" s="9"/>
      <c r="P4" s="25">
        <f t="shared" si="0"/>
        <v>1</v>
      </c>
      <c r="Q4" s="9" t="s">
        <v>61</v>
      </c>
      <c r="R4" s="9" t="s">
        <v>54</v>
      </c>
      <c r="S4"/>
      <c r="T4" s="113" t="s">
        <v>367</v>
      </c>
      <c r="U4" s="113" t="s">
        <v>32</v>
      </c>
      <c r="W4" s="113" t="s">
        <v>367</v>
      </c>
      <c r="X4" s="113" t="s">
        <v>32</v>
      </c>
    </row>
    <row r="5" spans="1:24">
      <c r="A5" s="20" t="s">
        <v>67</v>
      </c>
      <c r="B5"/>
      <c r="C5" s="134" t="str">
        <f>IF($A$3="수수료",VLOOKUP($A$4,수수료파일,6,0),VLOOKUP($A$4,시상파일,6,0))</f>
        <v>신</v>
      </c>
      <c r="D5" s="134"/>
      <c r="E5" s="134"/>
      <c r="F5" s="134"/>
      <c r="G5" s="134"/>
      <c r="H5" s="134"/>
      <c r="I5"/>
      <c r="J5" s="9"/>
      <c r="K5" s="26" t="s">
        <v>292</v>
      </c>
      <c r="L5" s="9"/>
      <c r="M5" s="123" t="s">
        <v>561</v>
      </c>
      <c r="N5" s="9" t="s">
        <v>453</v>
      </c>
      <c r="O5" s="9"/>
      <c r="P5" s="25">
        <f t="shared" si="0"/>
        <v>1</v>
      </c>
      <c r="Q5" s="9" t="s">
        <v>63</v>
      </c>
      <c r="R5" s="9"/>
      <c r="S5"/>
      <c r="T5" s="113" t="s">
        <v>338</v>
      </c>
      <c r="U5" s="113" t="s">
        <v>402</v>
      </c>
      <c r="W5" s="113" t="s">
        <v>338</v>
      </c>
      <c r="X5" s="113" t="s">
        <v>402</v>
      </c>
    </row>
    <row r="6" spans="1:24">
      <c r="A6"/>
      <c r="B6"/>
      <c r="C6"/>
      <c r="D6"/>
      <c r="E6"/>
      <c r="F6" s="20" t="s">
        <v>87</v>
      </c>
      <c r="G6"/>
      <c r="H6" s="20" t="s">
        <v>86</v>
      </c>
      <c r="I6"/>
      <c r="J6" s="9"/>
      <c r="K6" s="26" t="s">
        <v>292</v>
      </c>
      <c r="L6" s="9"/>
      <c r="M6" s="123" t="s">
        <v>562</v>
      </c>
      <c r="N6" s="9" t="s">
        <v>453</v>
      </c>
      <c r="O6" s="9"/>
      <c r="P6" s="25">
        <f t="shared" si="0"/>
        <v>2</v>
      </c>
      <c r="Q6" s="9"/>
      <c r="R6" s="9"/>
      <c r="S6"/>
      <c r="T6" s="113" t="s">
        <v>339</v>
      </c>
      <c r="U6" s="113" t="s">
        <v>340</v>
      </c>
      <c r="W6" s="113" t="s">
        <v>339</v>
      </c>
      <c r="X6" s="113" t="s">
        <v>340</v>
      </c>
    </row>
    <row r="7" spans="1:24">
      <c r="A7"/>
      <c r="B7"/>
      <c r="C7"/>
      <c r="D7"/>
      <c r="E7"/>
      <c r="F7"/>
      <c r="G7"/>
      <c r="H7"/>
      <c r="I7"/>
      <c r="J7" s="9"/>
      <c r="K7" s="26" t="s">
        <v>292</v>
      </c>
      <c r="L7" s="9"/>
      <c r="M7" s="123" t="s">
        <v>563</v>
      </c>
      <c r="N7" s="9" t="s">
        <v>453</v>
      </c>
      <c r="O7" s="9"/>
      <c r="P7" s="25">
        <f t="shared" si="0"/>
        <v>1</v>
      </c>
      <c r="Q7" s="9"/>
      <c r="R7" s="9"/>
      <c r="S7"/>
      <c r="T7" s="113" t="s">
        <v>403</v>
      </c>
      <c r="U7" s="9" t="s">
        <v>404</v>
      </c>
      <c r="W7" s="113" t="s">
        <v>403</v>
      </c>
      <c r="X7" s="9" t="s">
        <v>404</v>
      </c>
    </row>
    <row r="8" spans="1:24">
      <c r="A8"/>
      <c r="B8"/>
      <c r="C8"/>
      <c r="D8"/>
      <c r="E8"/>
      <c r="F8"/>
      <c r="G8"/>
      <c r="H8"/>
      <c r="I8"/>
      <c r="J8" s="9"/>
      <c r="K8" s="26" t="s">
        <v>292</v>
      </c>
      <c r="L8" s="9"/>
      <c r="M8" s="123" t="s">
        <v>564</v>
      </c>
      <c r="N8" s="9" t="s">
        <v>453</v>
      </c>
      <c r="O8" s="9"/>
      <c r="P8" s="25">
        <f t="shared" si="0"/>
        <v>1</v>
      </c>
      <c r="Q8" s="9"/>
      <c r="R8" s="9"/>
      <c r="S8"/>
      <c r="T8" s="9"/>
      <c r="U8" s="9"/>
      <c r="W8" s="9" t="s">
        <v>418</v>
      </c>
      <c r="X8" s="9"/>
    </row>
    <row r="9" spans="1:24">
      <c r="A9"/>
      <c r="B9"/>
      <c r="C9"/>
      <c r="D9"/>
      <c r="E9"/>
      <c r="F9" s="20" t="s">
        <v>84</v>
      </c>
      <c r="G9"/>
      <c r="H9"/>
      <c r="I9"/>
      <c r="J9" s="9"/>
      <c r="K9" s="26" t="s">
        <v>292</v>
      </c>
      <c r="L9" s="9"/>
      <c r="M9" s="123" t="s">
        <v>565</v>
      </c>
      <c r="N9" s="9" t="s">
        <v>453</v>
      </c>
      <c r="O9" s="9"/>
      <c r="P9" s="25">
        <f t="shared" si="0"/>
        <v>1</v>
      </c>
      <c r="Q9"/>
      <c r="R9"/>
      <c r="S9"/>
      <c r="T9"/>
      <c r="U9"/>
    </row>
    <row r="10" spans="1:24">
      <c r="A10"/>
      <c r="B10"/>
      <c r="C10"/>
      <c r="D10"/>
      <c r="E10"/>
      <c r="F10" s="20" t="s">
        <v>85</v>
      </c>
      <c r="G10"/>
      <c r="H10"/>
      <c r="I10"/>
      <c r="J10" s="9"/>
      <c r="K10" s="26" t="s">
        <v>292</v>
      </c>
      <c r="L10" s="9"/>
      <c r="M10" s="123" t="s">
        <v>554</v>
      </c>
      <c r="N10" s="9" t="s">
        <v>453</v>
      </c>
      <c r="O10" s="9"/>
      <c r="P10" s="25">
        <f t="shared" si="0"/>
        <v>1</v>
      </c>
      <c r="Q10" t="s">
        <v>286</v>
      </c>
      <c r="R10"/>
      <c r="S10"/>
      <c r="T10"/>
      <c r="U10"/>
    </row>
    <row r="11" spans="1:24">
      <c r="A11"/>
      <c r="B11"/>
      <c r="C11"/>
      <c r="D11"/>
      <c r="E11"/>
      <c r="F11"/>
      <c r="G11"/>
      <c r="H11"/>
      <c r="I11"/>
      <c r="J11" s="9"/>
      <c r="K11" s="26" t="s">
        <v>292</v>
      </c>
      <c r="L11" s="9"/>
      <c r="M11" s="123" t="s">
        <v>566</v>
      </c>
      <c r="N11" s="9" t="s">
        <v>453</v>
      </c>
      <c r="O11" s="9"/>
      <c r="P11" s="25">
        <f t="shared" si="0"/>
        <v>1</v>
      </c>
      <c r="Q11" t="s">
        <v>288</v>
      </c>
      <c r="R11"/>
      <c r="S11"/>
      <c r="T11"/>
      <c r="U11"/>
    </row>
    <row r="12" spans="1:24">
      <c r="A12"/>
      <c r="B12"/>
      <c r="C12"/>
      <c r="D12"/>
      <c r="E12"/>
      <c r="F12"/>
      <c r="G12"/>
      <c r="H12"/>
      <c r="I12"/>
      <c r="J12" s="9"/>
      <c r="K12" s="26" t="s">
        <v>292</v>
      </c>
      <c r="L12" s="9"/>
      <c r="M12" s="123" t="s">
        <v>567</v>
      </c>
      <c r="N12" s="9" t="s">
        <v>453</v>
      </c>
      <c r="O12" s="9"/>
      <c r="P12" s="25">
        <f t="shared" si="0"/>
        <v>1</v>
      </c>
      <c r="Q12" s="26" t="s">
        <v>289</v>
      </c>
      <c r="R12"/>
      <c r="S12"/>
      <c r="T12"/>
      <c r="U12"/>
    </row>
    <row r="13" spans="1:24">
      <c r="A13" t="s">
        <v>100</v>
      </c>
      <c r="B13"/>
      <c r="C13"/>
      <c r="D13"/>
      <c r="E13"/>
      <c r="G13"/>
      <c r="H13"/>
      <c r="I13"/>
      <c r="J13" s="9"/>
      <c r="K13" s="26" t="s">
        <v>292</v>
      </c>
      <c r="L13" s="9"/>
      <c r="M13" s="123" t="s">
        <v>568</v>
      </c>
      <c r="N13" s="9" t="s">
        <v>453</v>
      </c>
      <c r="O13" s="9"/>
      <c r="P13" s="25">
        <f t="shared" si="0"/>
        <v>1</v>
      </c>
      <c r="Q13" s="26" t="s">
        <v>290</v>
      </c>
      <c r="R13"/>
      <c r="S13"/>
      <c r="T13"/>
      <c r="U13"/>
    </row>
    <row r="14" spans="1:24">
      <c r="A14"/>
      <c r="B14"/>
      <c r="C14"/>
      <c r="D14"/>
      <c r="E14"/>
      <c r="F14"/>
      <c r="G14"/>
      <c r="H14"/>
      <c r="I14"/>
      <c r="J14" s="9"/>
      <c r="L14" s="9"/>
      <c r="M14" s="122"/>
      <c r="N14" s="9"/>
      <c r="O14" s="9"/>
      <c r="P14" s="25">
        <f t="shared" si="0"/>
        <v>0</v>
      </c>
      <c r="Q14" s="26" t="s">
        <v>291</v>
      </c>
      <c r="R14"/>
      <c r="S14"/>
      <c r="T14"/>
      <c r="U14"/>
    </row>
    <row r="15" spans="1:24">
      <c r="A15"/>
      <c r="B15"/>
      <c r="C15"/>
      <c r="D15"/>
      <c r="E15"/>
      <c r="F15"/>
      <c r="G15"/>
      <c r="H15"/>
      <c r="I15"/>
      <c r="J15" s="9"/>
      <c r="L15" s="9"/>
      <c r="M15" s="122"/>
      <c r="N15" s="9"/>
      <c r="O15" s="9"/>
      <c r="P15" s="25">
        <f t="shared" si="0"/>
        <v>0</v>
      </c>
      <c r="Q15" s="26" t="s">
        <v>292</v>
      </c>
      <c r="R15"/>
      <c r="S15"/>
      <c r="T15"/>
      <c r="U15"/>
    </row>
    <row r="16" spans="1:24">
      <c r="A16"/>
      <c r="B16"/>
      <c r="C16"/>
      <c r="D16"/>
      <c r="E16"/>
      <c r="F16"/>
      <c r="G16"/>
      <c r="H16"/>
      <c r="I16"/>
      <c r="J16" s="9"/>
      <c r="M16" s="122"/>
      <c r="N16" s="9"/>
      <c r="O16" s="9"/>
      <c r="P16" s="25">
        <f t="shared" si="0"/>
        <v>0</v>
      </c>
      <c r="Q16" s="26" t="s">
        <v>293</v>
      </c>
      <c r="R16"/>
      <c r="S16"/>
      <c r="T16"/>
      <c r="U16"/>
    </row>
    <row r="17" spans="10:69">
      <c r="J17" s="9"/>
      <c r="O17" s="9"/>
      <c r="P17" s="25">
        <f t="shared" si="0"/>
        <v>0</v>
      </c>
      <c r="Q17" s="26" t="s">
        <v>317</v>
      </c>
    </row>
    <row r="18" spans="10:69">
      <c r="J18" s="9"/>
      <c r="O18" s="9"/>
      <c r="P18" s="25">
        <f t="shared" si="0"/>
        <v>0</v>
      </c>
      <c r="Q18" s="26" t="s">
        <v>318</v>
      </c>
    </row>
    <row r="19" spans="10:69">
      <c r="J19" s="9"/>
      <c r="O19" s="9"/>
      <c r="P19" s="25">
        <f t="shared" si="0"/>
        <v>0</v>
      </c>
      <c r="Q19" s="26" t="s">
        <v>319</v>
      </c>
    </row>
    <row r="20" spans="10:69">
      <c r="J20" s="9"/>
      <c r="K20" s="26"/>
      <c r="L20" s="9"/>
      <c r="M20" s="120"/>
      <c r="N20" s="9"/>
      <c r="O20" s="9"/>
      <c r="P20" s="25">
        <f t="shared" si="0"/>
        <v>0</v>
      </c>
      <c r="Q20" s="26" t="s">
        <v>362</v>
      </c>
      <c r="S20" s="25">
        <v>-1</v>
      </c>
    </row>
    <row r="21" spans="10:69">
      <c r="J21" s="9"/>
      <c r="K21" s="26"/>
      <c r="L21" s="9"/>
      <c r="M21" s="120"/>
      <c r="N21" s="9"/>
      <c r="O21" s="9"/>
      <c r="P21" s="25">
        <f t="shared" si="0"/>
        <v>0</v>
      </c>
      <c r="Q21" s="26" t="s">
        <v>372</v>
      </c>
      <c r="T21" s="25" t="s">
        <v>400</v>
      </c>
    </row>
    <row r="22" spans="10:69">
      <c r="J22" s="9"/>
      <c r="K22" s="26"/>
      <c r="L22" s="9"/>
      <c r="M22" s="120"/>
      <c r="N22" s="9"/>
      <c r="O22" s="9"/>
      <c r="P22" s="25">
        <f t="shared" si="0"/>
        <v>0</v>
      </c>
      <c r="T22" s="114" t="s">
        <v>15</v>
      </c>
      <c r="U22" s="26" t="s">
        <v>26</v>
      </c>
      <c r="V22" s="26" t="s">
        <v>27</v>
      </c>
      <c r="W22" s="113" t="s">
        <v>28</v>
      </c>
      <c r="X22" s="26" t="s">
        <v>29</v>
      </c>
      <c r="Y22" s="113" t="s">
        <v>30</v>
      </c>
      <c r="Z22" s="113" t="s">
        <v>31</v>
      </c>
      <c r="AA22" s="113" t="s">
        <v>124</v>
      </c>
      <c r="AB22" s="113" t="s">
        <v>367</v>
      </c>
      <c r="AC22" s="113" t="s">
        <v>32</v>
      </c>
      <c r="AD22" s="26" t="s">
        <v>33</v>
      </c>
      <c r="AE22" s="26" t="s">
        <v>16</v>
      </c>
      <c r="AF22" s="26" t="s">
        <v>34</v>
      </c>
      <c r="AG22" s="26" t="s">
        <v>35</v>
      </c>
      <c r="AH22" s="26" t="s">
        <v>36</v>
      </c>
      <c r="AI22" s="26" t="s">
        <v>37</v>
      </c>
      <c r="AJ22" s="26" t="s">
        <v>78</v>
      </c>
      <c r="AK22" s="26" t="s">
        <v>1</v>
      </c>
      <c r="AL22" s="26" t="s">
        <v>38</v>
      </c>
      <c r="AM22" s="26" t="s">
        <v>39</v>
      </c>
      <c r="AN22" s="114" t="s">
        <v>405</v>
      </c>
      <c r="AO22" s="26" t="s">
        <v>55</v>
      </c>
      <c r="AP22" s="26" t="s">
        <v>56</v>
      </c>
      <c r="AQ22" s="26" t="s">
        <v>57</v>
      </c>
      <c r="AR22" s="26" t="s">
        <v>58</v>
      </c>
      <c r="AS22" s="26" t="s">
        <v>59</v>
      </c>
      <c r="AT22" s="26" t="s">
        <v>60</v>
      </c>
      <c r="AU22" s="26" t="s">
        <v>40</v>
      </c>
      <c r="AV22" s="26" t="s">
        <v>17</v>
      </c>
      <c r="AW22" s="26" t="s">
        <v>41</v>
      </c>
      <c r="AX22" s="26" t="s">
        <v>42</v>
      </c>
      <c r="AY22" s="26" t="s">
        <v>43</v>
      </c>
      <c r="AZ22" s="26" t="s">
        <v>44</v>
      </c>
      <c r="BA22" s="26" t="s">
        <v>45</v>
      </c>
      <c r="BB22" s="26" t="s">
        <v>44</v>
      </c>
      <c r="BC22" s="26" t="s">
        <v>46</v>
      </c>
      <c r="BD22" s="26" t="s">
        <v>0</v>
      </c>
      <c r="BE22" s="26" t="s">
        <v>47</v>
      </c>
      <c r="BF22" s="26" t="s">
        <v>48</v>
      </c>
      <c r="BG22" s="26" t="s">
        <v>368</v>
      </c>
      <c r="BH22" s="26" t="s">
        <v>369</v>
      </c>
      <c r="BI22" s="26" t="s">
        <v>49</v>
      </c>
      <c r="BJ22" s="26" t="s">
        <v>99</v>
      </c>
      <c r="BK22" s="26" t="s">
        <v>125</v>
      </c>
      <c r="BL22" s="113" t="s">
        <v>338</v>
      </c>
      <c r="BM22" s="113" t="s">
        <v>339</v>
      </c>
      <c r="BN22" s="113" t="s">
        <v>340</v>
      </c>
      <c r="BO22" s="113" t="s">
        <v>341</v>
      </c>
      <c r="BP22" s="113" t="s">
        <v>342</v>
      </c>
      <c r="BQ22" s="26"/>
    </row>
    <row r="23" spans="10:69">
      <c r="J23" s="9"/>
      <c r="K23" s="26"/>
      <c r="L23" s="9"/>
      <c r="M23" s="120"/>
      <c r="N23" s="9"/>
      <c r="O23" s="9"/>
      <c r="P23" s="25">
        <f t="shared" si="0"/>
        <v>0</v>
      </c>
    </row>
    <row r="24" spans="10:69">
      <c r="J24" s="9"/>
      <c r="K24" s="26"/>
      <c r="L24" s="9"/>
      <c r="M24" s="118"/>
      <c r="N24" s="9"/>
      <c r="O24" s="9"/>
      <c r="P24" s="25">
        <f t="shared" si="0"/>
        <v>0</v>
      </c>
      <c r="T24" s="25" t="s">
        <v>401</v>
      </c>
    </row>
    <row r="25" spans="10:69" ht="52.2">
      <c r="J25" s="9"/>
      <c r="K25" s="26"/>
      <c r="L25" s="9"/>
      <c r="M25" s="119"/>
      <c r="N25" s="9"/>
      <c r="O25" s="9"/>
      <c r="P25" s="25">
        <f t="shared" si="0"/>
        <v>0</v>
      </c>
      <c r="T25" s="112" t="s">
        <v>397</v>
      </c>
      <c r="U25" s="112" t="s">
        <v>15</v>
      </c>
      <c r="V25" s="112" t="s">
        <v>27</v>
      </c>
      <c r="W25" s="112" t="s">
        <v>29</v>
      </c>
      <c r="X25" s="112" t="s">
        <v>33</v>
      </c>
      <c r="Y25" s="112" t="s">
        <v>16</v>
      </c>
      <c r="Z25" s="112" t="s">
        <v>34</v>
      </c>
      <c r="AA25" s="112" t="s">
        <v>35</v>
      </c>
      <c r="AB25" s="112" t="s">
        <v>36</v>
      </c>
      <c r="AC25" s="112" t="s">
        <v>37</v>
      </c>
      <c r="AD25" s="112" t="s">
        <v>78</v>
      </c>
      <c r="AE25" s="112" t="s">
        <v>1</v>
      </c>
      <c r="AF25" s="112" t="s">
        <v>38</v>
      </c>
      <c r="AG25" s="112" t="s">
        <v>39</v>
      </c>
      <c r="AH25" s="112" t="s">
        <v>388</v>
      </c>
      <c r="AI25" s="112" t="s">
        <v>55</v>
      </c>
      <c r="AJ25" s="112" t="s">
        <v>56</v>
      </c>
      <c r="AK25" s="112" t="s">
        <v>57</v>
      </c>
      <c r="AL25" s="112" t="s">
        <v>58</v>
      </c>
      <c r="AM25" s="112" t="s">
        <v>59</v>
      </c>
      <c r="AN25" s="112" t="s">
        <v>60</v>
      </c>
      <c r="AO25" s="112" t="s">
        <v>40</v>
      </c>
      <c r="AP25" s="112" t="s">
        <v>17</v>
      </c>
      <c r="AQ25" s="112" t="s">
        <v>41</v>
      </c>
      <c r="AR25" s="112" t="s">
        <v>42</v>
      </c>
      <c r="AS25" s="112" t="s">
        <v>43</v>
      </c>
      <c r="AT25" s="112" t="s">
        <v>398</v>
      </c>
      <c r="AU25" s="112" t="s">
        <v>45</v>
      </c>
      <c r="AV25" s="112" t="s">
        <v>399</v>
      </c>
      <c r="AW25" s="112" t="s">
        <v>46</v>
      </c>
      <c r="AX25" s="112" t="s">
        <v>0</v>
      </c>
      <c r="AY25" s="112" t="s">
        <v>47</v>
      </c>
      <c r="AZ25" s="112" t="s">
        <v>48</v>
      </c>
      <c r="BA25" s="112" t="s">
        <v>368</v>
      </c>
      <c r="BB25" s="112" t="s">
        <v>369</v>
      </c>
      <c r="BC25" s="112" t="s">
        <v>49</v>
      </c>
      <c r="BD25" s="112" t="s">
        <v>99</v>
      </c>
      <c r="BE25" s="112" t="s">
        <v>125</v>
      </c>
      <c r="BM25" s="25"/>
      <c r="BN25" s="25"/>
      <c r="BO25" s="25"/>
    </row>
    <row r="26" spans="10:69">
      <c r="J26" s="9"/>
      <c r="K26" s="26"/>
      <c r="L26" s="9"/>
      <c r="M26" s="94"/>
      <c r="N26" s="9"/>
      <c r="O26" s="9"/>
      <c r="P26" s="25">
        <f t="shared" si="0"/>
        <v>0</v>
      </c>
    </row>
    <row r="27" spans="10:69">
      <c r="J27" s="9"/>
      <c r="K27" s="26"/>
      <c r="L27" s="9"/>
      <c r="M27" s="30"/>
      <c r="N27" s="9"/>
      <c r="O27" s="9"/>
      <c r="P27" s="25">
        <f t="shared" si="0"/>
        <v>0</v>
      </c>
    </row>
    <row r="28" spans="10:69">
      <c r="J28" s="9"/>
      <c r="K28" s="26"/>
      <c r="L28" s="9"/>
      <c r="M28" s="30"/>
      <c r="N28" s="9"/>
      <c r="O28" s="9"/>
      <c r="P28" s="25">
        <f t="shared" si="0"/>
        <v>0</v>
      </c>
    </row>
    <row r="29" spans="10:69">
      <c r="J29" s="9"/>
      <c r="K29" s="26"/>
      <c r="L29" s="9"/>
      <c r="M29" s="30"/>
      <c r="N29" s="9"/>
      <c r="O29" s="9"/>
      <c r="P29" s="25">
        <f t="shared" si="0"/>
        <v>0</v>
      </c>
    </row>
    <row r="30" spans="10:69">
      <c r="J30" s="9"/>
      <c r="K30" s="9"/>
      <c r="L30" s="9"/>
      <c r="M30" s="9"/>
      <c r="N30" s="9"/>
      <c r="O30" s="9"/>
      <c r="P30" s="25">
        <f t="shared" si="0"/>
        <v>0</v>
      </c>
    </row>
    <row r="31" spans="10:69">
      <c r="J31" s="9"/>
      <c r="K31" s="9"/>
      <c r="L31" s="9"/>
      <c r="M31" s="9"/>
      <c r="N31" s="9"/>
      <c r="O31" s="9"/>
      <c r="P31" s="25">
        <f t="shared" si="0"/>
        <v>0</v>
      </c>
    </row>
    <row r="32" spans="10:69">
      <c r="J32" s="9"/>
      <c r="K32" s="9"/>
      <c r="L32" s="9"/>
      <c r="M32" s="9"/>
      <c r="N32" s="9"/>
      <c r="O32" s="9"/>
      <c r="P32" s="25">
        <f t="shared" si="0"/>
        <v>0</v>
      </c>
    </row>
    <row r="33" spans="1:64">
      <c r="A33"/>
      <c r="B33"/>
      <c r="C33"/>
      <c r="D33"/>
      <c r="E33"/>
      <c r="F33"/>
      <c r="G33"/>
      <c r="H33"/>
      <c r="I33"/>
      <c r="J33" s="10">
        <f t="shared" ref="J33:O33" si="1">COUNTA(J2:J32)</f>
        <v>1</v>
      </c>
      <c r="K33" s="10">
        <f t="shared" si="1"/>
        <v>12</v>
      </c>
      <c r="L33" s="10">
        <f t="shared" si="1"/>
        <v>1</v>
      </c>
      <c r="M33" s="10">
        <f t="shared" si="1"/>
        <v>12</v>
      </c>
      <c r="N33" s="10">
        <f t="shared" si="1"/>
        <v>12</v>
      </c>
      <c r="O33" s="10">
        <f t="shared" si="1"/>
        <v>0</v>
      </c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</row>
    <row r="35" spans="1:64" s="18" customFormat="1">
      <c r="A35" s="17" t="s">
        <v>52</v>
      </c>
    </row>
    <row r="36" spans="1:64" s="26" customFormat="1" ht="34.200000000000003" customHeight="1">
      <c r="A36" s="112" t="s">
        <v>397</v>
      </c>
      <c r="B36" s="112" t="s">
        <v>15</v>
      </c>
      <c r="C36" s="112" t="s">
        <v>27</v>
      </c>
      <c r="D36" s="112" t="s">
        <v>29</v>
      </c>
      <c r="E36" s="112" t="s">
        <v>33</v>
      </c>
      <c r="F36" s="112" t="s">
        <v>16</v>
      </c>
      <c r="G36" s="112" t="s">
        <v>34</v>
      </c>
      <c r="H36" s="112" t="s">
        <v>35</v>
      </c>
      <c r="I36" s="112" t="s">
        <v>36</v>
      </c>
      <c r="J36" s="112" t="s">
        <v>37</v>
      </c>
      <c r="K36" s="112" t="s">
        <v>78</v>
      </c>
      <c r="L36" s="112" t="s">
        <v>1</v>
      </c>
      <c r="M36" s="112" t="s">
        <v>38</v>
      </c>
      <c r="N36" s="112" t="s">
        <v>39</v>
      </c>
      <c r="O36" s="112" t="s">
        <v>388</v>
      </c>
      <c r="P36" s="112" t="s">
        <v>55</v>
      </c>
      <c r="Q36" s="112" t="s">
        <v>56</v>
      </c>
      <c r="R36" s="112" t="s">
        <v>57</v>
      </c>
      <c r="S36" s="112" t="s">
        <v>58</v>
      </c>
      <c r="T36" s="112" t="s">
        <v>59</v>
      </c>
      <c r="U36" s="112" t="s">
        <v>60</v>
      </c>
      <c r="V36" s="112" t="s">
        <v>40</v>
      </c>
      <c r="W36" s="112" t="s">
        <v>17</v>
      </c>
      <c r="X36" s="112" t="s">
        <v>41</v>
      </c>
      <c r="Y36" s="112" t="s">
        <v>42</v>
      </c>
      <c r="Z36" s="112" t="s">
        <v>43</v>
      </c>
      <c r="AA36" s="112" t="s">
        <v>398</v>
      </c>
      <c r="AB36" s="112" t="s">
        <v>45</v>
      </c>
      <c r="AC36" s="112" t="s">
        <v>399</v>
      </c>
      <c r="AD36" s="112" t="s">
        <v>46</v>
      </c>
      <c r="AE36" s="112" t="s">
        <v>0</v>
      </c>
      <c r="AF36" s="112" t="s">
        <v>47</v>
      </c>
      <c r="AG36" s="112" t="s">
        <v>48</v>
      </c>
      <c r="AH36" s="112" t="s">
        <v>368</v>
      </c>
      <c r="AI36" s="112" t="s">
        <v>369</v>
      </c>
      <c r="AJ36" s="112" t="s">
        <v>49</v>
      </c>
      <c r="AK36" s="112" t="s">
        <v>99</v>
      </c>
      <c r="AL36" s="112" t="s">
        <v>125</v>
      </c>
      <c r="AM36"/>
      <c r="AN36"/>
      <c r="AO36"/>
      <c r="AP36"/>
      <c r="AQ36"/>
      <c r="AR36"/>
      <c r="AS36"/>
      <c r="AT36"/>
      <c r="AU36"/>
      <c r="AV36"/>
    </row>
    <row r="37" spans="1:64" ht="121.8">
      <c r="A37" s="116" t="s">
        <v>410</v>
      </c>
      <c r="B37" s="116" t="s">
        <v>425</v>
      </c>
      <c r="C37" s="116" t="s">
        <v>462</v>
      </c>
      <c r="D37" s="116" t="s">
        <v>569</v>
      </c>
      <c r="E37" s="116" t="s">
        <v>570</v>
      </c>
      <c r="F37" s="116" t="s">
        <v>571</v>
      </c>
      <c r="G37" s="116" t="s">
        <v>411</v>
      </c>
      <c r="H37" s="116" t="s">
        <v>572</v>
      </c>
      <c r="I37" s="116" t="s">
        <v>573</v>
      </c>
      <c r="J37" s="116" t="s">
        <v>50</v>
      </c>
      <c r="K37" s="116" t="s">
        <v>432</v>
      </c>
      <c r="L37" s="117">
        <v>-50000</v>
      </c>
      <c r="M37" s="117">
        <v>-97176</v>
      </c>
      <c r="N37" s="117">
        <v>-97176</v>
      </c>
      <c r="O37" s="117">
        <v>50000</v>
      </c>
      <c r="P37" s="117">
        <v>0</v>
      </c>
      <c r="Q37" s="117">
        <v>0</v>
      </c>
      <c r="R37" s="117">
        <v>0</v>
      </c>
      <c r="S37" s="117">
        <v>-222363</v>
      </c>
      <c r="T37" s="117">
        <v>0</v>
      </c>
      <c r="U37" s="117">
        <v>-301241</v>
      </c>
      <c r="V37" s="116" t="s">
        <v>574</v>
      </c>
      <c r="W37" s="116" t="s">
        <v>344</v>
      </c>
      <c r="X37" s="116" t="s">
        <v>463</v>
      </c>
      <c r="Y37" s="116" t="s">
        <v>413</v>
      </c>
      <c r="Z37" s="116" t="s">
        <v>575</v>
      </c>
      <c r="AA37" s="116" t="s">
        <v>576</v>
      </c>
      <c r="AB37" s="116" t="s">
        <v>575</v>
      </c>
      <c r="AC37" s="116" t="s">
        <v>576</v>
      </c>
      <c r="AD37" s="116" t="s">
        <v>464</v>
      </c>
      <c r="AE37" s="116" t="s">
        <v>568</v>
      </c>
      <c r="AF37" s="116" t="s">
        <v>570</v>
      </c>
      <c r="AG37" s="116" t="s">
        <v>577</v>
      </c>
      <c r="AH37" s="116"/>
      <c r="AI37" s="116"/>
      <c r="AJ37" s="116" t="s">
        <v>51</v>
      </c>
      <c r="AK37" s="116" t="s">
        <v>465</v>
      </c>
      <c r="AL37" s="116"/>
    </row>
    <row r="38" spans="1:64" ht="52.2">
      <c r="A38" s="116" t="s">
        <v>410</v>
      </c>
      <c r="B38" s="116" t="s">
        <v>578</v>
      </c>
      <c r="C38" s="116" t="s">
        <v>579</v>
      </c>
      <c r="D38" s="116" t="s">
        <v>580</v>
      </c>
      <c r="E38" s="116" t="s">
        <v>581</v>
      </c>
      <c r="F38" s="116" t="s">
        <v>571</v>
      </c>
      <c r="G38" s="116" t="s">
        <v>411</v>
      </c>
      <c r="H38" s="116" t="s">
        <v>582</v>
      </c>
      <c r="I38" s="116" t="s">
        <v>583</v>
      </c>
      <c r="J38" s="116" t="s">
        <v>50</v>
      </c>
      <c r="K38" s="116" t="s">
        <v>432</v>
      </c>
      <c r="L38" s="117">
        <v>-160714</v>
      </c>
      <c r="M38" s="117">
        <v>-401623</v>
      </c>
      <c r="N38" s="117">
        <v>-401623</v>
      </c>
      <c r="O38" s="117">
        <v>160714</v>
      </c>
      <c r="P38" s="117">
        <v>0</v>
      </c>
      <c r="Q38" s="117">
        <v>0</v>
      </c>
      <c r="R38" s="117">
        <v>0</v>
      </c>
      <c r="S38" s="117">
        <v>0</v>
      </c>
      <c r="T38" s="117">
        <v>0</v>
      </c>
      <c r="U38" s="117">
        <v>-886904</v>
      </c>
      <c r="V38" s="116" t="s">
        <v>584</v>
      </c>
      <c r="W38" s="116" t="s">
        <v>344</v>
      </c>
      <c r="X38" s="116" t="s">
        <v>458</v>
      </c>
      <c r="Y38" s="116" t="s">
        <v>413</v>
      </c>
      <c r="Z38" s="116" t="s">
        <v>585</v>
      </c>
      <c r="AA38" s="116" t="s">
        <v>586</v>
      </c>
      <c r="AB38" s="116" t="s">
        <v>587</v>
      </c>
      <c r="AC38" s="116" t="s">
        <v>588</v>
      </c>
      <c r="AD38" s="116" t="s">
        <v>464</v>
      </c>
      <c r="AE38" s="116" t="s">
        <v>567</v>
      </c>
      <c r="AF38" s="116" t="s">
        <v>581</v>
      </c>
      <c r="AG38" s="116" t="s">
        <v>589</v>
      </c>
      <c r="AH38" s="116"/>
      <c r="AI38" s="116"/>
      <c r="AJ38" s="116" t="s">
        <v>51</v>
      </c>
      <c r="AK38" s="116" t="s">
        <v>590</v>
      </c>
      <c r="AL38" s="116"/>
    </row>
    <row r="39" spans="1:64" ht="69.599999999999994">
      <c r="A39" s="116" t="s">
        <v>410</v>
      </c>
      <c r="B39" s="116" t="s">
        <v>416</v>
      </c>
      <c r="C39" s="116" t="s">
        <v>417</v>
      </c>
      <c r="D39" s="116" t="s">
        <v>442</v>
      </c>
      <c r="E39" s="116" t="s">
        <v>591</v>
      </c>
      <c r="F39" s="116" t="s">
        <v>571</v>
      </c>
      <c r="G39" s="116" t="s">
        <v>411</v>
      </c>
      <c r="H39" s="116" t="s">
        <v>592</v>
      </c>
      <c r="I39" s="116" t="s">
        <v>593</v>
      </c>
      <c r="J39" s="116" t="s">
        <v>594</v>
      </c>
      <c r="K39" s="116" t="s">
        <v>432</v>
      </c>
      <c r="L39" s="117">
        <v>-17250</v>
      </c>
      <c r="M39" s="117">
        <v>-3450</v>
      </c>
      <c r="N39" s="117">
        <v>-3277</v>
      </c>
      <c r="O39" s="117">
        <v>17250</v>
      </c>
      <c r="P39" s="117">
        <v>0</v>
      </c>
      <c r="Q39" s="117">
        <v>0</v>
      </c>
      <c r="R39" s="117">
        <v>0</v>
      </c>
      <c r="S39" s="117">
        <v>0</v>
      </c>
      <c r="T39" s="117">
        <v>0</v>
      </c>
      <c r="U39" s="117">
        <v>-4483</v>
      </c>
      <c r="V39" s="116" t="s">
        <v>595</v>
      </c>
      <c r="W39" s="116" t="s">
        <v>461</v>
      </c>
      <c r="X39" s="116" t="s">
        <v>463</v>
      </c>
      <c r="Y39" s="116" t="s">
        <v>596</v>
      </c>
      <c r="Z39" s="116" t="s">
        <v>597</v>
      </c>
      <c r="AA39" s="116" t="s">
        <v>598</v>
      </c>
      <c r="AB39" s="116" t="s">
        <v>597</v>
      </c>
      <c r="AC39" s="116" t="s">
        <v>598</v>
      </c>
      <c r="AD39" s="116" t="s">
        <v>464</v>
      </c>
      <c r="AE39" s="116" t="s">
        <v>566</v>
      </c>
      <c r="AF39" s="116" t="s">
        <v>591</v>
      </c>
      <c r="AG39" s="116" t="s">
        <v>599</v>
      </c>
      <c r="AH39" s="116"/>
      <c r="AI39" s="116"/>
      <c r="AJ39" s="116" t="s">
        <v>51</v>
      </c>
      <c r="AK39" s="116" t="s">
        <v>600</v>
      </c>
      <c r="AL39" s="116"/>
    </row>
    <row r="40" spans="1:64" ht="52.2">
      <c r="A40" s="124" t="s">
        <v>410</v>
      </c>
      <c r="B40" s="124" t="s">
        <v>454</v>
      </c>
      <c r="C40" s="124" t="s">
        <v>455</v>
      </c>
      <c r="D40" s="124" t="s">
        <v>456</v>
      </c>
      <c r="E40" s="124" t="s">
        <v>468</v>
      </c>
      <c r="F40" s="124" t="s">
        <v>571</v>
      </c>
      <c r="G40" s="124" t="s">
        <v>411</v>
      </c>
      <c r="H40" s="124" t="s">
        <v>601</v>
      </c>
      <c r="I40" s="124" t="s">
        <v>602</v>
      </c>
      <c r="J40" s="124" t="s">
        <v>50</v>
      </c>
      <c r="K40" s="124" t="s">
        <v>432</v>
      </c>
      <c r="L40" s="125">
        <v>-73070</v>
      </c>
      <c r="M40" s="125">
        <v>-160754</v>
      </c>
      <c r="N40" s="125">
        <v>-160754</v>
      </c>
      <c r="O40" s="117">
        <v>73070</v>
      </c>
      <c r="P40" s="125">
        <v>0</v>
      </c>
      <c r="Q40" s="125">
        <v>0</v>
      </c>
      <c r="R40" s="125">
        <v>0</v>
      </c>
      <c r="S40" s="125">
        <v>0</v>
      </c>
      <c r="T40" s="125">
        <v>0</v>
      </c>
      <c r="U40" s="125">
        <v>-502356</v>
      </c>
      <c r="V40" s="124" t="s">
        <v>412</v>
      </c>
      <c r="W40" s="124" t="s">
        <v>603</v>
      </c>
      <c r="X40" s="124" t="s">
        <v>458</v>
      </c>
      <c r="Y40" s="124" t="s">
        <v>604</v>
      </c>
      <c r="Z40" s="124" t="s">
        <v>605</v>
      </c>
      <c r="AA40" s="124" t="s">
        <v>606</v>
      </c>
      <c r="AB40" s="124" t="s">
        <v>605</v>
      </c>
      <c r="AC40" s="124" t="s">
        <v>606</v>
      </c>
      <c r="AD40" s="124" t="s">
        <v>434</v>
      </c>
      <c r="AE40" s="124" t="s">
        <v>554</v>
      </c>
      <c r="AF40" s="124" t="s">
        <v>468</v>
      </c>
      <c r="AG40" s="124" t="s">
        <v>607</v>
      </c>
      <c r="AH40" s="124"/>
      <c r="AI40" s="124"/>
      <c r="AJ40" s="124" t="s">
        <v>51</v>
      </c>
      <c r="AK40" s="124" t="s">
        <v>459</v>
      </c>
      <c r="AL40" s="124"/>
    </row>
    <row r="41" spans="1:64" ht="104.4">
      <c r="A41" s="116" t="s">
        <v>410</v>
      </c>
      <c r="B41" s="116" t="s">
        <v>454</v>
      </c>
      <c r="C41" s="116" t="s">
        <v>455</v>
      </c>
      <c r="D41" s="116" t="s">
        <v>608</v>
      </c>
      <c r="E41" s="116" t="s">
        <v>609</v>
      </c>
      <c r="F41" s="116" t="s">
        <v>571</v>
      </c>
      <c r="G41" s="116" t="s">
        <v>411</v>
      </c>
      <c r="H41" s="116" t="s">
        <v>610</v>
      </c>
      <c r="I41" s="116" t="s">
        <v>611</v>
      </c>
      <c r="J41" s="116" t="s">
        <v>50</v>
      </c>
      <c r="K41" s="116" t="s">
        <v>432</v>
      </c>
      <c r="L41" s="117">
        <v>-22600</v>
      </c>
      <c r="M41" s="117">
        <v>-51980</v>
      </c>
      <c r="N41" s="117">
        <v>-51980</v>
      </c>
      <c r="O41" s="117">
        <v>22600</v>
      </c>
      <c r="P41" s="117">
        <v>0</v>
      </c>
      <c r="Q41" s="117">
        <v>0</v>
      </c>
      <c r="R41" s="117">
        <v>0</v>
      </c>
      <c r="S41" s="117">
        <v>0</v>
      </c>
      <c r="T41" s="117">
        <v>0</v>
      </c>
      <c r="U41" s="117">
        <v>-171225</v>
      </c>
      <c r="V41" s="116" t="s">
        <v>460</v>
      </c>
      <c r="W41" s="116" t="s">
        <v>461</v>
      </c>
      <c r="X41" s="116" t="s">
        <v>436</v>
      </c>
      <c r="Y41" s="116" t="s">
        <v>413</v>
      </c>
      <c r="Z41" s="116" t="s">
        <v>612</v>
      </c>
      <c r="AA41" s="116" t="s">
        <v>613</v>
      </c>
      <c r="AB41" s="116" t="s">
        <v>614</v>
      </c>
      <c r="AC41" s="116" t="s">
        <v>615</v>
      </c>
      <c r="AD41" s="116" t="s">
        <v>464</v>
      </c>
      <c r="AE41" s="116" t="s">
        <v>559</v>
      </c>
      <c r="AF41" s="116" t="s">
        <v>609</v>
      </c>
      <c r="AG41" s="116" t="s">
        <v>616</v>
      </c>
      <c r="AH41" s="116"/>
      <c r="AI41" s="116"/>
      <c r="AJ41" s="116" t="s">
        <v>51</v>
      </c>
      <c r="AK41" s="116" t="s">
        <v>459</v>
      </c>
      <c r="AL41" s="116" t="s">
        <v>617</v>
      </c>
    </row>
    <row r="42" spans="1:64" ht="104.4">
      <c r="A42" s="116" t="s">
        <v>410</v>
      </c>
      <c r="B42" s="116" t="s">
        <v>454</v>
      </c>
      <c r="C42" s="116" t="s">
        <v>455</v>
      </c>
      <c r="D42" s="116" t="s">
        <v>608</v>
      </c>
      <c r="E42" s="116" t="s">
        <v>609</v>
      </c>
      <c r="F42" s="116" t="s">
        <v>571</v>
      </c>
      <c r="G42" s="116" t="s">
        <v>411</v>
      </c>
      <c r="H42" s="116" t="s">
        <v>610</v>
      </c>
      <c r="I42" s="116" t="s">
        <v>611</v>
      </c>
      <c r="J42" s="116" t="s">
        <v>50</v>
      </c>
      <c r="K42" s="116" t="s">
        <v>432</v>
      </c>
      <c r="L42" s="117">
        <v>-22700</v>
      </c>
      <c r="M42" s="117">
        <v>-52210</v>
      </c>
      <c r="N42" s="117">
        <v>-52210</v>
      </c>
      <c r="O42" s="117">
        <v>22700</v>
      </c>
      <c r="P42" s="117">
        <v>0</v>
      </c>
      <c r="Q42" s="117">
        <v>0</v>
      </c>
      <c r="R42" s="117">
        <v>0</v>
      </c>
      <c r="S42" s="117">
        <v>0</v>
      </c>
      <c r="T42" s="117">
        <v>0</v>
      </c>
      <c r="U42" s="117">
        <v>-171982</v>
      </c>
      <c r="V42" s="116" t="s">
        <v>460</v>
      </c>
      <c r="W42" s="116" t="s">
        <v>461</v>
      </c>
      <c r="X42" s="116" t="s">
        <v>436</v>
      </c>
      <c r="Y42" s="116" t="s">
        <v>413</v>
      </c>
      <c r="Z42" s="116" t="s">
        <v>614</v>
      </c>
      <c r="AA42" s="116" t="s">
        <v>615</v>
      </c>
      <c r="AB42" s="116" t="s">
        <v>614</v>
      </c>
      <c r="AC42" s="116" t="s">
        <v>615</v>
      </c>
      <c r="AD42" s="116" t="s">
        <v>464</v>
      </c>
      <c r="AE42" s="116" t="s">
        <v>560</v>
      </c>
      <c r="AF42" s="116" t="s">
        <v>609</v>
      </c>
      <c r="AG42" s="116" t="s">
        <v>616</v>
      </c>
      <c r="AH42" s="116"/>
      <c r="AI42" s="116"/>
      <c r="AJ42" s="116" t="s">
        <v>51</v>
      </c>
      <c r="AK42" s="116" t="s">
        <v>459</v>
      </c>
      <c r="AL42" s="116"/>
    </row>
    <row r="43" spans="1:64" ht="104.4">
      <c r="A43" s="116" t="s">
        <v>410</v>
      </c>
      <c r="B43" s="116" t="s">
        <v>425</v>
      </c>
      <c r="C43" s="116" t="s">
        <v>462</v>
      </c>
      <c r="D43" s="116" t="s">
        <v>467</v>
      </c>
      <c r="E43" s="116" t="s">
        <v>609</v>
      </c>
      <c r="F43" s="116" t="s">
        <v>571</v>
      </c>
      <c r="G43" s="116" t="s">
        <v>411</v>
      </c>
      <c r="H43" s="116" t="s">
        <v>610</v>
      </c>
      <c r="I43" s="116" t="s">
        <v>611</v>
      </c>
      <c r="J43" s="116" t="s">
        <v>50</v>
      </c>
      <c r="K43" s="116" t="s">
        <v>432</v>
      </c>
      <c r="L43" s="117">
        <v>-23520</v>
      </c>
      <c r="M43" s="117">
        <v>-54096</v>
      </c>
      <c r="N43" s="117">
        <v>-54096</v>
      </c>
      <c r="O43" s="117">
        <v>23520</v>
      </c>
      <c r="P43" s="117">
        <v>0</v>
      </c>
      <c r="Q43" s="117">
        <v>0</v>
      </c>
      <c r="R43" s="117">
        <v>0</v>
      </c>
      <c r="S43" s="117">
        <v>-123785</v>
      </c>
      <c r="T43" s="117">
        <v>0</v>
      </c>
      <c r="U43" s="117">
        <v>-167679</v>
      </c>
      <c r="V43" s="116" t="s">
        <v>460</v>
      </c>
      <c r="W43" s="116" t="s">
        <v>461</v>
      </c>
      <c r="X43" s="116" t="s">
        <v>436</v>
      </c>
      <c r="Y43" s="116" t="s">
        <v>413</v>
      </c>
      <c r="Z43" s="116" t="s">
        <v>618</v>
      </c>
      <c r="AA43" s="116" t="s">
        <v>619</v>
      </c>
      <c r="AB43" s="116" t="s">
        <v>618</v>
      </c>
      <c r="AC43" s="116" t="s">
        <v>619</v>
      </c>
      <c r="AD43" s="116" t="s">
        <v>464</v>
      </c>
      <c r="AE43" s="116" t="s">
        <v>561</v>
      </c>
      <c r="AF43" s="116" t="s">
        <v>609</v>
      </c>
      <c r="AG43" s="116" t="s">
        <v>616</v>
      </c>
      <c r="AH43" s="116"/>
      <c r="AI43" s="116"/>
      <c r="AJ43" s="116" t="s">
        <v>51</v>
      </c>
      <c r="AK43" s="116" t="s">
        <v>435</v>
      </c>
      <c r="AL43" s="116"/>
    </row>
    <row r="44" spans="1:64" ht="104.4">
      <c r="A44" s="116" t="s">
        <v>410</v>
      </c>
      <c r="B44" s="116" t="s">
        <v>425</v>
      </c>
      <c r="C44" s="116" t="s">
        <v>462</v>
      </c>
      <c r="D44" s="116" t="s">
        <v>620</v>
      </c>
      <c r="E44" s="116" t="s">
        <v>621</v>
      </c>
      <c r="F44" s="116" t="s">
        <v>571</v>
      </c>
      <c r="G44" s="116" t="s">
        <v>411</v>
      </c>
      <c r="H44" s="116" t="s">
        <v>610</v>
      </c>
      <c r="I44" s="116" t="s">
        <v>611</v>
      </c>
      <c r="J44" s="116" t="s">
        <v>50</v>
      </c>
      <c r="K44" s="116" t="s">
        <v>432</v>
      </c>
      <c r="L44" s="117">
        <v>-30000</v>
      </c>
      <c r="M44" s="117">
        <v>-60000</v>
      </c>
      <c r="N44" s="117">
        <v>-60000</v>
      </c>
      <c r="O44" s="117">
        <v>30000</v>
      </c>
      <c r="P44" s="117">
        <v>0</v>
      </c>
      <c r="Q44" s="117">
        <v>0</v>
      </c>
      <c r="R44" s="117">
        <v>0</v>
      </c>
      <c r="S44" s="117">
        <v>-126961</v>
      </c>
      <c r="T44" s="117">
        <v>0</v>
      </c>
      <c r="U44" s="117">
        <v>-161250</v>
      </c>
      <c r="V44" s="116" t="s">
        <v>622</v>
      </c>
      <c r="W44" s="116" t="s">
        <v>461</v>
      </c>
      <c r="X44" s="116" t="s">
        <v>466</v>
      </c>
      <c r="Y44" s="116" t="s">
        <v>413</v>
      </c>
      <c r="Z44" s="116" t="s">
        <v>623</v>
      </c>
      <c r="AA44" s="116" t="s">
        <v>624</v>
      </c>
      <c r="AB44" s="116" t="s">
        <v>623</v>
      </c>
      <c r="AC44" s="116" t="s">
        <v>624</v>
      </c>
      <c r="AD44" s="116" t="s">
        <v>464</v>
      </c>
      <c r="AE44" s="116" t="s">
        <v>565</v>
      </c>
      <c r="AF44" s="116" t="s">
        <v>621</v>
      </c>
      <c r="AG44" s="116" t="s">
        <v>625</v>
      </c>
      <c r="AH44" s="116"/>
      <c r="AI44" s="116"/>
      <c r="AJ44" s="116" t="s">
        <v>51</v>
      </c>
      <c r="AK44" s="116" t="s">
        <v>465</v>
      </c>
      <c r="AL44" s="116"/>
    </row>
    <row r="45" spans="1:64" ht="104.4">
      <c r="A45" s="116" t="s">
        <v>410</v>
      </c>
      <c r="B45" s="116" t="s">
        <v>454</v>
      </c>
      <c r="C45" s="116" t="s">
        <v>455</v>
      </c>
      <c r="D45" s="116" t="s">
        <v>608</v>
      </c>
      <c r="E45" s="116" t="s">
        <v>626</v>
      </c>
      <c r="F45" s="116" t="s">
        <v>571</v>
      </c>
      <c r="G45" s="116" t="s">
        <v>411</v>
      </c>
      <c r="H45" s="116" t="s">
        <v>610</v>
      </c>
      <c r="I45" s="116" t="s">
        <v>611</v>
      </c>
      <c r="J45" s="116" t="s">
        <v>50</v>
      </c>
      <c r="K45" s="116" t="s">
        <v>432</v>
      </c>
      <c r="L45" s="117">
        <v>-1760</v>
      </c>
      <c r="M45" s="117">
        <v>-4048</v>
      </c>
      <c r="N45" s="117">
        <v>-4048</v>
      </c>
      <c r="O45" s="117">
        <v>1760</v>
      </c>
      <c r="P45" s="117">
        <v>0</v>
      </c>
      <c r="Q45" s="117">
        <v>0</v>
      </c>
      <c r="R45" s="117">
        <v>0</v>
      </c>
      <c r="S45" s="117">
        <v>0</v>
      </c>
      <c r="T45" s="117">
        <v>0</v>
      </c>
      <c r="U45" s="117">
        <v>-9713</v>
      </c>
      <c r="V45" s="116" t="s">
        <v>460</v>
      </c>
      <c r="W45" s="116" t="s">
        <v>457</v>
      </c>
      <c r="X45" s="116" t="s">
        <v>428</v>
      </c>
      <c r="Y45" s="116" t="s">
        <v>413</v>
      </c>
      <c r="Z45" s="116" t="s">
        <v>627</v>
      </c>
      <c r="AA45" s="116" t="s">
        <v>628</v>
      </c>
      <c r="AB45" s="116" t="s">
        <v>627</v>
      </c>
      <c r="AC45" s="116" t="s">
        <v>628</v>
      </c>
      <c r="AD45" s="116" t="s">
        <v>464</v>
      </c>
      <c r="AE45" s="116" t="s">
        <v>564</v>
      </c>
      <c r="AF45" s="116" t="s">
        <v>626</v>
      </c>
      <c r="AG45" s="116" t="s">
        <v>629</v>
      </c>
      <c r="AH45" s="116"/>
      <c r="AI45" s="116"/>
      <c r="AJ45" s="116" t="s">
        <v>51</v>
      </c>
      <c r="AK45" s="116" t="s">
        <v>459</v>
      </c>
      <c r="AL45" s="116"/>
    </row>
    <row r="46" spans="1:64" ht="121.8">
      <c r="A46" s="116" t="s">
        <v>410</v>
      </c>
      <c r="B46" s="116" t="s">
        <v>425</v>
      </c>
      <c r="C46" s="116" t="s">
        <v>462</v>
      </c>
      <c r="D46" s="116" t="s">
        <v>630</v>
      </c>
      <c r="E46" s="116" t="s">
        <v>631</v>
      </c>
      <c r="F46" s="116" t="s">
        <v>571</v>
      </c>
      <c r="G46" s="116" t="s">
        <v>411</v>
      </c>
      <c r="H46" s="116" t="s">
        <v>572</v>
      </c>
      <c r="I46" s="116" t="s">
        <v>573</v>
      </c>
      <c r="J46" s="116" t="s">
        <v>50</v>
      </c>
      <c r="K46" s="116" t="s">
        <v>432</v>
      </c>
      <c r="L46" s="117">
        <v>-128400</v>
      </c>
      <c r="M46" s="117">
        <v>-217701</v>
      </c>
      <c r="N46" s="117">
        <v>-217701</v>
      </c>
      <c r="O46" s="117">
        <v>890</v>
      </c>
      <c r="P46" s="117">
        <v>0</v>
      </c>
      <c r="Q46" s="117">
        <v>0</v>
      </c>
      <c r="R46" s="117">
        <v>0</v>
      </c>
      <c r="S46" s="117">
        <v>-385670</v>
      </c>
      <c r="T46" s="117">
        <v>0</v>
      </c>
      <c r="U46" s="117">
        <v>-522429</v>
      </c>
      <c r="V46" s="116" t="s">
        <v>632</v>
      </c>
      <c r="W46" s="116" t="s">
        <v>344</v>
      </c>
      <c r="X46" s="116" t="s">
        <v>428</v>
      </c>
      <c r="Y46" s="116" t="s">
        <v>413</v>
      </c>
      <c r="Z46" s="116" t="s">
        <v>633</v>
      </c>
      <c r="AA46" s="116" t="s">
        <v>634</v>
      </c>
      <c r="AB46" s="116" t="s">
        <v>633</v>
      </c>
      <c r="AC46" s="116" t="s">
        <v>634</v>
      </c>
      <c r="AD46" s="116" t="s">
        <v>464</v>
      </c>
      <c r="AE46" s="116" t="s">
        <v>563</v>
      </c>
      <c r="AF46" s="116" t="s">
        <v>631</v>
      </c>
      <c r="AG46" s="116" t="s">
        <v>635</v>
      </c>
      <c r="AH46" s="116"/>
      <c r="AI46" s="116"/>
      <c r="AJ46" s="116" t="s">
        <v>51</v>
      </c>
      <c r="AK46" s="116" t="s">
        <v>465</v>
      </c>
      <c r="AL46" s="116"/>
    </row>
    <row r="47" spans="1:64" ht="69.599999999999994">
      <c r="A47" s="116" t="s">
        <v>410</v>
      </c>
      <c r="B47" s="116" t="s">
        <v>425</v>
      </c>
      <c r="C47" s="116" t="s">
        <v>462</v>
      </c>
      <c r="D47" s="116" t="s">
        <v>630</v>
      </c>
      <c r="E47" s="116" t="s">
        <v>631</v>
      </c>
      <c r="F47" s="116" t="s">
        <v>571</v>
      </c>
      <c r="G47" s="116" t="s">
        <v>411</v>
      </c>
      <c r="H47" s="116" t="s">
        <v>592</v>
      </c>
      <c r="I47" s="116" t="s">
        <v>593</v>
      </c>
      <c r="J47" s="116" t="s">
        <v>594</v>
      </c>
      <c r="K47" s="116" t="s">
        <v>432</v>
      </c>
      <c r="L47" s="117">
        <v>-46380</v>
      </c>
      <c r="M47" s="117">
        <v>-5320</v>
      </c>
      <c r="N47" s="117">
        <v>-5054</v>
      </c>
      <c r="O47" s="117">
        <v>46380</v>
      </c>
      <c r="P47" s="117">
        <v>0</v>
      </c>
      <c r="Q47" s="117">
        <v>0</v>
      </c>
      <c r="R47" s="117">
        <v>0</v>
      </c>
      <c r="S47" s="117">
        <v>-7823</v>
      </c>
      <c r="T47" s="117">
        <v>0</v>
      </c>
      <c r="U47" s="117">
        <v>-5352</v>
      </c>
      <c r="V47" s="116" t="s">
        <v>422</v>
      </c>
      <c r="W47" s="116" t="s">
        <v>344</v>
      </c>
      <c r="X47" s="116" t="s">
        <v>428</v>
      </c>
      <c r="Y47" s="116" t="s">
        <v>415</v>
      </c>
      <c r="Z47" s="116" t="s">
        <v>633</v>
      </c>
      <c r="AA47" s="116" t="s">
        <v>634</v>
      </c>
      <c r="AB47" s="116" t="s">
        <v>633</v>
      </c>
      <c r="AC47" s="116" t="s">
        <v>634</v>
      </c>
      <c r="AD47" s="116" t="s">
        <v>464</v>
      </c>
      <c r="AE47" s="116" t="s">
        <v>562</v>
      </c>
      <c r="AF47" s="116" t="s">
        <v>631</v>
      </c>
      <c r="AG47" s="116" t="s">
        <v>636</v>
      </c>
      <c r="AH47" s="116"/>
      <c r="AI47" s="116"/>
      <c r="AJ47" s="116" t="s">
        <v>51</v>
      </c>
      <c r="AK47" s="116" t="s">
        <v>465</v>
      </c>
      <c r="AL47" s="116"/>
    </row>
    <row r="48" spans="1:64">
      <c r="A48" s="26" t="s">
        <v>410</v>
      </c>
      <c r="B48" s="26" t="s">
        <v>637</v>
      </c>
      <c r="C48" s="26" t="s">
        <v>462</v>
      </c>
      <c r="D48" s="26" t="s">
        <v>630</v>
      </c>
      <c r="E48" s="26" t="s">
        <v>631</v>
      </c>
      <c r="F48" s="26" t="s">
        <v>571</v>
      </c>
      <c r="G48" s="26" t="s">
        <v>638</v>
      </c>
      <c r="H48" s="26" t="s">
        <v>592</v>
      </c>
      <c r="I48" s="26" t="s">
        <v>593</v>
      </c>
      <c r="J48" s="26" t="s">
        <v>594</v>
      </c>
      <c r="K48" s="26">
        <v>20210228</v>
      </c>
      <c r="L48" s="26">
        <v>-1340</v>
      </c>
      <c r="M48" s="26">
        <v>-147</v>
      </c>
      <c r="N48" s="26">
        <v>-139</v>
      </c>
      <c r="O48" s="117">
        <v>46380</v>
      </c>
      <c r="Q48" s="26">
        <v>0</v>
      </c>
      <c r="R48" s="26">
        <v>0</v>
      </c>
      <c r="S48" s="26">
        <v>-300</v>
      </c>
      <c r="T48" s="26">
        <v>0</v>
      </c>
      <c r="U48" s="26">
        <v>-205</v>
      </c>
      <c r="V48" s="26">
        <v>11</v>
      </c>
      <c r="W48" s="26" t="s">
        <v>457</v>
      </c>
      <c r="X48" s="26">
        <v>1</v>
      </c>
      <c r="Y48" s="26">
        <v>12</v>
      </c>
      <c r="Z48" s="26" t="s">
        <v>633</v>
      </c>
      <c r="AA48" s="26" t="s">
        <v>634</v>
      </c>
      <c r="AB48" s="26" t="s">
        <v>633</v>
      </c>
      <c r="AC48" s="26" t="s">
        <v>634</v>
      </c>
      <c r="AD48" s="26">
        <v>20210215</v>
      </c>
      <c r="AE48" s="26" t="s">
        <v>562</v>
      </c>
      <c r="AF48" s="26">
        <v>20210114</v>
      </c>
      <c r="AG48" s="26">
        <v>20220114</v>
      </c>
      <c r="AH48" s="26"/>
      <c r="AI48" s="26"/>
      <c r="AJ48" s="26" t="s">
        <v>51</v>
      </c>
      <c r="AK48" s="26" t="s">
        <v>465</v>
      </c>
      <c r="AL48" s="26"/>
    </row>
  </sheetData>
  <sortState ref="A37:AL110">
    <sortCondition ref="AE37:AE110"/>
    <sortCondition descending="1" ref="X37:X110"/>
  </sortState>
  <mergeCells count="4">
    <mergeCell ref="C2:H2"/>
    <mergeCell ref="C3:H3"/>
    <mergeCell ref="C4:H4"/>
    <mergeCell ref="C5:H5"/>
  </mergeCells>
  <phoneticPr fontId="1" type="noConversion"/>
  <conditionalFormatting sqref="M3">
    <cfRule type="duplicateValues" dxfId="0" priority="1"/>
  </conditionalFormatting>
  <dataValidations disablePrompts="1" count="2">
    <dataValidation type="list" allowBlank="1" showInputMessage="1" showErrorMessage="1" sqref="A3">
      <formula1>"수수료,시상"</formula1>
    </dataValidation>
    <dataValidation type="list" allowBlank="1" showInputMessage="1" showErrorMessage="1" sqref="A4">
      <formula1>IF($A$3="시상",시상년월,수수료년월)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eleteRange">
                <anchor moveWithCells="1" sizeWithCells="1">
                  <from>
                    <xdr:col>4</xdr:col>
                    <xdr:colOff>685800</xdr:colOff>
                    <xdr:row>5</xdr:row>
                    <xdr:rowOff>213360</xdr:rowOff>
                  </from>
                  <to>
                    <xdr:col>7</xdr:col>
                    <xdr:colOff>121920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tDataFromExcelFile">
                <anchor moveWithCells="1" sizeWithCells="1">
                  <from>
                    <xdr:col>0</xdr:col>
                    <xdr:colOff>228600</xdr:colOff>
                    <xdr:row>4</xdr:row>
                    <xdr:rowOff>213360</xdr:rowOff>
                  </from>
                  <to>
                    <xdr:col>2</xdr:col>
                    <xdr:colOff>609600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컬럼추출">
                <anchor moveWithCells="1" sizeWithCells="1">
                  <from>
                    <xdr:col>7</xdr:col>
                    <xdr:colOff>274320</xdr:colOff>
                    <xdr:row>5</xdr:row>
                    <xdr:rowOff>213360</xdr:rowOff>
                  </from>
                  <to>
                    <xdr:col>8</xdr:col>
                    <xdr:colOff>365760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컬럼토글">
                <anchor moveWithCells="1" sizeWithCells="1">
                  <from>
                    <xdr:col>7</xdr:col>
                    <xdr:colOff>289560</xdr:colOff>
                    <xdr:row>7</xdr:row>
                    <xdr:rowOff>213360</xdr:rowOff>
                  </from>
                  <to>
                    <xdr:col>8</xdr:col>
                    <xdr:colOff>571500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GetDataFromExcelFiles">
                <anchor moveWithCells="1" sizeWithCells="1">
                  <from>
                    <xdr:col>2</xdr:col>
                    <xdr:colOff>678180</xdr:colOff>
                    <xdr:row>4</xdr:row>
                    <xdr:rowOff>213360</xdr:rowOff>
                  </from>
                  <to>
                    <xdr:col>4</xdr:col>
                    <xdr:colOff>533400</xdr:colOff>
                    <xdr:row>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C000"/>
  </sheetPr>
  <dimension ref="A1:AI35"/>
  <sheetViews>
    <sheetView workbookViewId="0">
      <selection activeCell="H33" sqref="H33"/>
    </sheetView>
  </sheetViews>
  <sheetFormatPr defaultRowHeight="17.399999999999999"/>
  <cols>
    <col min="2" max="2" width="17" customWidth="1"/>
  </cols>
  <sheetData>
    <row r="1" spans="1:35" s="25" customFormat="1">
      <c r="A1" s="25" t="s">
        <v>169</v>
      </c>
      <c r="AI1" s="35"/>
    </row>
    <row r="2" spans="1:35" s="25" customFormat="1">
      <c r="I2" s="25" t="s">
        <v>264</v>
      </c>
      <c r="M2" s="25" t="s">
        <v>262</v>
      </c>
      <c r="AI2" s="35"/>
    </row>
    <row r="3" spans="1:35" s="25" customFormat="1">
      <c r="A3" s="36" t="s">
        <v>168</v>
      </c>
      <c r="B3" s="37" t="s">
        <v>166</v>
      </c>
      <c r="C3" s="38" t="s">
        <v>167</v>
      </c>
      <c r="D3" s="37" t="s">
        <v>161</v>
      </c>
      <c r="E3" s="37" t="s">
        <v>162</v>
      </c>
      <c r="F3" s="37" t="s">
        <v>163</v>
      </c>
      <c r="G3" s="37" t="s">
        <v>164</v>
      </c>
      <c r="I3" s="38" t="s">
        <v>167</v>
      </c>
      <c r="J3" s="37" t="s">
        <v>161</v>
      </c>
      <c r="K3" s="37" t="s">
        <v>162</v>
      </c>
      <c r="M3" s="39" t="s">
        <v>167</v>
      </c>
      <c r="N3" s="39" t="s">
        <v>161</v>
      </c>
      <c r="O3" s="39" t="s">
        <v>162</v>
      </c>
      <c r="AI3" s="35"/>
    </row>
    <row r="4" spans="1:35" s="25" customFormat="1">
      <c r="A4" s="37" t="s">
        <v>156</v>
      </c>
      <c r="B4" s="38" t="s">
        <v>433</v>
      </c>
      <c r="C4" s="91" t="s">
        <v>642</v>
      </c>
      <c r="D4" s="39" t="s">
        <v>347</v>
      </c>
      <c r="E4" s="39" t="s">
        <v>348</v>
      </c>
      <c r="F4" s="39"/>
      <c r="G4" s="39"/>
      <c r="I4" s="38" t="s">
        <v>267</v>
      </c>
      <c r="J4" s="39" t="s">
        <v>268</v>
      </c>
      <c r="K4" s="39" t="s">
        <v>265</v>
      </c>
      <c r="M4" s="39" t="s">
        <v>158</v>
      </c>
      <c r="N4" s="39" t="s">
        <v>159</v>
      </c>
      <c r="O4" s="39" t="s">
        <v>160</v>
      </c>
      <c r="AI4" s="35"/>
    </row>
    <row r="5" spans="1:35" s="25" customFormat="1">
      <c r="A5" s="37" t="s">
        <v>157</v>
      </c>
      <c r="B5" s="38" t="s">
        <v>433</v>
      </c>
      <c r="C5" s="38" t="s">
        <v>356</v>
      </c>
      <c r="D5" s="39" t="s">
        <v>347</v>
      </c>
      <c r="E5" s="39" t="s">
        <v>348</v>
      </c>
      <c r="F5" s="39"/>
      <c r="G5" s="39"/>
      <c r="I5" s="38" t="s">
        <v>158</v>
      </c>
      <c r="J5" s="39" t="s">
        <v>159</v>
      </c>
      <c r="K5" s="39" t="s">
        <v>160</v>
      </c>
      <c r="M5" s="39" t="s">
        <v>263</v>
      </c>
      <c r="N5" s="39" t="s">
        <v>265</v>
      </c>
      <c r="O5" s="39" t="s">
        <v>266</v>
      </c>
      <c r="AI5" s="35"/>
    </row>
    <row r="6" spans="1:35" s="25" customFormat="1">
      <c r="AI6" s="35"/>
    </row>
    <row r="7" spans="1:35" s="25" customFormat="1">
      <c r="AI7" s="35"/>
    </row>
    <row r="8" spans="1:35" s="25" customFormat="1">
      <c r="AI8" s="35"/>
    </row>
    <row r="9" spans="1:35" s="25" customFormat="1">
      <c r="A9" s="76" t="str">
        <f>C4&amp;" 시트에는 있으나 " &amp; C5 &amp;" 시트에는 없는 값"</f>
        <v>메리츠 시트에는 있으나 정산 시트에는 없는 값</v>
      </c>
      <c r="B9" s="40"/>
      <c r="C9" s="40"/>
      <c r="AI9" s="35"/>
    </row>
    <row r="10" spans="1:35" s="25" customFormat="1" ht="5.25" customHeight="1">
      <c r="AI10" s="35"/>
    </row>
    <row r="11" spans="1:35" s="25" customFormat="1">
      <c r="A11" t="s">
        <v>165</v>
      </c>
      <c r="B11" t="s">
        <v>643</v>
      </c>
      <c r="AI11" s="35"/>
    </row>
    <row r="12" spans="1:35" s="25" customFormat="1">
      <c r="A12" t="s">
        <v>357</v>
      </c>
      <c r="B12" t="s">
        <v>358</v>
      </c>
      <c r="AI12" s="35"/>
    </row>
    <row r="13" spans="1:35">
      <c r="A13" t="s">
        <v>444</v>
      </c>
      <c r="B13" t="s">
        <v>644</v>
      </c>
    </row>
    <row r="14" spans="1:35">
      <c r="A14" t="s">
        <v>445</v>
      </c>
      <c r="B14" t="s">
        <v>358</v>
      </c>
    </row>
    <row r="15" spans="1:35">
      <c r="A15" t="s">
        <v>645</v>
      </c>
      <c r="B15" t="s">
        <v>646</v>
      </c>
    </row>
    <row r="16" spans="1:35">
      <c r="A16" t="s">
        <v>647</v>
      </c>
      <c r="B16" t="s">
        <v>358</v>
      </c>
    </row>
    <row r="17" spans="1:2">
      <c r="A17" t="s">
        <v>648</v>
      </c>
      <c r="B17" t="s">
        <v>649</v>
      </c>
    </row>
    <row r="18" spans="1:2">
      <c r="A18" t="s">
        <v>650</v>
      </c>
      <c r="B18" t="s">
        <v>358</v>
      </c>
    </row>
    <row r="19" spans="1:2">
      <c r="A19" t="s">
        <v>651</v>
      </c>
      <c r="B19" t="s">
        <v>652</v>
      </c>
    </row>
    <row r="20" spans="1:2">
      <c r="A20" t="s">
        <v>446</v>
      </c>
      <c r="B20" t="s">
        <v>358</v>
      </c>
    </row>
    <row r="21" spans="1:2">
      <c r="A21" t="s">
        <v>447</v>
      </c>
      <c r="B21" t="s">
        <v>653</v>
      </c>
    </row>
    <row r="22" spans="1:2">
      <c r="A22" t="s">
        <v>654</v>
      </c>
      <c r="B22" t="s">
        <v>655</v>
      </c>
    </row>
    <row r="23" spans="1:2">
      <c r="A23" t="s">
        <v>656</v>
      </c>
      <c r="B23" t="s">
        <v>358</v>
      </c>
    </row>
    <row r="24" spans="1:2">
      <c r="A24" t="s">
        <v>657</v>
      </c>
      <c r="B24" t="s">
        <v>658</v>
      </c>
    </row>
    <row r="25" spans="1:2">
      <c r="A25" t="s">
        <v>659</v>
      </c>
      <c r="B25" t="s">
        <v>358</v>
      </c>
    </row>
    <row r="26" spans="1:2">
      <c r="A26" t="s">
        <v>448</v>
      </c>
      <c r="B26" t="s">
        <v>653</v>
      </c>
    </row>
    <row r="27" spans="1:2">
      <c r="A27" t="s">
        <v>660</v>
      </c>
      <c r="B27" t="s">
        <v>661</v>
      </c>
    </row>
    <row r="28" spans="1:2">
      <c r="A28" t="s">
        <v>662</v>
      </c>
      <c r="B28" t="s">
        <v>358</v>
      </c>
    </row>
    <row r="29" spans="1:2">
      <c r="A29" t="s">
        <v>449</v>
      </c>
      <c r="B29" t="s">
        <v>663</v>
      </c>
    </row>
    <row r="30" spans="1:2">
      <c r="A30" t="s">
        <v>664</v>
      </c>
      <c r="B30" t="s">
        <v>358</v>
      </c>
    </row>
    <row r="31" spans="1:2">
      <c r="A31" t="s">
        <v>450</v>
      </c>
      <c r="B31" t="s">
        <v>665</v>
      </c>
    </row>
    <row r="32" spans="1:2">
      <c r="A32" t="s">
        <v>666</v>
      </c>
      <c r="B32" t="s">
        <v>667</v>
      </c>
    </row>
    <row r="33" spans="1:2">
      <c r="A33" t="s">
        <v>668</v>
      </c>
      <c r="B33" t="s">
        <v>358</v>
      </c>
    </row>
    <row r="34" spans="1:2">
      <c r="A34" t="s">
        <v>451</v>
      </c>
      <c r="B34" t="s">
        <v>669</v>
      </c>
    </row>
    <row r="35" spans="1:2">
      <c r="A35" t="s">
        <v>670</v>
      </c>
      <c r="B35" t="s">
        <v>358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nd_ValueByCol">
                <anchor moveWithCells="1" sizeWithCells="1">
                  <from>
                    <xdr:col>2</xdr:col>
                    <xdr:colOff>175260</xdr:colOff>
                    <xdr:row>5</xdr:row>
                    <xdr:rowOff>152400</xdr:rowOff>
                  </from>
                  <to>
                    <xdr:col>3</xdr:col>
                    <xdr:colOff>236220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15"/>
  <sheetViews>
    <sheetView workbookViewId="0">
      <pane xSplit="1" topLeftCell="B1" activePane="topRight" state="frozen"/>
      <selection pane="topRight" activeCell="G6" sqref="G6"/>
    </sheetView>
  </sheetViews>
  <sheetFormatPr defaultRowHeight="17.399999999999999"/>
  <sheetData>
    <row r="1" spans="1:11">
      <c r="A1" t="s">
        <v>294</v>
      </c>
      <c r="D1" t="s">
        <v>308</v>
      </c>
      <c r="F1" t="s">
        <v>313</v>
      </c>
    </row>
    <row r="2" spans="1:11">
      <c r="A2" s="25" t="s">
        <v>986</v>
      </c>
      <c r="D2" t="s">
        <v>295</v>
      </c>
      <c r="F2" t="s">
        <v>309</v>
      </c>
    </row>
    <row r="3" spans="1:11">
      <c r="D3" t="s">
        <v>296</v>
      </c>
      <c r="F3" t="s">
        <v>310</v>
      </c>
    </row>
    <row r="4" spans="1:11">
      <c r="D4" s="25" t="s">
        <v>297</v>
      </c>
      <c r="F4" t="s">
        <v>311</v>
      </c>
    </row>
    <row r="5" spans="1:11">
      <c r="D5" s="25" t="s">
        <v>298</v>
      </c>
      <c r="F5" t="s">
        <v>312</v>
      </c>
      <c r="H5" t="s">
        <v>314</v>
      </c>
    </row>
    <row r="6" spans="1:11">
      <c r="D6" s="25" t="s">
        <v>299</v>
      </c>
      <c r="H6" t="s">
        <v>315</v>
      </c>
    </row>
    <row r="7" spans="1:11">
      <c r="D7" s="25" t="s">
        <v>300</v>
      </c>
    </row>
    <row r="8" spans="1:11">
      <c r="D8" s="25" t="s">
        <v>301</v>
      </c>
    </row>
    <row r="9" spans="1:11">
      <c r="D9" s="25" t="s">
        <v>302</v>
      </c>
    </row>
    <row r="10" spans="1:11">
      <c r="D10" s="25" t="s">
        <v>303</v>
      </c>
      <c r="K10" t="s">
        <v>354</v>
      </c>
    </row>
    <row r="11" spans="1:11">
      <c r="D11" s="25" t="s">
        <v>304</v>
      </c>
    </row>
    <row r="12" spans="1:11">
      <c r="D12" s="25" t="s">
        <v>305</v>
      </c>
    </row>
    <row r="13" spans="1:11">
      <c r="D13" s="25" t="s">
        <v>306</v>
      </c>
    </row>
    <row r="14" spans="1:11">
      <c r="D14" s="25" t="s">
        <v>307</v>
      </c>
    </row>
    <row r="15" spans="1:11">
      <c r="D15" s="25" t="s">
        <v>352</v>
      </c>
      <c r="H15" s="25" t="s">
        <v>365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시트초기화">
                <anchor moveWithCells="1" sizeWithCells="1">
                  <from>
                    <xdr:col>6</xdr:col>
                    <xdr:colOff>381000</xdr:colOff>
                    <xdr:row>1</xdr:row>
                    <xdr:rowOff>99060</xdr:rowOff>
                  </from>
                  <to>
                    <xdr:col>8</xdr:col>
                    <xdr:colOff>22860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시트크기점검">
                <anchor moveWithCells="1" sizeWithCells="1">
                  <from>
                    <xdr:col>9</xdr:col>
                    <xdr:colOff>693420</xdr:colOff>
                    <xdr:row>6</xdr:row>
                    <xdr:rowOff>213360</xdr:rowOff>
                  </from>
                  <to>
                    <xdr:col>12</xdr:col>
                    <xdr:colOff>563880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합계참조컬럼체크">
                <anchor moveWithCells="1" sizeWithCells="1">
                  <from>
                    <xdr:col>6</xdr:col>
                    <xdr:colOff>594360</xdr:colOff>
                    <xdr:row>10</xdr:row>
                    <xdr:rowOff>198120</xdr:rowOff>
                  </from>
                  <to>
                    <xdr:col>8</xdr:col>
                    <xdr:colOff>259080</xdr:colOff>
                    <xdr:row>13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77"/>
  <sheetViews>
    <sheetView workbookViewId="0">
      <selection activeCell="E12" sqref="E12:E16"/>
    </sheetView>
  </sheetViews>
  <sheetFormatPr defaultRowHeight="17.399999999999999"/>
  <cols>
    <col min="2" max="2" width="54.8984375" customWidth="1"/>
    <col min="3" max="3" width="40.5" bestFit="1" customWidth="1"/>
    <col min="4" max="4" width="12.59765625" bestFit="1" customWidth="1"/>
    <col min="5" max="5" width="9" style="19"/>
  </cols>
  <sheetData>
    <row r="1" spans="1:7">
      <c r="A1" t="s">
        <v>20</v>
      </c>
      <c r="G1" t="s">
        <v>91</v>
      </c>
    </row>
    <row r="2" spans="1:7">
      <c r="A2" s="11" t="s">
        <v>19</v>
      </c>
      <c r="B2" s="11" t="s">
        <v>9</v>
      </c>
      <c r="C2" s="11" t="s">
        <v>3</v>
      </c>
      <c r="D2" s="11" t="s">
        <v>4</v>
      </c>
      <c r="E2" s="23" t="s">
        <v>88</v>
      </c>
      <c r="F2" s="115" t="s">
        <v>406</v>
      </c>
      <c r="G2" t="s">
        <v>92</v>
      </c>
    </row>
    <row r="3" spans="1:7" s="25" customFormat="1">
      <c r="A3" s="11">
        <v>202107</v>
      </c>
      <c r="B3" s="21" t="s">
        <v>430</v>
      </c>
      <c r="C3" s="25" t="s">
        <v>429</v>
      </c>
      <c r="D3" s="12" t="s">
        <v>360</v>
      </c>
      <c r="E3" s="19" t="s">
        <v>107</v>
      </c>
      <c r="F3" s="19" t="s">
        <v>407</v>
      </c>
    </row>
    <row r="4" spans="1:7" s="25" customFormat="1">
      <c r="A4" s="11">
        <v>202106</v>
      </c>
      <c r="B4" s="21" t="s">
        <v>423</v>
      </c>
      <c r="C4" s="12" t="s">
        <v>424</v>
      </c>
      <c r="D4" s="12" t="s">
        <v>360</v>
      </c>
      <c r="E4" s="19" t="s">
        <v>107</v>
      </c>
      <c r="F4" s="19" t="s">
        <v>407</v>
      </c>
    </row>
    <row r="5" spans="1:7" s="25" customFormat="1">
      <c r="A5" s="11">
        <v>202105</v>
      </c>
      <c r="B5" s="21" t="s">
        <v>419</v>
      </c>
      <c r="C5" s="12" t="s">
        <v>420</v>
      </c>
      <c r="D5" s="12" t="s">
        <v>360</v>
      </c>
      <c r="E5" s="19" t="s">
        <v>107</v>
      </c>
      <c r="F5" s="19" t="s">
        <v>407</v>
      </c>
    </row>
    <row r="6" spans="1:7" s="25" customFormat="1">
      <c r="A6" s="11">
        <v>202104</v>
      </c>
      <c r="B6" s="21" t="s">
        <v>396</v>
      </c>
      <c r="C6" s="12" t="s">
        <v>391</v>
      </c>
      <c r="D6" s="12" t="s">
        <v>360</v>
      </c>
      <c r="E6" s="19" t="s">
        <v>107</v>
      </c>
      <c r="F6" s="19" t="s">
        <v>407</v>
      </c>
    </row>
    <row r="7" spans="1:7" s="25" customFormat="1">
      <c r="A7" s="11">
        <v>202103</v>
      </c>
      <c r="B7" s="21" t="s">
        <v>393</v>
      </c>
      <c r="C7" s="12" t="s">
        <v>392</v>
      </c>
      <c r="D7" s="12" t="s">
        <v>360</v>
      </c>
      <c r="E7" s="19" t="s">
        <v>107</v>
      </c>
      <c r="F7" s="19" t="s">
        <v>408</v>
      </c>
    </row>
    <row r="8" spans="1:7" s="25" customFormat="1">
      <c r="A8" s="11">
        <v>202102</v>
      </c>
      <c r="B8" s="21" t="s">
        <v>394</v>
      </c>
      <c r="C8" s="12" t="s">
        <v>366</v>
      </c>
      <c r="D8" s="12" t="s">
        <v>360</v>
      </c>
      <c r="E8" s="19" t="s">
        <v>107</v>
      </c>
      <c r="F8" s="19" t="s">
        <v>408</v>
      </c>
    </row>
    <row r="9" spans="1:7" s="25" customFormat="1">
      <c r="A9" s="11">
        <v>202101</v>
      </c>
      <c r="B9" s="21" t="s">
        <v>395</v>
      </c>
      <c r="C9" s="12" t="s">
        <v>361</v>
      </c>
      <c r="D9" s="12" t="s">
        <v>360</v>
      </c>
      <c r="E9" s="19" t="s">
        <v>107</v>
      </c>
      <c r="F9" s="19" t="s">
        <v>408</v>
      </c>
    </row>
    <row r="10" spans="1:7" s="25" customFormat="1">
      <c r="A10" s="11">
        <v>202012</v>
      </c>
      <c r="B10" s="21" t="s">
        <v>359</v>
      </c>
      <c r="C10" s="12" t="s">
        <v>355</v>
      </c>
      <c r="D10" s="12" t="s">
        <v>360</v>
      </c>
      <c r="E10" s="19" t="s">
        <v>107</v>
      </c>
      <c r="F10" s="19" t="s">
        <v>408</v>
      </c>
    </row>
    <row r="11" spans="1:7" s="25" customFormat="1">
      <c r="A11" s="11">
        <v>202011</v>
      </c>
      <c r="B11" s="21" t="str">
        <f t="shared" ref="B11:B51" si="0">"e:\글로벌백업(180329)\04.수수료작업\"&amp;A11&amp;"수수료\"</f>
        <v>e:\글로벌백업(180329)\04.수수료작업\202011수수료\</v>
      </c>
      <c r="C11" s="12" t="s">
        <v>353</v>
      </c>
      <c r="D11" s="12" t="s">
        <v>18</v>
      </c>
      <c r="E11" s="19" t="s">
        <v>107</v>
      </c>
      <c r="F11" s="19" t="s">
        <v>408</v>
      </c>
    </row>
    <row r="12" spans="1:7" s="25" customFormat="1">
      <c r="A12" s="11">
        <v>202010</v>
      </c>
      <c r="B12" s="21" t="str">
        <f t="shared" si="0"/>
        <v>e:\글로벌백업(180329)\04.수수료작업\202010수수료\</v>
      </c>
      <c r="C12" s="12" t="s">
        <v>351</v>
      </c>
      <c r="D12" s="12" t="s">
        <v>18</v>
      </c>
      <c r="E12" s="19"/>
      <c r="F12" s="19" t="s">
        <v>408</v>
      </c>
    </row>
    <row r="13" spans="1:7" s="25" customFormat="1">
      <c r="A13" s="11">
        <v>202009</v>
      </c>
      <c r="B13" s="21" t="str">
        <f t="shared" si="0"/>
        <v>e:\글로벌백업(180329)\04.수수료작업\202009수수료\</v>
      </c>
      <c r="C13" s="12" t="s">
        <v>349</v>
      </c>
      <c r="D13" s="12" t="s">
        <v>18</v>
      </c>
      <c r="E13" s="19"/>
      <c r="F13" s="19" t="s">
        <v>408</v>
      </c>
    </row>
    <row r="14" spans="1:7" s="25" customFormat="1">
      <c r="A14" s="11">
        <v>202008</v>
      </c>
      <c r="B14" s="21" t="str">
        <f t="shared" si="0"/>
        <v>e:\글로벌백업(180329)\04.수수료작업\202008수수료\</v>
      </c>
      <c r="C14" s="12" t="s">
        <v>346</v>
      </c>
      <c r="D14" s="12" t="s">
        <v>18</v>
      </c>
      <c r="E14" s="19"/>
      <c r="F14" s="19" t="s">
        <v>408</v>
      </c>
    </row>
    <row r="15" spans="1:7" s="25" customFormat="1">
      <c r="A15" s="11">
        <v>202007</v>
      </c>
      <c r="B15" s="21" t="str">
        <f t="shared" si="0"/>
        <v>e:\글로벌백업(180329)\04.수수료작업\202007수수료\</v>
      </c>
      <c r="C15" s="12" t="s">
        <v>345</v>
      </c>
      <c r="D15" s="12" t="s">
        <v>18</v>
      </c>
      <c r="E15" s="19"/>
      <c r="F15" s="19" t="s">
        <v>408</v>
      </c>
    </row>
    <row r="16" spans="1:7" s="25" customFormat="1">
      <c r="A16" s="11">
        <v>202006</v>
      </c>
      <c r="B16" s="21" t="str">
        <f t="shared" si="0"/>
        <v>e:\글로벌백업(180329)\04.수수료작업\202006수수료\</v>
      </c>
      <c r="C16" s="12" t="s">
        <v>343</v>
      </c>
      <c r="D16" s="12" t="s">
        <v>18</v>
      </c>
      <c r="E16" s="19"/>
      <c r="F16" s="19" t="s">
        <v>408</v>
      </c>
    </row>
    <row r="17" spans="1:6" s="25" customFormat="1">
      <c r="A17" s="11">
        <v>202005</v>
      </c>
      <c r="B17" s="21" t="str">
        <f t="shared" si="0"/>
        <v>e:\글로벌백업(180329)\04.수수료작업\202005수수료\</v>
      </c>
      <c r="C17" s="12" t="s">
        <v>337</v>
      </c>
      <c r="D17" s="12" t="s">
        <v>18</v>
      </c>
      <c r="E17" s="19"/>
      <c r="F17" s="19" t="s">
        <v>408</v>
      </c>
    </row>
    <row r="18" spans="1:6" s="25" customFormat="1">
      <c r="A18" s="11">
        <v>202004</v>
      </c>
      <c r="B18" s="21" t="str">
        <f t="shared" si="0"/>
        <v>e:\글로벌백업(180329)\04.수수료작업\202004수수료\</v>
      </c>
      <c r="C18" s="12" t="s">
        <v>326</v>
      </c>
      <c r="D18" s="12" t="s">
        <v>18</v>
      </c>
      <c r="E18" s="19"/>
      <c r="F18" s="19" t="s">
        <v>408</v>
      </c>
    </row>
    <row r="19" spans="1:6" s="25" customFormat="1">
      <c r="A19" s="11">
        <v>202003</v>
      </c>
      <c r="B19" s="21" t="str">
        <f t="shared" si="0"/>
        <v>e:\글로벌백업(180329)\04.수수료작업\202003수수료\</v>
      </c>
      <c r="C19" s="12" t="s">
        <v>320</v>
      </c>
      <c r="D19" s="12" t="s">
        <v>18</v>
      </c>
      <c r="E19" s="19"/>
      <c r="F19" s="19" t="s">
        <v>408</v>
      </c>
    </row>
    <row r="20" spans="1:6" s="25" customFormat="1">
      <c r="A20" s="11">
        <v>202002</v>
      </c>
      <c r="B20" s="21" t="str">
        <f t="shared" si="0"/>
        <v>e:\글로벌백업(180329)\04.수수료작업\202002수수료\</v>
      </c>
      <c r="C20" s="12" t="s">
        <v>316</v>
      </c>
      <c r="D20" s="12" t="s">
        <v>18</v>
      </c>
      <c r="E20" s="19"/>
      <c r="F20" s="19" t="s">
        <v>408</v>
      </c>
    </row>
    <row r="21" spans="1:6" s="25" customFormat="1">
      <c r="A21" s="11">
        <v>202001</v>
      </c>
      <c r="B21" s="21" t="str">
        <f t="shared" si="0"/>
        <v>e:\글로벌백업(180329)\04.수수료작업\202001수수료\</v>
      </c>
      <c r="C21" s="12" t="s">
        <v>269</v>
      </c>
      <c r="D21" s="12" t="s">
        <v>18</v>
      </c>
      <c r="E21" s="19"/>
      <c r="F21" s="19" t="s">
        <v>408</v>
      </c>
    </row>
    <row r="22" spans="1:6" s="25" customFormat="1">
      <c r="A22" s="11">
        <v>201912</v>
      </c>
      <c r="B22" s="21" t="str">
        <f t="shared" si="0"/>
        <v>e:\글로벌백업(180329)\04.수수료작업\201912수수료\</v>
      </c>
      <c r="C22" s="12" t="s">
        <v>228</v>
      </c>
      <c r="D22" s="12" t="s">
        <v>18</v>
      </c>
      <c r="E22" s="19"/>
      <c r="F22" s="19" t="s">
        <v>408</v>
      </c>
    </row>
    <row r="23" spans="1:6" s="25" customFormat="1">
      <c r="A23" s="11">
        <v>201911</v>
      </c>
      <c r="B23" s="21" t="str">
        <f t="shared" si="0"/>
        <v>e:\글로벌백업(180329)\04.수수료작업\201911수수료\</v>
      </c>
      <c r="C23" s="12" t="s">
        <v>154</v>
      </c>
      <c r="D23" s="12" t="s">
        <v>18</v>
      </c>
      <c r="E23" s="19"/>
      <c r="F23" s="19" t="s">
        <v>408</v>
      </c>
    </row>
    <row r="24" spans="1:6" s="25" customFormat="1">
      <c r="A24" s="11">
        <v>201910</v>
      </c>
      <c r="B24" s="21" t="str">
        <f t="shared" si="0"/>
        <v>e:\글로벌백업(180329)\04.수수료작업\201910수수료\</v>
      </c>
      <c r="C24" s="12" t="s">
        <v>155</v>
      </c>
      <c r="D24" s="12" t="s">
        <v>18</v>
      </c>
      <c r="E24" s="19"/>
      <c r="F24" s="19" t="s">
        <v>408</v>
      </c>
    </row>
    <row r="25" spans="1:6" s="25" customFormat="1">
      <c r="A25" s="11">
        <v>201909</v>
      </c>
      <c r="B25" s="21" t="str">
        <f t="shared" si="0"/>
        <v>e:\글로벌백업(180329)\04.수수료작업\201909수수료\</v>
      </c>
      <c r="C25" s="12" t="s">
        <v>123</v>
      </c>
      <c r="D25" s="12" t="s">
        <v>18</v>
      </c>
      <c r="E25" s="19"/>
      <c r="F25" s="19"/>
    </row>
    <row r="26" spans="1:6" s="25" customFormat="1">
      <c r="A26" s="11">
        <v>201908</v>
      </c>
      <c r="B26" s="21" t="str">
        <f t="shared" si="0"/>
        <v>e:\글로벌백업(180329)\04.수수료작업\201908수수료\</v>
      </c>
      <c r="C26" s="12" t="s">
        <v>122</v>
      </c>
      <c r="D26" s="12" t="s">
        <v>18</v>
      </c>
      <c r="E26" s="19"/>
      <c r="F26" s="19"/>
    </row>
    <row r="27" spans="1:6" s="25" customFormat="1">
      <c r="A27" s="11">
        <v>201907</v>
      </c>
      <c r="B27" s="21" t="str">
        <f t="shared" si="0"/>
        <v>e:\글로벌백업(180329)\04.수수료작업\201907수수료\</v>
      </c>
      <c r="C27" s="12" t="s">
        <v>121</v>
      </c>
      <c r="D27" s="12" t="s">
        <v>18</v>
      </c>
      <c r="E27" s="19"/>
      <c r="F27" s="24"/>
    </row>
    <row r="28" spans="1:6" s="25" customFormat="1">
      <c r="A28" s="11">
        <v>201906</v>
      </c>
      <c r="B28" s="21" t="str">
        <f t="shared" si="0"/>
        <v>e:\글로벌백업(180329)\04.수수료작업\201906수수료\</v>
      </c>
      <c r="C28" s="12" t="s">
        <v>120</v>
      </c>
      <c r="D28" s="12" t="s">
        <v>18</v>
      </c>
      <c r="E28" s="19"/>
      <c r="F28" s="24"/>
    </row>
    <row r="29" spans="1:6" s="25" customFormat="1">
      <c r="A29" s="11">
        <v>201905</v>
      </c>
      <c r="B29" s="21" t="str">
        <f t="shared" si="0"/>
        <v>e:\글로벌백업(180329)\04.수수료작업\201905수수료\</v>
      </c>
      <c r="C29" s="12" t="s">
        <v>119</v>
      </c>
      <c r="D29" s="12" t="s">
        <v>18</v>
      </c>
      <c r="E29" s="19"/>
      <c r="F29" s="24"/>
    </row>
    <row r="30" spans="1:6" s="25" customFormat="1">
      <c r="A30" s="11">
        <v>201904</v>
      </c>
      <c r="B30" s="21" t="str">
        <f t="shared" si="0"/>
        <v>e:\글로벌백업(180329)\04.수수료작업\201904수수료\</v>
      </c>
      <c r="C30" s="12" t="s">
        <v>117</v>
      </c>
      <c r="D30" s="12" t="s">
        <v>18</v>
      </c>
      <c r="E30" s="19"/>
      <c r="F30" s="24"/>
    </row>
    <row r="31" spans="1:6" s="25" customFormat="1">
      <c r="A31" s="11">
        <v>201903</v>
      </c>
      <c r="B31" s="21" t="str">
        <f t="shared" si="0"/>
        <v>e:\글로벌백업(180329)\04.수수료작업\201903수수료\</v>
      </c>
      <c r="C31" s="12" t="s">
        <v>116</v>
      </c>
      <c r="D31" s="12" t="s">
        <v>18</v>
      </c>
      <c r="E31" s="19"/>
      <c r="F31" s="24"/>
    </row>
    <row r="32" spans="1:6" s="25" customFormat="1">
      <c r="A32" s="11">
        <v>201902</v>
      </c>
      <c r="B32" s="21" t="str">
        <f t="shared" si="0"/>
        <v>e:\글로벌백업(180329)\04.수수료작업\201902수수료\</v>
      </c>
      <c r="C32" s="12" t="s">
        <v>115</v>
      </c>
      <c r="D32" s="12" t="s">
        <v>18</v>
      </c>
      <c r="E32" s="19"/>
      <c r="F32" s="24"/>
    </row>
    <row r="33" spans="1:7" s="25" customFormat="1">
      <c r="A33" s="11">
        <v>201901</v>
      </c>
      <c r="B33" s="21" t="str">
        <f t="shared" si="0"/>
        <v>e:\글로벌백업(180329)\04.수수료작업\201901수수료\</v>
      </c>
      <c r="C33" s="12" t="s">
        <v>114</v>
      </c>
      <c r="D33" s="12" t="s">
        <v>18</v>
      </c>
      <c r="E33" s="19"/>
      <c r="F33" s="24"/>
    </row>
    <row r="34" spans="1:7" s="25" customFormat="1">
      <c r="A34" s="11">
        <v>201812</v>
      </c>
      <c r="B34" s="21" t="str">
        <f t="shared" si="0"/>
        <v>e:\글로벌백업(180329)\04.수수료작업\201812수수료\</v>
      </c>
      <c r="C34" s="12" t="s">
        <v>113</v>
      </c>
      <c r="D34" s="12" t="s">
        <v>18</v>
      </c>
      <c r="E34" s="19"/>
      <c r="F34" s="24"/>
    </row>
    <row r="35" spans="1:7" s="25" customFormat="1">
      <c r="A35" s="11">
        <v>201811</v>
      </c>
      <c r="B35" s="21" t="str">
        <f t="shared" si="0"/>
        <v>e:\글로벌백업(180329)\04.수수료작업\201811수수료\</v>
      </c>
      <c r="C35" s="12" t="s">
        <v>111</v>
      </c>
      <c r="D35" s="12" t="s">
        <v>18</v>
      </c>
      <c r="E35" s="19"/>
      <c r="F35" s="24"/>
    </row>
    <row r="36" spans="1:7" s="25" customFormat="1">
      <c r="A36" s="11">
        <v>201810</v>
      </c>
      <c r="B36" s="21" t="str">
        <f t="shared" si="0"/>
        <v>e:\글로벌백업(180329)\04.수수료작업\201810수수료\</v>
      </c>
      <c r="C36" s="12" t="s">
        <v>110</v>
      </c>
      <c r="D36" s="12" t="s">
        <v>18</v>
      </c>
      <c r="E36" s="19"/>
      <c r="F36" s="24"/>
    </row>
    <row r="37" spans="1:7" s="25" customFormat="1">
      <c r="A37" s="11">
        <v>201809</v>
      </c>
      <c r="B37" s="21" t="str">
        <f t="shared" si="0"/>
        <v>e:\글로벌백업(180329)\04.수수료작업\201809수수료\</v>
      </c>
      <c r="C37" s="12" t="s">
        <v>108</v>
      </c>
      <c r="D37" s="12" t="s">
        <v>18</v>
      </c>
      <c r="E37" s="19"/>
      <c r="F37" s="24"/>
    </row>
    <row r="38" spans="1:7" s="25" customFormat="1">
      <c r="A38" s="11">
        <v>201808</v>
      </c>
      <c r="B38" s="21" t="str">
        <f t="shared" si="0"/>
        <v>e:\글로벌백업(180329)\04.수수료작업\201808수수료\</v>
      </c>
      <c r="C38" s="12" t="s">
        <v>106</v>
      </c>
      <c r="D38" s="12" t="s">
        <v>18</v>
      </c>
      <c r="E38" s="19"/>
      <c r="F38" s="24"/>
    </row>
    <row r="39" spans="1:7">
      <c r="A39" s="11">
        <v>201807</v>
      </c>
      <c r="B39" s="21" t="str">
        <f t="shared" si="0"/>
        <v>e:\글로벌백업(180329)\04.수수료작업\201807수수료\</v>
      </c>
      <c r="C39" s="12" t="s">
        <v>105</v>
      </c>
      <c r="D39" s="12" t="s">
        <v>18</v>
      </c>
      <c r="F39" s="24"/>
    </row>
    <row r="40" spans="1:7">
      <c r="A40" s="11">
        <v>201806</v>
      </c>
      <c r="B40" s="21" t="str">
        <f t="shared" si="0"/>
        <v>e:\글로벌백업(180329)\04.수수료작업\201806수수료\</v>
      </c>
      <c r="C40" s="12" t="s">
        <v>104</v>
      </c>
      <c r="D40" s="12" t="s">
        <v>18</v>
      </c>
    </row>
    <row r="41" spans="1:7">
      <c r="A41" s="11">
        <v>201805</v>
      </c>
      <c r="B41" s="21" t="str">
        <f t="shared" si="0"/>
        <v>e:\글로벌백업(180329)\04.수수료작업\201805수수료\</v>
      </c>
      <c r="C41" s="12" t="s">
        <v>101</v>
      </c>
      <c r="D41" s="12" t="s">
        <v>18</v>
      </c>
      <c r="G41" t="s">
        <v>95</v>
      </c>
    </row>
    <row r="42" spans="1:7">
      <c r="A42" s="11">
        <v>201804</v>
      </c>
      <c r="B42" s="21" t="str">
        <f t="shared" si="0"/>
        <v>e:\글로벌백업(180329)\04.수수료작업\201804수수료\</v>
      </c>
      <c r="C42" s="12" t="s">
        <v>97</v>
      </c>
      <c r="D42" s="12" t="s">
        <v>18</v>
      </c>
      <c r="G42" s="12" t="s">
        <v>96</v>
      </c>
    </row>
    <row r="43" spans="1:7">
      <c r="A43" s="11">
        <v>201803</v>
      </c>
      <c r="B43" s="21" t="str">
        <f t="shared" si="0"/>
        <v>e:\글로벌백업(180329)\04.수수료작업\201803수수료\</v>
      </c>
      <c r="C43" s="12" t="s">
        <v>94</v>
      </c>
      <c r="D43" s="12" t="s">
        <v>18</v>
      </c>
      <c r="G43" s="25" t="s">
        <v>118</v>
      </c>
    </row>
    <row r="44" spans="1:7">
      <c r="A44" s="11">
        <v>201802</v>
      </c>
      <c r="B44" s="21" t="str">
        <f t="shared" si="0"/>
        <v>e:\글로벌백업(180329)\04.수수료작업\201802수수료\</v>
      </c>
      <c r="C44" s="12" t="s">
        <v>90</v>
      </c>
      <c r="D44" s="12" t="s">
        <v>18</v>
      </c>
    </row>
    <row r="45" spans="1:7">
      <c r="A45" s="11">
        <v>201801</v>
      </c>
      <c r="B45" s="21" t="str">
        <f t="shared" si="0"/>
        <v>e:\글로벌백업(180329)\04.수수료작업\201801수수료\</v>
      </c>
      <c r="C45" s="12" t="s">
        <v>74</v>
      </c>
      <c r="D45" s="12" t="s">
        <v>18</v>
      </c>
    </row>
    <row r="46" spans="1:7">
      <c r="A46" s="11">
        <v>201712</v>
      </c>
      <c r="B46" s="21" t="str">
        <f t="shared" si="0"/>
        <v>e:\글로벌백업(180329)\04.수수료작업\201712수수료\</v>
      </c>
      <c r="C46" s="12" t="s">
        <v>96</v>
      </c>
      <c r="D46" s="12" t="s">
        <v>18</v>
      </c>
    </row>
    <row r="47" spans="1:7">
      <c r="A47" s="11">
        <v>201711</v>
      </c>
      <c r="B47" s="21" t="str">
        <f t="shared" si="0"/>
        <v>e:\글로벌백업(180329)\04.수수료작업\201711수수료\</v>
      </c>
      <c r="C47" s="12" t="s">
        <v>73</v>
      </c>
      <c r="D47" s="12" t="s">
        <v>18</v>
      </c>
    </row>
    <row r="48" spans="1:7">
      <c r="A48" s="11">
        <v>201710</v>
      </c>
      <c r="B48" s="21" t="str">
        <f t="shared" si="0"/>
        <v>e:\글로벌백업(180329)\04.수수료작업\201710수수료\</v>
      </c>
      <c r="C48" s="12" t="s">
        <v>72</v>
      </c>
      <c r="D48" s="12" t="s">
        <v>18</v>
      </c>
    </row>
    <row r="49" spans="1:5">
      <c r="A49" s="11">
        <v>201709</v>
      </c>
      <c r="B49" s="21" t="str">
        <f t="shared" si="0"/>
        <v>e:\글로벌백업(180329)\04.수수료작업\201709수수료\</v>
      </c>
      <c r="C49" s="12" t="s">
        <v>71</v>
      </c>
      <c r="D49" s="12" t="s">
        <v>18</v>
      </c>
    </row>
    <row r="50" spans="1:5">
      <c r="A50" s="11">
        <v>201708</v>
      </c>
      <c r="B50" s="21" t="str">
        <f t="shared" si="0"/>
        <v>e:\글로벌백업(180329)\04.수수료작업\201708수수료\</v>
      </c>
      <c r="C50" s="12" t="s">
        <v>70</v>
      </c>
      <c r="D50" s="12" t="s">
        <v>18</v>
      </c>
    </row>
    <row r="51" spans="1:5">
      <c r="A51" s="11">
        <v>201707</v>
      </c>
      <c r="B51" s="21" t="str">
        <f t="shared" si="0"/>
        <v>e:\글로벌백업(180329)\04.수수료작업\201707수수료\</v>
      </c>
      <c r="C51" s="12" t="s">
        <v>69</v>
      </c>
      <c r="D51" s="12" t="s">
        <v>18</v>
      </c>
    </row>
    <row r="52" spans="1:5">
      <c r="A52" s="11">
        <v>201706</v>
      </c>
      <c r="B52" s="21" t="str">
        <f>"e:\글로벌백업(180329)\04.수수료작업\2016~2017\"&amp;A52&amp;"수수료\"</f>
        <v>e:\글로벌백업(180329)\04.수수료작업\2016~2017\201706수수료\</v>
      </c>
      <c r="C52" s="12" t="s">
        <v>68</v>
      </c>
      <c r="D52" s="12" t="s">
        <v>18</v>
      </c>
    </row>
    <row r="53" spans="1:5">
      <c r="A53" s="11">
        <v>201705</v>
      </c>
      <c r="B53" s="21" t="str">
        <f>"e:\글로벌백업(180329)\04.수수료작업\2016~2017\"&amp;A53&amp;"수수료\"</f>
        <v>e:\글로벌백업(180329)\04.수수료작업\2016~2017\201705수수료\</v>
      </c>
      <c r="C53" s="12" t="s">
        <v>75</v>
      </c>
      <c r="D53" s="12" t="s">
        <v>18</v>
      </c>
    </row>
    <row r="54" spans="1:5">
      <c r="A54" s="11">
        <v>201704</v>
      </c>
      <c r="B54" s="21" t="str">
        <f>"e:\글로벌백업(180329)\04.수수료작업\2016~2017\"&amp;A54&amp;"수수료\"</f>
        <v>e:\글로벌백업(180329)\04.수수료작업\2016~2017\201704수수료\</v>
      </c>
      <c r="C54" s="12" t="s">
        <v>76</v>
      </c>
      <c r="D54" s="12" t="s">
        <v>18</v>
      </c>
    </row>
    <row r="55" spans="1:5">
      <c r="A55" s="11">
        <v>201703</v>
      </c>
      <c r="B55" s="21" t="str">
        <f>"e:\글로벌백업(180329)\04.수수료작업\2016~2017\"&amp;A55&amp;"수수료\"</f>
        <v>e:\글로벌백업(180329)\04.수수료작업\2016~2017\201703수수료\</v>
      </c>
      <c r="C55" s="12" t="s">
        <v>77</v>
      </c>
      <c r="D55" s="12" t="s">
        <v>18</v>
      </c>
    </row>
    <row r="57" spans="1:5" s="25" customFormat="1">
      <c r="A57" t="s">
        <v>21</v>
      </c>
      <c r="B57"/>
      <c r="C57"/>
      <c r="D57"/>
      <c r="E57" s="19"/>
    </row>
    <row r="58" spans="1:5" s="25" customFormat="1">
      <c r="A58" s="11" t="s">
        <v>19</v>
      </c>
      <c r="B58" s="11" t="s">
        <v>9</v>
      </c>
      <c r="C58" s="11" t="s">
        <v>3</v>
      </c>
      <c r="D58" s="11" t="s">
        <v>4</v>
      </c>
      <c r="E58" s="23" t="s">
        <v>88</v>
      </c>
    </row>
    <row r="59" spans="1:5" s="25" customFormat="1">
      <c r="A59" s="11">
        <v>201805</v>
      </c>
      <c r="B59" s="21" t="str">
        <f t="shared" ref="B59:B69" si="1">"e:\글로벌백업(180329)\04.수수료작업\"&amp;A59&amp;"시상\"</f>
        <v>e:\글로벌백업(180329)\04.수수료작업\201805시상\</v>
      </c>
      <c r="C59" s="21" t="str">
        <f>A59&amp;" KJ시상정산.XLSX"</f>
        <v>201805 KJ시상정산.XLSX</v>
      </c>
      <c r="D59" s="12" t="s">
        <v>22</v>
      </c>
      <c r="E59" s="19" t="s">
        <v>83</v>
      </c>
    </row>
    <row r="60" spans="1:5" s="25" customFormat="1">
      <c r="A60" s="11">
        <v>201804</v>
      </c>
      <c r="B60" s="21" t="str">
        <f t="shared" si="1"/>
        <v>e:\글로벌백업(180329)\04.수수료작업\201804시상\</v>
      </c>
      <c r="C60" s="21" t="str">
        <f>A60&amp;" KJ시상정산.XLSX"</f>
        <v>201804 KJ시상정산.XLSX</v>
      </c>
      <c r="D60" s="12" t="s">
        <v>22</v>
      </c>
      <c r="E60" s="19" t="s">
        <v>83</v>
      </c>
    </row>
    <row r="61" spans="1:5">
      <c r="A61" s="11">
        <v>201803</v>
      </c>
      <c r="B61" s="21" t="str">
        <f t="shared" si="1"/>
        <v>e:\글로벌백업(180329)\04.수수료작업\201803시상\</v>
      </c>
      <c r="C61" s="21" t="str">
        <f>A61&amp;" KJ시상정산.XLSX"</f>
        <v>201803 KJ시상정산.XLSX</v>
      </c>
      <c r="D61" s="12" t="s">
        <v>22</v>
      </c>
      <c r="E61" s="19" t="s">
        <v>83</v>
      </c>
    </row>
    <row r="62" spans="1:5">
      <c r="A62" s="11">
        <v>201802</v>
      </c>
      <c r="B62" s="21" t="str">
        <f t="shared" si="1"/>
        <v>e:\글로벌백업(180329)\04.수수료작업\201802시상\</v>
      </c>
      <c r="C62" s="21" t="str">
        <f>A62&amp;" KJ시상정산.XLSX"</f>
        <v>201802 KJ시상정산.XLSX</v>
      </c>
      <c r="D62" s="12" t="s">
        <v>22</v>
      </c>
      <c r="E62" s="19" t="s">
        <v>83</v>
      </c>
    </row>
    <row r="63" spans="1:5">
      <c r="A63" s="11">
        <v>201801</v>
      </c>
      <c r="B63" s="21" t="str">
        <f t="shared" si="1"/>
        <v>e:\글로벌백업(180329)\04.수수료작업\201801시상\</v>
      </c>
      <c r="C63" s="21" t="str">
        <f>A63&amp;" KJ시상정산.XLSX"</f>
        <v>201801 KJ시상정산.XLSX</v>
      </c>
      <c r="D63" s="12" t="s">
        <v>22</v>
      </c>
      <c r="E63" s="19" t="s">
        <v>83</v>
      </c>
    </row>
    <row r="64" spans="1:5">
      <c r="A64" s="11">
        <v>201712</v>
      </c>
      <c r="B64" s="21" t="str">
        <f t="shared" si="1"/>
        <v>e:\글로벌백업(180329)\04.수수료작업\201712시상\</v>
      </c>
      <c r="C64" s="21" t="str">
        <f t="shared" ref="C64:C74" si="2">A64&amp;" KJ시상정산.XLSX"</f>
        <v>201712 KJ시상정산.XLSX</v>
      </c>
      <c r="D64" s="12" t="s">
        <v>22</v>
      </c>
      <c r="E64" s="19" t="s">
        <v>83</v>
      </c>
    </row>
    <row r="65" spans="1:5">
      <c r="A65" s="11">
        <v>201711</v>
      </c>
      <c r="B65" s="21" t="str">
        <f t="shared" si="1"/>
        <v>e:\글로벌백업(180329)\04.수수료작업\201711시상\</v>
      </c>
      <c r="C65" s="21" t="str">
        <f t="shared" si="2"/>
        <v>201711 KJ시상정산.XLSX</v>
      </c>
      <c r="D65" s="12" t="s">
        <v>22</v>
      </c>
      <c r="E65" s="19" t="s">
        <v>83</v>
      </c>
    </row>
    <row r="66" spans="1:5">
      <c r="A66" s="11">
        <v>201710</v>
      </c>
      <c r="B66" s="21" t="str">
        <f t="shared" si="1"/>
        <v>e:\글로벌백업(180329)\04.수수료작업\201710시상\</v>
      </c>
      <c r="C66" s="21" t="str">
        <f t="shared" si="2"/>
        <v>201710 KJ시상정산.XLSX</v>
      </c>
      <c r="D66" s="12" t="s">
        <v>22</v>
      </c>
      <c r="E66" s="19" t="s">
        <v>83</v>
      </c>
    </row>
    <row r="67" spans="1:5">
      <c r="A67" s="11">
        <v>201709</v>
      </c>
      <c r="B67" s="21" t="str">
        <f t="shared" si="1"/>
        <v>e:\글로벌백업(180329)\04.수수료작업\201709시상\</v>
      </c>
      <c r="C67" s="21" t="str">
        <f t="shared" si="2"/>
        <v>201709 KJ시상정산.XLSX</v>
      </c>
      <c r="D67" s="12" t="s">
        <v>22</v>
      </c>
      <c r="E67" s="19" t="s">
        <v>83</v>
      </c>
    </row>
    <row r="68" spans="1:5">
      <c r="A68" s="11">
        <v>201708</v>
      </c>
      <c r="B68" s="21" t="str">
        <f t="shared" si="1"/>
        <v>e:\글로벌백업(180329)\04.수수료작업\201708시상\</v>
      </c>
      <c r="C68" s="21" t="str">
        <f t="shared" si="2"/>
        <v>201708 KJ시상정산.XLSX</v>
      </c>
      <c r="D68" s="12" t="s">
        <v>22</v>
      </c>
      <c r="E68" s="19" t="s">
        <v>83</v>
      </c>
    </row>
    <row r="69" spans="1:5">
      <c r="A69" s="11">
        <v>201707</v>
      </c>
      <c r="B69" s="21" t="str">
        <f t="shared" si="1"/>
        <v>e:\글로벌백업(180329)\04.수수료작업\201707시상\</v>
      </c>
      <c r="C69" s="21" t="str">
        <f t="shared" si="2"/>
        <v>201707 KJ시상정산.XLSX</v>
      </c>
      <c r="D69" s="12" t="s">
        <v>22</v>
      </c>
      <c r="E69" s="19" t="s">
        <v>83</v>
      </c>
    </row>
    <row r="70" spans="1:5">
      <c r="A70" s="11">
        <v>201706</v>
      </c>
      <c r="B70" s="21" t="str">
        <f>"e:\글로벌백업(180329)\04.수수료작업\2016~2017\"&amp;A70&amp;"시상\"</f>
        <v>e:\글로벌백업(180329)\04.수수료작업\2016~2017\201706시상\</v>
      </c>
      <c r="C70" s="21" t="str">
        <f t="shared" si="2"/>
        <v>201706 KJ시상정산.XLSX</v>
      </c>
      <c r="D70" s="12" t="s">
        <v>22</v>
      </c>
      <c r="E70" s="19" t="s">
        <v>83</v>
      </c>
    </row>
    <row r="71" spans="1:5">
      <c r="A71" s="11">
        <v>201705</v>
      </c>
      <c r="B71" s="21" t="str">
        <f>"e:\글로벌백업(180329)\04.수수료작업\2016~2017\"&amp;A71&amp;"시상\"</f>
        <v>e:\글로벌백업(180329)\04.수수료작업\2016~2017\201705시상\</v>
      </c>
      <c r="C71" s="22" t="str">
        <f t="shared" si="2"/>
        <v>201705 KJ시상정산.XLSX</v>
      </c>
      <c r="D71" s="12" t="s">
        <v>22</v>
      </c>
      <c r="E71" s="19" t="s">
        <v>83</v>
      </c>
    </row>
    <row r="72" spans="1:5">
      <c r="A72" s="11">
        <v>201704</v>
      </c>
      <c r="B72" s="21" t="str">
        <f>"e:\글로벌백업(180329)\04.수수료작업\2016~2017\"&amp;A72&amp;"시상\"</f>
        <v>e:\글로벌백업(180329)\04.수수료작업\2016~2017\201704시상\</v>
      </c>
      <c r="C72" s="22" t="str">
        <f t="shared" si="2"/>
        <v>201704 KJ시상정산.XLSX</v>
      </c>
      <c r="D72" s="12" t="s">
        <v>22</v>
      </c>
      <c r="E72" s="19" t="s">
        <v>83</v>
      </c>
    </row>
    <row r="73" spans="1:5">
      <c r="A73" s="11">
        <v>201703</v>
      </c>
      <c r="B73" s="21" t="str">
        <f>"e:\글로벌백업(180329)\04.수수료작업\2016~2017\"&amp;A73&amp;"시상\"</f>
        <v>e:\글로벌백업(180329)\04.수수료작업\2016~2017\201703시상\</v>
      </c>
      <c r="C73" s="22" t="str">
        <f t="shared" si="2"/>
        <v>201703 KJ시상정산.XLSX</v>
      </c>
      <c r="D73" s="12" t="s">
        <v>22</v>
      </c>
      <c r="E73" s="19" t="s">
        <v>83</v>
      </c>
    </row>
    <row r="74" spans="1:5">
      <c r="A74" s="11">
        <v>201702</v>
      </c>
      <c r="B74" s="21" t="str">
        <f>"e:\글로벌백업(180329)\04.수수료작업\2016~2017\"&amp;A74&amp;"시상\"</f>
        <v>e:\글로벌백업(180329)\04.수수료작업\2016~2017\201702시상\</v>
      </c>
      <c r="C74" s="22" t="str">
        <f t="shared" si="2"/>
        <v>201702 KJ시상정산.XLSX</v>
      </c>
      <c r="D74" s="12" t="s">
        <v>22</v>
      </c>
      <c r="E74" s="19" t="s">
        <v>83</v>
      </c>
    </row>
    <row r="75" spans="1:5">
      <c r="A75" s="11"/>
      <c r="B75" s="22"/>
      <c r="C75" s="22"/>
      <c r="D75" s="12"/>
    </row>
    <row r="76" spans="1:5">
      <c r="A76" s="11"/>
      <c r="B76" s="22"/>
      <c r="C76" s="22"/>
      <c r="D76" s="12"/>
    </row>
    <row r="77" spans="1:5">
      <c r="A77" s="11"/>
      <c r="B77" s="22"/>
      <c r="C77" s="22"/>
      <c r="D77" s="12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B71"/>
  <sheetViews>
    <sheetView topLeftCell="S1" workbookViewId="0">
      <selection activeCell="AF2" sqref="AF2"/>
    </sheetView>
  </sheetViews>
  <sheetFormatPr defaultRowHeight="17.399999999999999"/>
  <cols>
    <col min="1" max="1" width="9" style="25"/>
    <col min="16" max="16" width="9" style="25"/>
  </cols>
  <sheetData>
    <row r="1" spans="1:54" s="26" customForma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</row>
    <row r="2" spans="1:54" s="25" customFormat="1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</row>
    <row r="3" spans="1:54" s="25" customForma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</row>
    <row r="4" spans="1:54" s="25" customForma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</row>
    <row r="5" spans="1:54" s="25" customForma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</row>
    <row r="6" spans="1:54" s="25" customForma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</row>
    <row r="7" spans="1:54" s="26" customFormat="1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</row>
    <row r="8" spans="1:54" s="26" customFormat="1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</row>
    <row r="9" spans="1:54" s="26" customFormat="1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</row>
    <row r="10" spans="1:54" s="26" customFormat="1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</row>
    <row r="11" spans="1:54" s="26" customForma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</row>
    <row r="12" spans="1:54" s="26" customForma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</row>
    <row r="13" spans="1:54" s="26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</row>
    <row r="14" spans="1:54" s="26" customForma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</row>
    <row r="15" spans="1:54" s="26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</row>
    <row r="16" spans="1:54" s="26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</row>
    <row r="17" spans="1:54" s="26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</row>
    <row r="18" spans="1:54" s="26" customForma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</row>
    <row r="19" spans="1:54" s="26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</row>
    <row r="20" spans="1:54" s="26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</row>
    <row r="21" spans="1:54" s="26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</row>
    <row r="22" spans="1:54" s="26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</row>
    <row r="23" spans="1:54" s="26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</row>
    <row r="24" spans="1:54" s="26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</row>
    <row r="25" spans="1:54" s="26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</row>
    <row r="26" spans="1:54" s="26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</row>
    <row r="27" spans="1:54" s="26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</row>
    <row r="28" spans="1:54" s="26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</row>
    <row r="29" spans="1:54" s="26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</row>
    <row r="30" spans="1:54" s="26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</row>
    <row r="31" spans="1:54" s="26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</row>
    <row r="32" spans="1:54" s="26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</row>
    <row r="33" spans="1:54" s="26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</row>
    <row r="34" spans="1:54" s="26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</row>
    <row r="35" spans="1:54" s="26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</row>
    <row r="36" spans="1:54" s="26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</row>
    <row r="37" spans="1:54" s="26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</row>
    <row r="38" spans="1:54" s="26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</row>
    <row r="39" spans="1:54" s="26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</row>
    <row r="40" spans="1:54" s="26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</row>
    <row r="41" spans="1:54" s="26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</row>
    <row r="42" spans="1:54" s="26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</row>
    <row r="43" spans="1:54" s="26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</row>
    <row r="44" spans="1:54" s="26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</row>
    <row r="45" spans="1:54" s="26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</row>
    <row r="46" spans="1:54" s="26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</row>
    <row r="47" spans="1:54" s="26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</row>
    <row r="48" spans="1:54" s="26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</row>
    <row r="49" spans="1:54" s="26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</row>
    <row r="50" spans="1:54" s="26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</row>
    <row r="51" spans="1:54" s="26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</row>
    <row r="52" spans="1:54" s="26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</row>
    <row r="53" spans="1:54" s="26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</row>
    <row r="54" spans="1:54" s="26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</row>
    <row r="55" spans="1:54" s="26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</row>
    <row r="56" spans="1:54" s="26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</row>
    <row r="57" spans="1:54" s="26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</row>
    <row r="58" spans="1:54" s="26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</row>
    <row r="59" spans="1:54" s="26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</row>
    <row r="60" spans="1:54" s="26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</row>
    <row r="61" spans="1:54" s="26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</row>
    <row r="62" spans="1:54" s="26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</row>
    <row r="63" spans="1:54" s="26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</row>
    <row r="64" spans="1:54" s="26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</row>
    <row r="65" spans="1:54" s="26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</row>
    <row r="66" spans="1:54" s="26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</row>
    <row r="67" spans="1:54" s="26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</row>
    <row r="68" spans="1:54" s="26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</row>
    <row r="69" spans="1:54" s="26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</row>
    <row r="70" spans="1:54" s="26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</row>
    <row r="71" spans="1:54" s="26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Q2:AN267"/>
  <sheetViews>
    <sheetView topLeftCell="AD37" workbookViewId="0">
      <selection activeCell="AK2" sqref="AK2:AN55"/>
    </sheetView>
  </sheetViews>
  <sheetFormatPr defaultRowHeight="19.95" customHeight="1"/>
  <cols>
    <col min="17" max="17" width="8.796875" style="25"/>
  </cols>
  <sheetData>
    <row r="2" spans="30:40" ht="19.95" customHeight="1">
      <c r="AD2" s="126" t="s">
        <v>671</v>
      </c>
      <c r="AE2" s="126" t="s">
        <v>672</v>
      </c>
      <c r="AF2" s="126" t="s">
        <v>0</v>
      </c>
      <c r="AG2" s="127" t="s">
        <v>673</v>
      </c>
      <c r="AH2" s="127" t="s">
        <v>674</v>
      </c>
      <c r="AK2" s="126" t="s">
        <v>671</v>
      </c>
      <c r="AL2" s="126" t="s">
        <v>672</v>
      </c>
      <c r="AM2" s="127" t="s">
        <v>673</v>
      </c>
      <c r="AN2" s="127" t="s">
        <v>674</v>
      </c>
    </row>
    <row r="3" spans="30:40" ht="19.95" customHeight="1">
      <c r="AD3" s="128" t="s">
        <v>414</v>
      </c>
      <c r="AE3" s="129" t="s">
        <v>675</v>
      </c>
      <c r="AF3" s="129" t="s">
        <v>676</v>
      </c>
      <c r="AG3" s="130">
        <v>25000</v>
      </c>
      <c r="AH3" s="130">
        <v>12500</v>
      </c>
      <c r="AK3" t="s">
        <v>414</v>
      </c>
      <c r="AL3" t="s">
        <v>675</v>
      </c>
      <c r="AM3">
        <f>SUMIFS(AG:AG,AD:AD,AK3,AE:AE,AL3)</f>
        <v>303000</v>
      </c>
      <c r="AN3">
        <f>SUMIFS(AH:AH,AD:AD,AK3,AE:AE,AL3)</f>
        <v>151500</v>
      </c>
    </row>
    <row r="4" spans="30:40" ht="19.95" customHeight="1">
      <c r="AD4" s="128" t="s">
        <v>414</v>
      </c>
      <c r="AE4" s="129" t="s">
        <v>675</v>
      </c>
      <c r="AF4" s="129" t="s">
        <v>677</v>
      </c>
      <c r="AG4" s="130">
        <v>62000</v>
      </c>
      <c r="AH4" s="130">
        <v>31000</v>
      </c>
      <c r="AK4" t="s">
        <v>425</v>
      </c>
      <c r="AL4" t="s">
        <v>683</v>
      </c>
      <c r="AM4" s="25">
        <f t="shared" ref="AM4:AM55" si="0">SUMIFS(AG:AG,AD:AD,AK4,AE:AE,AL4)</f>
        <v>363700</v>
      </c>
      <c r="AN4" s="25">
        <f t="shared" ref="AN4:AN55" si="1">SUMIFS(AH:AH,AD:AD,AK4,AE:AE,AL4)</f>
        <v>181850</v>
      </c>
    </row>
    <row r="5" spans="30:40" ht="19.95" customHeight="1">
      <c r="AD5" s="128" t="s">
        <v>414</v>
      </c>
      <c r="AE5" s="129" t="s">
        <v>675</v>
      </c>
      <c r="AF5" s="129" t="s">
        <v>678</v>
      </c>
      <c r="AG5" s="130">
        <v>50000</v>
      </c>
      <c r="AH5" s="130">
        <v>25000</v>
      </c>
      <c r="AK5" t="s">
        <v>438</v>
      </c>
      <c r="AL5" t="s">
        <v>690</v>
      </c>
      <c r="AM5" s="25">
        <f t="shared" si="0"/>
        <v>313260</v>
      </c>
      <c r="AN5" s="25">
        <f t="shared" si="1"/>
        <v>156630</v>
      </c>
    </row>
    <row r="6" spans="30:40" ht="19.95" customHeight="1">
      <c r="AD6" s="128" t="s">
        <v>414</v>
      </c>
      <c r="AE6" s="129" t="s">
        <v>675</v>
      </c>
      <c r="AF6" s="129" t="s">
        <v>679</v>
      </c>
      <c r="AG6" s="130">
        <v>30000</v>
      </c>
      <c r="AH6" s="130">
        <v>15000</v>
      </c>
      <c r="AK6" t="s">
        <v>454</v>
      </c>
      <c r="AL6" t="s">
        <v>698</v>
      </c>
      <c r="AM6" s="25">
        <f t="shared" si="0"/>
        <v>10000</v>
      </c>
      <c r="AN6" s="25">
        <f t="shared" si="1"/>
        <v>5000</v>
      </c>
    </row>
    <row r="7" spans="30:40" ht="19.95" customHeight="1">
      <c r="AD7" s="128" t="s">
        <v>414</v>
      </c>
      <c r="AE7" s="129" t="s">
        <v>675</v>
      </c>
      <c r="AF7" s="129" t="s">
        <v>680</v>
      </c>
      <c r="AG7" s="130">
        <v>30000</v>
      </c>
      <c r="AH7" s="130">
        <v>15000</v>
      </c>
      <c r="AK7" t="s">
        <v>700</v>
      </c>
      <c r="AL7" t="s">
        <v>701</v>
      </c>
      <c r="AM7" s="25">
        <f t="shared" si="0"/>
        <v>1516020</v>
      </c>
      <c r="AN7" s="25">
        <f t="shared" si="1"/>
        <v>758010</v>
      </c>
    </row>
    <row r="8" spans="30:40" ht="19.95" customHeight="1">
      <c r="AD8" s="128" t="s">
        <v>414</v>
      </c>
      <c r="AE8" s="129" t="s">
        <v>675</v>
      </c>
      <c r="AF8" s="129" t="s">
        <v>681</v>
      </c>
      <c r="AG8" s="130">
        <v>30000</v>
      </c>
      <c r="AH8" s="130">
        <v>15000</v>
      </c>
      <c r="AK8" t="s">
        <v>425</v>
      </c>
      <c r="AL8" t="s">
        <v>727</v>
      </c>
      <c r="AM8" s="25">
        <f t="shared" si="0"/>
        <v>209300</v>
      </c>
      <c r="AN8" s="25">
        <f t="shared" si="1"/>
        <v>104650</v>
      </c>
    </row>
    <row r="9" spans="30:40" ht="19.95" customHeight="1">
      <c r="AD9" s="128" t="s">
        <v>414</v>
      </c>
      <c r="AE9" s="129" t="s">
        <v>675</v>
      </c>
      <c r="AF9" s="129" t="s">
        <v>682</v>
      </c>
      <c r="AG9" s="130">
        <v>76000</v>
      </c>
      <c r="AH9" s="130">
        <v>38000</v>
      </c>
      <c r="AK9" t="s">
        <v>425</v>
      </c>
      <c r="AL9" t="s">
        <v>569</v>
      </c>
      <c r="AM9" s="25">
        <f t="shared" si="0"/>
        <v>204400</v>
      </c>
      <c r="AN9" s="25">
        <f t="shared" si="1"/>
        <v>102200</v>
      </c>
    </row>
    <row r="10" spans="30:40" ht="19.95" customHeight="1">
      <c r="AD10" s="128" t="s">
        <v>425</v>
      </c>
      <c r="AE10" s="129" t="s">
        <v>683</v>
      </c>
      <c r="AF10" s="129" t="s">
        <v>684</v>
      </c>
      <c r="AG10" s="130">
        <v>15000</v>
      </c>
      <c r="AH10" s="130">
        <v>7500</v>
      </c>
      <c r="AK10" t="s">
        <v>414</v>
      </c>
      <c r="AL10" t="s">
        <v>440</v>
      </c>
      <c r="AM10" s="25">
        <f t="shared" si="0"/>
        <v>300000</v>
      </c>
      <c r="AN10" s="25">
        <f t="shared" si="1"/>
        <v>150000</v>
      </c>
    </row>
    <row r="11" spans="30:40" ht="19.95" customHeight="1">
      <c r="AD11" s="128" t="s">
        <v>425</v>
      </c>
      <c r="AE11" s="129" t="s">
        <v>683</v>
      </c>
      <c r="AF11" s="129" t="s">
        <v>685</v>
      </c>
      <c r="AG11" s="130">
        <v>110600</v>
      </c>
      <c r="AH11" s="130">
        <v>55300</v>
      </c>
      <c r="AK11" t="s">
        <v>425</v>
      </c>
      <c r="AL11" t="s">
        <v>742</v>
      </c>
      <c r="AM11" s="25">
        <f t="shared" si="0"/>
        <v>200400</v>
      </c>
      <c r="AN11" s="25">
        <f t="shared" si="1"/>
        <v>100200</v>
      </c>
    </row>
    <row r="12" spans="30:40" ht="19.95" customHeight="1">
      <c r="AD12" s="128" t="s">
        <v>425</v>
      </c>
      <c r="AE12" s="129" t="s">
        <v>683</v>
      </c>
      <c r="AF12" s="129" t="s">
        <v>686</v>
      </c>
      <c r="AG12" s="130">
        <v>86600</v>
      </c>
      <c r="AH12" s="130">
        <v>43300</v>
      </c>
      <c r="AK12" t="s">
        <v>414</v>
      </c>
      <c r="AL12" t="s">
        <v>747</v>
      </c>
      <c r="AM12" s="25">
        <f t="shared" si="0"/>
        <v>708000</v>
      </c>
      <c r="AN12" s="25">
        <f t="shared" si="1"/>
        <v>354000</v>
      </c>
    </row>
    <row r="13" spans="30:40" ht="19.95" customHeight="1">
      <c r="AD13" s="128" t="s">
        <v>425</v>
      </c>
      <c r="AE13" s="129" t="s">
        <v>683</v>
      </c>
      <c r="AF13" s="129" t="s">
        <v>687</v>
      </c>
      <c r="AG13" s="130">
        <v>15000</v>
      </c>
      <c r="AH13" s="130">
        <v>7500</v>
      </c>
      <c r="AK13" t="s">
        <v>414</v>
      </c>
      <c r="AL13" t="s">
        <v>757</v>
      </c>
      <c r="AM13" s="25">
        <f t="shared" si="0"/>
        <v>41000</v>
      </c>
      <c r="AN13" s="25">
        <f t="shared" si="1"/>
        <v>20500</v>
      </c>
    </row>
    <row r="14" spans="30:40" ht="19.95" customHeight="1">
      <c r="AD14" s="128" t="s">
        <v>425</v>
      </c>
      <c r="AE14" s="129" t="s">
        <v>683</v>
      </c>
      <c r="AF14" s="129" t="s">
        <v>688</v>
      </c>
      <c r="AG14" s="130">
        <v>15000</v>
      </c>
      <c r="AH14" s="130">
        <v>7500</v>
      </c>
      <c r="AK14" t="s">
        <v>414</v>
      </c>
      <c r="AL14" t="s">
        <v>759</v>
      </c>
      <c r="AM14" s="25">
        <f t="shared" si="0"/>
        <v>220000</v>
      </c>
      <c r="AN14" s="25">
        <f t="shared" si="1"/>
        <v>110000</v>
      </c>
    </row>
    <row r="15" spans="30:40" ht="19.95" customHeight="1">
      <c r="AD15" s="128" t="s">
        <v>425</v>
      </c>
      <c r="AE15" s="129" t="s">
        <v>683</v>
      </c>
      <c r="AF15" s="129" t="s">
        <v>689</v>
      </c>
      <c r="AG15" s="130">
        <v>121500</v>
      </c>
      <c r="AH15" s="130">
        <v>60750</v>
      </c>
      <c r="AK15" t="s">
        <v>414</v>
      </c>
      <c r="AL15" t="s">
        <v>762</v>
      </c>
      <c r="AM15" s="25">
        <f t="shared" si="0"/>
        <v>417280</v>
      </c>
      <c r="AN15" s="25">
        <f t="shared" si="1"/>
        <v>208640</v>
      </c>
    </row>
    <row r="16" spans="30:40" ht="19.95" customHeight="1">
      <c r="AD16" s="128" t="s">
        <v>438</v>
      </c>
      <c r="AE16" s="129" t="s">
        <v>690</v>
      </c>
      <c r="AF16" s="129" t="s">
        <v>691</v>
      </c>
      <c r="AG16" s="130">
        <v>64000</v>
      </c>
      <c r="AH16" s="130">
        <v>32000</v>
      </c>
      <c r="AK16" t="s">
        <v>414</v>
      </c>
      <c r="AL16" t="s">
        <v>766</v>
      </c>
      <c r="AM16" s="25">
        <f t="shared" si="0"/>
        <v>1030000</v>
      </c>
      <c r="AN16" s="25">
        <f t="shared" si="1"/>
        <v>515000</v>
      </c>
    </row>
    <row r="17" spans="30:40" ht="19.95" customHeight="1">
      <c r="AD17" s="128" t="s">
        <v>438</v>
      </c>
      <c r="AE17" s="129" t="s">
        <v>690</v>
      </c>
      <c r="AF17" s="129" t="s">
        <v>692</v>
      </c>
      <c r="AG17" s="130">
        <v>39310</v>
      </c>
      <c r="AH17" s="130">
        <v>19655</v>
      </c>
      <c r="AK17" t="s">
        <v>414</v>
      </c>
      <c r="AL17" t="s">
        <v>780</v>
      </c>
      <c r="AM17" s="25">
        <f t="shared" si="0"/>
        <v>353200</v>
      </c>
      <c r="AN17" s="25">
        <f t="shared" si="1"/>
        <v>176600</v>
      </c>
    </row>
    <row r="18" spans="30:40" ht="19.95" customHeight="1">
      <c r="AD18" s="128" t="s">
        <v>438</v>
      </c>
      <c r="AE18" s="129" t="s">
        <v>690</v>
      </c>
      <c r="AF18" s="129" t="s">
        <v>693</v>
      </c>
      <c r="AG18" s="130">
        <v>68000</v>
      </c>
      <c r="AH18" s="130">
        <v>34000</v>
      </c>
      <c r="AK18" t="s">
        <v>785</v>
      </c>
      <c r="AL18" t="s">
        <v>786</v>
      </c>
      <c r="AM18" s="25">
        <f t="shared" si="0"/>
        <v>222000</v>
      </c>
      <c r="AN18" s="25">
        <f t="shared" si="1"/>
        <v>111000</v>
      </c>
    </row>
    <row r="19" spans="30:40" ht="19.95" customHeight="1">
      <c r="AD19" s="128" t="s">
        <v>438</v>
      </c>
      <c r="AE19" s="129" t="s">
        <v>690</v>
      </c>
      <c r="AF19" s="129" t="s">
        <v>694</v>
      </c>
      <c r="AG19" s="130">
        <v>80430</v>
      </c>
      <c r="AH19" s="130">
        <v>40215</v>
      </c>
      <c r="AK19" t="s">
        <v>785</v>
      </c>
      <c r="AL19" t="s">
        <v>789</v>
      </c>
      <c r="AM19" s="25">
        <f t="shared" si="0"/>
        <v>223130</v>
      </c>
      <c r="AN19" s="25">
        <f t="shared" si="1"/>
        <v>111565</v>
      </c>
    </row>
    <row r="20" spans="30:40" ht="19.95" customHeight="1">
      <c r="AD20" s="128" t="s">
        <v>438</v>
      </c>
      <c r="AE20" s="129" t="s">
        <v>690</v>
      </c>
      <c r="AF20" s="129" t="s">
        <v>695</v>
      </c>
      <c r="AG20" s="130">
        <v>10000</v>
      </c>
      <c r="AH20" s="130">
        <v>5000</v>
      </c>
      <c r="AK20" t="s">
        <v>785</v>
      </c>
      <c r="AL20" t="s">
        <v>796</v>
      </c>
      <c r="AM20" s="25">
        <f t="shared" si="0"/>
        <v>215090</v>
      </c>
      <c r="AN20" s="25">
        <f t="shared" si="1"/>
        <v>107545</v>
      </c>
    </row>
    <row r="21" spans="30:40" ht="19.95" customHeight="1">
      <c r="AD21" s="128" t="s">
        <v>438</v>
      </c>
      <c r="AE21" s="129" t="s">
        <v>690</v>
      </c>
      <c r="AF21" s="129" t="s">
        <v>696</v>
      </c>
      <c r="AG21" s="130">
        <v>31600</v>
      </c>
      <c r="AH21" s="130">
        <v>15800</v>
      </c>
      <c r="AK21" t="s">
        <v>438</v>
      </c>
      <c r="AL21" t="s">
        <v>800</v>
      </c>
      <c r="AM21" s="25">
        <f t="shared" si="0"/>
        <v>907590</v>
      </c>
      <c r="AN21" s="25">
        <f t="shared" si="1"/>
        <v>453795</v>
      </c>
    </row>
    <row r="22" spans="30:40" ht="19.95" customHeight="1">
      <c r="AD22" s="128" t="s">
        <v>438</v>
      </c>
      <c r="AE22" s="129" t="s">
        <v>690</v>
      </c>
      <c r="AF22" s="129" t="s">
        <v>697</v>
      </c>
      <c r="AG22" s="130">
        <v>19920</v>
      </c>
      <c r="AH22" s="130">
        <v>9960</v>
      </c>
      <c r="AK22" t="s">
        <v>414</v>
      </c>
      <c r="AL22" t="s">
        <v>819</v>
      </c>
      <c r="AM22" s="25">
        <f t="shared" si="0"/>
        <v>355680</v>
      </c>
      <c r="AN22" s="25">
        <f t="shared" si="1"/>
        <v>177840</v>
      </c>
    </row>
    <row r="23" spans="30:40" ht="19.95" customHeight="1">
      <c r="AD23" s="128" t="s">
        <v>454</v>
      </c>
      <c r="AE23" s="129" t="s">
        <v>698</v>
      </c>
      <c r="AF23" s="129" t="s">
        <v>699</v>
      </c>
      <c r="AG23" s="130">
        <v>10000</v>
      </c>
      <c r="AH23" s="130">
        <v>5000</v>
      </c>
      <c r="AK23" t="s">
        <v>414</v>
      </c>
      <c r="AL23" t="s">
        <v>826</v>
      </c>
      <c r="AM23" s="25">
        <f t="shared" si="0"/>
        <v>382210</v>
      </c>
      <c r="AN23" s="25">
        <f t="shared" si="1"/>
        <v>191105</v>
      </c>
    </row>
    <row r="24" spans="30:40" ht="19.95" customHeight="1">
      <c r="AD24" s="128" t="s">
        <v>700</v>
      </c>
      <c r="AE24" s="129" t="s">
        <v>701</v>
      </c>
      <c r="AF24" s="129" t="s">
        <v>702</v>
      </c>
      <c r="AG24" s="130">
        <v>38100</v>
      </c>
      <c r="AH24" s="130">
        <v>19050</v>
      </c>
      <c r="AK24" t="s">
        <v>785</v>
      </c>
      <c r="AL24" t="s">
        <v>832</v>
      </c>
      <c r="AM24" s="25">
        <f t="shared" si="0"/>
        <v>55100</v>
      </c>
      <c r="AN24" s="25">
        <f t="shared" si="1"/>
        <v>27550</v>
      </c>
    </row>
    <row r="25" spans="30:40" ht="19.95" customHeight="1">
      <c r="AD25" s="128" t="s">
        <v>700</v>
      </c>
      <c r="AE25" s="129" t="s">
        <v>701</v>
      </c>
      <c r="AF25" s="129" t="s">
        <v>703</v>
      </c>
      <c r="AG25" s="130">
        <v>44430</v>
      </c>
      <c r="AH25" s="130">
        <v>22215</v>
      </c>
      <c r="AK25" t="s">
        <v>834</v>
      </c>
      <c r="AL25" t="s">
        <v>835</v>
      </c>
      <c r="AM25" s="25">
        <f t="shared" si="0"/>
        <v>70000</v>
      </c>
      <c r="AN25" s="25">
        <f t="shared" si="1"/>
        <v>35000</v>
      </c>
    </row>
    <row r="26" spans="30:40" ht="19.95" customHeight="1">
      <c r="AD26" s="128" t="s">
        <v>700</v>
      </c>
      <c r="AE26" s="129" t="s">
        <v>701</v>
      </c>
      <c r="AF26" s="129" t="s">
        <v>704</v>
      </c>
      <c r="AG26" s="130">
        <v>148610</v>
      </c>
      <c r="AH26" s="130">
        <v>74305</v>
      </c>
      <c r="AK26" t="s">
        <v>834</v>
      </c>
      <c r="AL26" t="s">
        <v>837</v>
      </c>
      <c r="AM26" s="25">
        <f t="shared" si="0"/>
        <v>45520</v>
      </c>
      <c r="AN26" s="25">
        <f t="shared" si="1"/>
        <v>22760</v>
      </c>
    </row>
    <row r="27" spans="30:40" ht="19.95" customHeight="1">
      <c r="AD27" s="128" t="s">
        <v>700</v>
      </c>
      <c r="AE27" s="129" t="s">
        <v>701</v>
      </c>
      <c r="AF27" s="129" t="s">
        <v>705</v>
      </c>
      <c r="AG27" s="130">
        <v>21600</v>
      </c>
      <c r="AH27" s="130">
        <v>10800</v>
      </c>
      <c r="AK27" t="s">
        <v>414</v>
      </c>
      <c r="AL27" t="s">
        <v>839</v>
      </c>
      <c r="AM27" s="25">
        <f t="shared" si="0"/>
        <v>681760</v>
      </c>
      <c r="AN27" s="25">
        <f t="shared" si="1"/>
        <v>340880</v>
      </c>
    </row>
    <row r="28" spans="30:40" ht="19.95" customHeight="1">
      <c r="AD28" s="128" t="s">
        <v>700</v>
      </c>
      <c r="AE28" s="129" t="s">
        <v>701</v>
      </c>
      <c r="AF28" s="129" t="s">
        <v>706</v>
      </c>
      <c r="AG28" s="130">
        <v>20000</v>
      </c>
      <c r="AH28" s="130">
        <v>10000</v>
      </c>
      <c r="AK28" t="s">
        <v>454</v>
      </c>
      <c r="AL28" t="s">
        <v>608</v>
      </c>
      <c r="AM28" s="25">
        <f t="shared" si="0"/>
        <v>251940</v>
      </c>
      <c r="AN28" s="25">
        <f t="shared" si="1"/>
        <v>125970</v>
      </c>
    </row>
    <row r="29" spans="30:40" ht="19.95" customHeight="1">
      <c r="AD29" s="128" t="s">
        <v>700</v>
      </c>
      <c r="AE29" s="129" t="s">
        <v>701</v>
      </c>
      <c r="AF29" s="129" t="s">
        <v>707</v>
      </c>
      <c r="AG29" s="130">
        <v>99460</v>
      </c>
      <c r="AH29" s="130">
        <v>49730</v>
      </c>
      <c r="AK29" t="s">
        <v>454</v>
      </c>
      <c r="AL29" t="s">
        <v>867</v>
      </c>
      <c r="AM29" s="25">
        <f t="shared" si="0"/>
        <v>10100</v>
      </c>
      <c r="AN29" s="25">
        <f t="shared" si="1"/>
        <v>5050</v>
      </c>
    </row>
    <row r="30" spans="30:40" ht="19.95" customHeight="1">
      <c r="AD30" s="128" t="s">
        <v>700</v>
      </c>
      <c r="AE30" s="129" t="s">
        <v>701</v>
      </c>
      <c r="AF30" s="129" t="s">
        <v>708</v>
      </c>
      <c r="AG30" s="130">
        <v>10000</v>
      </c>
      <c r="AH30" s="130">
        <v>5000</v>
      </c>
      <c r="AK30" t="s">
        <v>414</v>
      </c>
      <c r="AL30" t="s">
        <v>427</v>
      </c>
      <c r="AM30" s="25">
        <f t="shared" si="0"/>
        <v>430640</v>
      </c>
      <c r="AN30" s="25">
        <f t="shared" si="1"/>
        <v>215320</v>
      </c>
    </row>
    <row r="31" spans="30:40" ht="19.95" customHeight="1">
      <c r="AD31" s="128" t="s">
        <v>700</v>
      </c>
      <c r="AE31" s="129" t="s">
        <v>701</v>
      </c>
      <c r="AF31" s="129" t="s">
        <v>709</v>
      </c>
      <c r="AG31" s="130">
        <v>30000</v>
      </c>
      <c r="AH31" s="130">
        <v>15000</v>
      </c>
      <c r="AK31" t="s">
        <v>416</v>
      </c>
      <c r="AL31" t="s">
        <v>442</v>
      </c>
      <c r="AM31" s="25">
        <f t="shared" si="0"/>
        <v>426950</v>
      </c>
      <c r="AN31" s="25">
        <f t="shared" si="1"/>
        <v>213475</v>
      </c>
    </row>
    <row r="32" spans="30:40" ht="19.95" customHeight="1">
      <c r="AD32" s="128" t="s">
        <v>700</v>
      </c>
      <c r="AE32" s="129" t="s">
        <v>701</v>
      </c>
      <c r="AF32" s="129" t="s">
        <v>710</v>
      </c>
      <c r="AG32" s="130">
        <v>78300</v>
      </c>
      <c r="AH32" s="130">
        <v>39150</v>
      </c>
      <c r="AK32" t="s">
        <v>425</v>
      </c>
      <c r="AL32" t="s">
        <v>467</v>
      </c>
      <c r="AM32" s="25">
        <f t="shared" si="0"/>
        <v>705150</v>
      </c>
      <c r="AN32" s="25">
        <f t="shared" si="1"/>
        <v>352575</v>
      </c>
    </row>
    <row r="33" spans="30:40" ht="19.95" customHeight="1">
      <c r="AD33" s="128" t="s">
        <v>700</v>
      </c>
      <c r="AE33" s="129" t="s">
        <v>701</v>
      </c>
      <c r="AF33" s="129" t="s">
        <v>711</v>
      </c>
      <c r="AG33" s="130">
        <v>69260</v>
      </c>
      <c r="AH33" s="130">
        <v>34630</v>
      </c>
      <c r="AK33" t="s">
        <v>438</v>
      </c>
      <c r="AL33" t="s">
        <v>893</v>
      </c>
      <c r="AM33" s="25">
        <f t="shared" si="0"/>
        <v>103570</v>
      </c>
      <c r="AN33" s="25">
        <f t="shared" si="1"/>
        <v>51785</v>
      </c>
    </row>
    <row r="34" spans="30:40" ht="19.95" customHeight="1">
      <c r="AD34" s="128" t="s">
        <v>700</v>
      </c>
      <c r="AE34" s="129" t="s">
        <v>701</v>
      </c>
      <c r="AF34" s="129" t="s">
        <v>712</v>
      </c>
      <c r="AG34" s="130">
        <v>38310</v>
      </c>
      <c r="AH34" s="130">
        <v>19155</v>
      </c>
      <c r="AK34" t="s">
        <v>414</v>
      </c>
      <c r="AL34" t="s">
        <v>896</v>
      </c>
      <c r="AM34" s="25">
        <f t="shared" si="0"/>
        <v>305000</v>
      </c>
      <c r="AN34" s="25">
        <f t="shared" si="1"/>
        <v>152500</v>
      </c>
    </row>
    <row r="35" spans="30:40" ht="19.95" customHeight="1">
      <c r="AD35" s="128" t="s">
        <v>700</v>
      </c>
      <c r="AE35" s="129" t="s">
        <v>701</v>
      </c>
      <c r="AF35" s="129" t="s">
        <v>713</v>
      </c>
      <c r="AG35" s="130">
        <v>10540</v>
      </c>
      <c r="AH35" s="130">
        <v>5270</v>
      </c>
      <c r="AK35" t="s">
        <v>414</v>
      </c>
      <c r="AL35" t="s">
        <v>441</v>
      </c>
      <c r="AM35" s="25">
        <f t="shared" si="0"/>
        <v>600000</v>
      </c>
      <c r="AN35" s="25">
        <f t="shared" si="1"/>
        <v>300000</v>
      </c>
    </row>
    <row r="36" spans="30:40" ht="19.95" customHeight="1">
      <c r="AD36" s="128" t="s">
        <v>700</v>
      </c>
      <c r="AE36" s="129" t="s">
        <v>701</v>
      </c>
      <c r="AF36" s="129" t="s">
        <v>714</v>
      </c>
      <c r="AG36" s="130">
        <v>79090</v>
      </c>
      <c r="AH36" s="130">
        <v>39545</v>
      </c>
      <c r="AK36" t="s">
        <v>414</v>
      </c>
      <c r="AL36" t="s">
        <v>904</v>
      </c>
      <c r="AM36" s="25">
        <f t="shared" si="0"/>
        <v>103030</v>
      </c>
      <c r="AN36" s="25">
        <f t="shared" si="1"/>
        <v>51515</v>
      </c>
    </row>
    <row r="37" spans="30:40" ht="19.95" customHeight="1">
      <c r="AD37" s="128" t="s">
        <v>700</v>
      </c>
      <c r="AE37" s="129" t="s">
        <v>701</v>
      </c>
      <c r="AF37" s="129" t="s">
        <v>715</v>
      </c>
      <c r="AG37" s="130">
        <v>48860</v>
      </c>
      <c r="AH37" s="130">
        <v>24430</v>
      </c>
      <c r="AK37" t="s">
        <v>426</v>
      </c>
      <c r="AL37" t="s">
        <v>906</v>
      </c>
      <c r="AM37" s="25">
        <f t="shared" si="0"/>
        <v>40000</v>
      </c>
      <c r="AN37" s="25">
        <f t="shared" si="1"/>
        <v>20000</v>
      </c>
    </row>
    <row r="38" spans="30:40" ht="19.95" customHeight="1">
      <c r="AD38" s="128" t="s">
        <v>700</v>
      </c>
      <c r="AE38" s="129" t="s">
        <v>701</v>
      </c>
      <c r="AF38" s="129" t="s">
        <v>716</v>
      </c>
      <c r="AG38" s="130">
        <v>20130</v>
      </c>
      <c r="AH38" s="130">
        <v>10065</v>
      </c>
      <c r="AK38" t="s">
        <v>425</v>
      </c>
      <c r="AL38" t="s">
        <v>908</v>
      </c>
      <c r="AM38" s="25">
        <f t="shared" si="0"/>
        <v>412260</v>
      </c>
      <c r="AN38" s="25">
        <f t="shared" si="1"/>
        <v>206130</v>
      </c>
    </row>
    <row r="39" spans="30:40" ht="19.95" customHeight="1">
      <c r="AD39" s="128" t="s">
        <v>700</v>
      </c>
      <c r="AE39" s="129" t="s">
        <v>701</v>
      </c>
      <c r="AF39" s="129" t="s">
        <v>717</v>
      </c>
      <c r="AG39" s="130">
        <v>81820</v>
      </c>
      <c r="AH39" s="130">
        <v>40910</v>
      </c>
      <c r="AK39" t="s">
        <v>913</v>
      </c>
      <c r="AL39" t="s">
        <v>914</v>
      </c>
      <c r="AM39" s="25">
        <f t="shared" si="0"/>
        <v>42000</v>
      </c>
      <c r="AN39" s="25">
        <f t="shared" si="1"/>
        <v>21000</v>
      </c>
    </row>
    <row r="40" spans="30:40" ht="19.95" customHeight="1">
      <c r="AD40" s="128" t="s">
        <v>700</v>
      </c>
      <c r="AE40" s="129" t="s">
        <v>701</v>
      </c>
      <c r="AF40" s="129" t="s">
        <v>718</v>
      </c>
      <c r="AG40" s="130">
        <v>81820</v>
      </c>
      <c r="AH40" s="130">
        <v>40910</v>
      </c>
      <c r="AK40" t="s">
        <v>414</v>
      </c>
      <c r="AL40" t="s">
        <v>917</v>
      </c>
      <c r="AM40" s="25">
        <f t="shared" si="0"/>
        <v>305000</v>
      </c>
      <c r="AN40" s="25">
        <f t="shared" si="1"/>
        <v>152500</v>
      </c>
    </row>
    <row r="41" spans="30:40" ht="19.95" customHeight="1">
      <c r="AD41" s="128" t="s">
        <v>700</v>
      </c>
      <c r="AE41" s="129" t="s">
        <v>701</v>
      </c>
      <c r="AF41" s="129" t="s">
        <v>719</v>
      </c>
      <c r="AG41" s="130">
        <v>74760</v>
      </c>
      <c r="AH41" s="130">
        <v>37380</v>
      </c>
      <c r="AK41" t="s">
        <v>913</v>
      </c>
      <c r="AL41" t="s">
        <v>923</v>
      </c>
      <c r="AM41" s="25">
        <f t="shared" si="0"/>
        <v>200790</v>
      </c>
      <c r="AN41" s="25">
        <f t="shared" si="1"/>
        <v>100395</v>
      </c>
    </row>
    <row r="42" spans="30:40" ht="19.95" customHeight="1">
      <c r="AD42" s="128" t="s">
        <v>700</v>
      </c>
      <c r="AE42" s="129" t="s">
        <v>701</v>
      </c>
      <c r="AF42" s="129" t="s">
        <v>720</v>
      </c>
      <c r="AG42" s="130">
        <v>79340</v>
      </c>
      <c r="AH42" s="130">
        <v>39670</v>
      </c>
      <c r="AK42" t="s">
        <v>414</v>
      </c>
      <c r="AL42" t="s">
        <v>928</v>
      </c>
      <c r="AM42" s="25">
        <f t="shared" si="0"/>
        <v>303000</v>
      </c>
      <c r="AN42" s="25">
        <f t="shared" si="1"/>
        <v>151500</v>
      </c>
    </row>
    <row r="43" spans="30:40" ht="19.95" customHeight="1">
      <c r="AD43" s="128" t="s">
        <v>700</v>
      </c>
      <c r="AE43" s="129" t="s">
        <v>701</v>
      </c>
      <c r="AF43" s="129" t="s">
        <v>721</v>
      </c>
      <c r="AG43" s="130">
        <v>115910</v>
      </c>
      <c r="AH43" s="130">
        <v>57955</v>
      </c>
      <c r="AK43" t="s">
        <v>416</v>
      </c>
      <c r="AL43" t="s">
        <v>421</v>
      </c>
      <c r="AM43" s="25">
        <f t="shared" si="0"/>
        <v>57000</v>
      </c>
      <c r="AN43" s="25">
        <f t="shared" si="1"/>
        <v>28500</v>
      </c>
    </row>
    <row r="44" spans="30:40" ht="19.95" customHeight="1">
      <c r="AD44" s="128" t="s">
        <v>700</v>
      </c>
      <c r="AE44" s="129" t="s">
        <v>701</v>
      </c>
      <c r="AF44" s="129" t="s">
        <v>722</v>
      </c>
      <c r="AG44" s="130">
        <v>31400</v>
      </c>
      <c r="AH44" s="130">
        <v>15700</v>
      </c>
      <c r="AK44" t="s">
        <v>785</v>
      </c>
      <c r="AL44" t="s">
        <v>935</v>
      </c>
      <c r="AM44" s="25">
        <f t="shared" si="0"/>
        <v>30100</v>
      </c>
      <c r="AN44" s="25">
        <f t="shared" si="1"/>
        <v>15050</v>
      </c>
    </row>
    <row r="45" spans="30:40" ht="19.95" customHeight="1">
      <c r="AD45" s="128" t="s">
        <v>700</v>
      </c>
      <c r="AE45" s="129" t="s">
        <v>701</v>
      </c>
      <c r="AF45" s="129" t="s">
        <v>723</v>
      </c>
      <c r="AG45" s="130">
        <v>38030</v>
      </c>
      <c r="AH45" s="130">
        <v>19015</v>
      </c>
      <c r="AK45" t="s">
        <v>913</v>
      </c>
      <c r="AL45" t="s">
        <v>937</v>
      </c>
      <c r="AM45" s="25">
        <f t="shared" si="0"/>
        <v>179290</v>
      </c>
      <c r="AN45" s="25">
        <f t="shared" si="1"/>
        <v>89645</v>
      </c>
    </row>
    <row r="46" spans="30:40" ht="19.95" customHeight="1">
      <c r="AD46" s="128" t="s">
        <v>700</v>
      </c>
      <c r="AE46" s="129" t="s">
        <v>701</v>
      </c>
      <c r="AF46" s="129" t="s">
        <v>724</v>
      </c>
      <c r="AG46" s="130">
        <v>37060</v>
      </c>
      <c r="AH46" s="130">
        <v>18530</v>
      </c>
      <c r="AK46" t="s">
        <v>414</v>
      </c>
      <c r="AL46" t="s">
        <v>939</v>
      </c>
      <c r="AM46" s="25">
        <f t="shared" si="0"/>
        <v>300000</v>
      </c>
      <c r="AN46" s="25">
        <f t="shared" si="1"/>
        <v>150000</v>
      </c>
    </row>
    <row r="47" spans="30:40" ht="19.95" customHeight="1">
      <c r="AD47" s="128" t="s">
        <v>700</v>
      </c>
      <c r="AE47" s="129" t="s">
        <v>701</v>
      </c>
      <c r="AF47" s="129" t="s">
        <v>725</v>
      </c>
      <c r="AG47" s="130">
        <v>124040</v>
      </c>
      <c r="AH47" s="130">
        <v>62020</v>
      </c>
      <c r="AK47" t="s">
        <v>913</v>
      </c>
      <c r="AL47" t="s">
        <v>945</v>
      </c>
      <c r="AM47" s="25">
        <f t="shared" si="0"/>
        <v>10900</v>
      </c>
      <c r="AN47" s="25">
        <f t="shared" si="1"/>
        <v>5450</v>
      </c>
    </row>
    <row r="48" spans="30:40" ht="19.95" customHeight="1">
      <c r="AD48" s="128" t="s">
        <v>700</v>
      </c>
      <c r="AE48" s="129" t="s">
        <v>701</v>
      </c>
      <c r="AF48" s="129" t="s">
        <v>726</v>
      </c>
      <c r="AG48" s="130">
        <v>95150</v>
      </c>
      <c r="AH48" s="130">
        <v>47575</v>
      </c>
      <c r="AK48" t="s">
        <v>578</v>
      </c>
      <c r="AL48" t="s">
        <v>947</v>
      </c>
      <c r="AM48" s="25">
        <f t="shared" si="0"/>
        <v>25270</v>
      </c>
      <c r="AN48" s="25">
        <f t="shared" si="1"/>
        <v>12635</v>
      </c>
    </row>
    <row r="49" spans="30:40" ht="19.95" customHeight="1">
      <c r="AD49" s="128" t="s">
        <v>425</v>
      </c>
      <c r="AE49" s="129" t="s">
        <v>727</v>
      </c>
      <c r="AF49" s="129" t="s">
        <v>728</v>
      </c>
      <c r="AG49" s="130">
        <v>29000</v>
      </c>
      <c r="AH49" s="130">
        <v>14500</v>
      </c>
      <c r="AK49" t="s">
        <v>414</v>
      </c>
      <c r="AL49" t="s">
        <v>950</v>
      </c>
      <c r="AM49" s="25">
        <f t="shared" si="0"/>
        <v>85000</v>
      </c>
      <c r="AN49" s="25">
        <f t="shared" si="1"/>
        <v>42500</v>
      </c>
    </row>
    <row r="50" spans="30:40" ht="19.95" customHeight="1">
      <c r="AD50" s="128" t="s">
        <v>425</v>
      </c>
      <c r="AE50" s="129" t="s">
        <v>727</v>
      </c>
      <c r="AF50" s="129" t="s">
        <v>729</v>
      </c>
      <c r="AG50" s="130">
        <v>103000</v>
      </c>
      <c r="AH50" s="130">
        <v>51500</v>
      </c>
      <c r="AK50" t="s">
        <v>414</v>
      </c>
      <c r="AL50" t="s">
        <v>437</v>
      </c>
      <c r="AM50" s="25">
        <f t="shared" si="0"/>
        <v>100000</v>
      </c>
      <c r="AN50" s="25">
        <f t="shared" si="1"/>
        <v>50000</v>
      </c>
    </row>
    <row r="51" spans="30:40" ht="19.95" customHeight="1">
      <c r="AD51" s="128" t="s">
        <v>425</v>
      </c>
      <c r="AE51" s="129" t="s">
        <v>727</v>
      </c>
      <c r="AF51" s="129" t="s">
        <v>730</v>
      </c>
      <c r="AG51" s="130">
        <v>10000</v>
      </c>
      <c r="AH51" s="130">
        <v>5000</v>
      </c>
      <c r="AK51" t="s">
        <v>416</v>
      </c>
      <c r="AL51" t="s">
        <v>953</v>
      </c>
      <c r="AM51" s="25">
        <f t="shared" si="0"/>
        <v>30000</v>
      </c>
      <c r="AN51" s="25">
        <f t="shared" si="1"/>
        <v>15000</v>
      </c>
    </row>
    <row r="52" spans="30:40" ht="19.95" customHeight="1">
      <c r="AD52" s="128" t="s">
        <v>425</v>
      </c>
      <c r="AE52" s="129" t="s">
        <v>727</v>
      </c>
      <c r="AF52" s="129" t="s">
        <v>731</v>
      </c>
      <c r="AG52" s="130">
        <v>41000</v>
      </c>
      <c r="AH52" s="130">
        <v>20500</v>
      </c>
      <c r="AK52" t="s">
        <v>414</v>
      </c>
      <c r="AL52" t="s">
        <v>439</v>
      </c>
      <c r="AM52" s="25">
        <f t="shared" si="0"/>
        <v>334000</v>
      </c>
      <c r="AN52" s="25">
        <f t="shared" si="1"/>
        <v>167000</v>
      </c>
    </row>
    <row r="53" spans="30:40" ht="19.95" customHeight="1">
      <c r="AD53" s="128" t="s">
        <v>425</v>
      </c>
      <c r="AE53" s="129" t="s">
        <v>727</v>
      </c>
      <c r="AF53" s="129" t="s">
        <v>732</v>
      </c>
      <c r="AG53" s="130">
        <v>26300</v>
      </c>
      <c r="AH53" s="130">
        <v>13150</v>
      </c>
      <c r="AK53" t="s">
        <v>425</v>
      </c>
      <c r="AL53" t="s">
        <v>964</v>
      </c>
      <c r="AM53" s="25">
        <f t="shared" si="0"/>
        <v>1210330</v>
      </c>
      <c r="AN53" s="25">
        <f t="shared" si="1"/>
        <v>605165</v>
      </c>
    </row>
    <row r="54" spans="30:40" ht="19.95" customHeight="1">
      <c r="AD54" s="128" t="s">
        <v>425</v>
      </c>
      <c r="AE54" s="129" t="s">
        <v>569</v>
      </c>
      <c r="AF54" s="129" t="s">
        <v>733</v>
      </c>
      <c r="AG54" s="130">
        <v>40000</v>
      </c>
      <c r="AH54" s="130">
        <v>20000</v>
      </c>
      <c r="AK54" t="s">
        <v>414</v>
      </c>
      <c r="AL54" t="s">
        <v>976</v>
      </c>
      <c r="AM54" s="25">
        <f t="shared" si="0"/>
        <v>329000</v>
      </c>
      <c r="AN54" s="25">
        <f t="shared" si="1"/>
        <v>164500</v>
      </c>
    </row>
    <row r="55" spans="30:40" ht="19.95" customHeight="1">
      <c r="AD55" s="128" t="s">
        <v>425</v>
      </c>
      <c r="AE55" s="129" t="s">
        <v>569</v>
      </c>
      <c r="AF55" s="129" t="s">
        <v>734</v>
      </c>
      <c r="AG55" s="130">
        <v>76400</v>
      </c>
      <c r="AH55" s="130">
        <v>38200</v>
      </c>
      <c r="AK55" t="s">
        <v>414</v>
      </c>
      <c r="AL55" t="s">
        <v>443</v>
      </c>
      <c r="AM55" s="25">
        <f t="shared" si="0"/>
        <v>363000</v>
      </c>
      <c r="AN55" s="25">
        <f t="shared" si="1"/>
        <v>181500</v>
      </c>
    </row>
    <row r="56" spans="30:40" ht="19.95" customHeight="1">
      <c r="AD56" s="128" t="s">
        <v>425</v>
      </c>
      <c r="AE56" s="129" t="s">
        <v>569</v>
      </c>
      <c r="AF56" s="129" t="s">
        <v>735</v>
      </c>
      <c r="AG56" s="130">
        <v>50000</v>
      </c>
      <c r="AH56" s="130">
        <v>25000</v>
      </c>
    </row>
    <row r="57" spans="30:40" ht="19.95" customHeight="1">
      <c r="AD57" s="128" t="s">
        <v>425</v>
      </c>
      <c r="AE57" s="129" t="s">
        <v>569</v>
      </c>
      <c r="AF57" s="129" t="s">
        <v>736</v>
      </c>
      <c r="AG57" s="130">
        <v>38000</v>
      </c>
      <c r="AH57" s="130">
        <v>19000</v>
      </c>
    </row>
    <row r="58" spans="30:40" ht="19.95" customHeight="1">
      <c r="AD58" s="128" t="s">
        <v>414</v>
      </c>
      <c r="AE58" s="129" t="s">
        <v>440</v>
      </c>
      <c r="AF58" s="129" t="s">
        <v>737</v>
      </c>
      <c r="AG58" s="130">
        <v>50000</v>
      </c>
      <c r="AH58" s="130">
        <v>25000</v>
      </c>
    </row>
    <row r="59" spans="30:40" ht="19.95" customHeight="1">
      <c r="AD59" s="128" t="s">
        <v>414</v>
      </c>
      <c r="AE59" s="129" t="s">
        <v>440</v>
      </c>
      <c r="AF59" s="129" t="s">
        <v>738</v>
      </c>
      <c r="AG59" s="130">
        <v>100000</v>
      </c>
      <c r="AH59" s="130">
        <v>50000</v>
      </c>
    </row>
    <row r="60" spans="30:40" ht="19.95" customHeight="1">
      <c r="AD60" s="128" t="s">
        <v>414</v>
      </c>
      <c r="AE60" s="129" t="s">
        <v>440</v>
      </c>
      <c r="AF60" s="129" t="s">
        <v>739</v>
      </c>
      <c r="AG60" s="130">
        <v>50000</v>
      </c>
      <c r="AH60" s="130">
        <v>25000</v>
      </c>
    </row>
    <row r="61" spans="30:40" ht="19.95" customHeight="1">
      <c r="AD61" s="128" t="s">
        <v>414</v>
      </c>
      <c r="AE61" s="129" t="s">
        <v>440</v>
      </c>
      <c r="AF61" s="129" t="s">
        <v>740</v>
      </c>
      <c r="AG61" s="130">
        <v>64000</v>
      </c>
      <c r="AH61" s="130">
        <v>32000</v>
      </c>
    </row>
    <row r="62" spans="30:40" ht="19.95" customHeight="1">
      <c r="AD62" s="128" t="s">
        <v>414</v>
      </c>
      <c r="AE62" s="129" t="s">
        <v>440</v>
      </c>
      <c r="AF62" s="129" t="s">
        <v>741</v>
      </c>
      <c r="AG62" s="130">
        <v>36000</v>
      </c>
      <c r="AH62" s="130">
        <v>18000</v>
      </c>
    </row>
    <row r="63" spans="30:40" ht="19.95" customHeight="1">
      <c r="AD63" s="128" t="s">
        <v>425</v>
      </c>
      <c r="AE63" s="129" t="s">
        <v>742</v>
      </c>
      <c r="AF63" s="129" t="s">
        <v>743</v>
      </c>
      <c r="AG63" s="130">
        <v>50000</v>
      </c>
      <c r="AH63" s="130">
        <v>25000</v>
      </c>
    </row>
    <row r="64" spans="30:40" ht="19.95" customHeight="1">
      <c r="AD64" s="128" t="s">
        <v>425</v>
      </c>
      <c r="AE64" s="129" t="s">
        <v>742</v>
      </c>
      <c r="AF64" s="129" t="s">
        <v>744</v>
      </c>
      <c r="AG64" s="130">
        <v>21600</v>
      </c>
      <c r="AH64" s="130">
        <v>10800</v>
      </c>
    </row>
    <row r="65" spans="30:34" ht="19.95" customHeight="1">
      <c r="AD65" s="128" t="s">
        <v>425</v>
      </c>
      <c r="AE65" s="129" t="s">
        <v>742</v>
      </c>
      <c r="AF65" s="129" t="s">
        <v>745</v>
      </c>
      <c r="AG65" s="130">
        <v>108000</v>
      </c>
      <c r="AH65" s="130">
        <v>54000</v>
      </c>
    </row>
    <row r="66" spans="30:34" ht="19.95" customHeight="1">
      <c r="AD66" s="128" t="s">
        <v>425</v>
      </c>
      <c r="AE66" s="129" t="s">
        <v>742</v>
      </c>
      <c r="AF66" s="129" t="s">
        <v>746</v>
      </c>
      <c r="AG66" s="130">
        <v>20800</v>
      </c>
      <c r="AH66" s="130">
        <v>10400</v>
      </c>
    </row>
    <row r="67" spans="30:34" ht="19.95" customHeight="1">
      <c r="AD67" s="128" t="s">
        <v>414</v>
      </c>
      <c r="AE67" s="129" t="s">
        <v>747</v>
      </c>
      <c r="AF67" s="129" t="s">
        <v>748</v>
      </c>
      <c r="AG67" s="130">
        <v>50000</v>
      </c>
      <c r="AH67" s="130">
        <v>25000</v>
      </c>
    </row>
    <row r="68" spans="30:34" ht="19.95" customHeight="1">
      <c r="AD68" s="128" t="s">
        <v>414</v>
      </c>
      <c r="AE68" s="129" t="s">
        <v>747</v>
      </c>
      <c r="AF68" s="129" t="s">
        <v>749</v>
      </c>
      <c r="AG68" s="130">
        <v>103000</v>
      </c>
      <c r="AH68" s="130">
        <v>51500</v>
      </c>
    </row>
    <row r="69" spans="30:34" ht="19.95" customHeight="1">
      <c r="AD69" s="128" t="s">
        <v>414</v>
      </c>
      <c r="AE69" s="129" t="s">
        <v>747</v>
      </c>
      <c r="AF69" s="129" t="s">
        <v>750</v>
      </c>
      <c r="AG69" s="130">
        <v>98000</v>
      </c>
      <c r="AH69" s="130">
        <v>49000</v>
      </c>
    </row>
    <row r="70" spans="30:34" ht="19.95" customHeight="1">
      <c r="AD70" s="128" t="s">
        <v>414</v>
      </c>
      <c r="AE70" s="129" t="s">
        <v>747</v>
      </c>
      <c r="AF70" s="129" t="s">
        <v>751</v>
      </c>
      <c r="AG70" s="130">
        <v>115000</v>
      </c>
      <c r="AH70" s="130">
        <v>57500</v>
      </c>
    </row>
    <row r="71" spans="30:34" ht="19.95" customHeight="1">
      <c r="AD71" s="128" t="s">
        <v>414</v>
      </c>
      <c r="AE71" s="129" t="s">
        <v>747</v>
      </c>
      <c r="AF71" s="129" t="s">
        <v>752</v>
      </c>
      <c r="AG71" s="130">
        <v>84000</v>
      </c>
      <c r="AH71" s="130">
        <v>42000</v>
      </c>
    </row>
    <row r="72" spans="30:34" ht="19.95" customHeight="1">
      <c r="AD72" s="128" t="s">
        <v>414</v>
      </c>
      <c r="AE72" s="129" t="s">
        <v>747</v>
      </c>
      <c r="AF72" s="129" t="s">
        <v>753</v>
      </c>
      <c r="AG72" s="130">
        <v>50000</v>
      </c>
      <c r="AH72" s="130">
        <v>25000</v>
      </c>
    </row>
    <row r="73" spans="30:34" ht="19.95" customHeight="1">
      <c r="AD73" s="128" t="s">
        <v>414</v>
      </c>
      <c r="AE73" s="129" t="s">
        <v>747</v>
      </c>
      <c r="AF73" s="129" t="s">
        <v>754</v>
      </c>
      <c r="AG73" s="130">
        <v>50000</v>
      </c>
      <c r="AH73" s="130">
        <v>25000</v>
      </c>
    </row>
    <row r="74" spans="30:34" ht="19.95" customHeight="1">
      <c r="AD74" s="128" t="s">
        <v>414</v>
      </c>
      <c r="AE74" s="129" t="s">
        <v>747</v>
      </c>
      <c r="AF74" s="129" t="s">
        <v>755</v>
      </c>
      <c r="AG74" s="130">
        <v>98000</v>
      </c>
      <c r="AH74" s="130">
        <v>49000</v>
      </c>
    </row>
    <row r="75" spans="30:34" ht="19.95" customHeight="1">
      <c r="AD75" s="128" t="s">
        <v>414</v>
      </c>
      <c r="AE75" s="129" t="s">
        <v>747</v>
      </c>
      <c r="AF75" s="129" t="s">
        <v>756</v>
      </c>
      <c r="AG75" s="130">
        <v>60000</v>
      </c>
      <c r="AH75" s="130">
        <v>30000</v>
      </c>
    </row>
    <row r="76" spans="30:34" ht="19.95" customHeight="1">
      <c r="AD76" s="128" t="s">
        <v>414</v>
      </c>
      <c r="AE76" s="129" t="s">
        <v>757</v>
      </c>
      <c r="AF76" s="129" t="s">
        <v>758</v>
      </c>
      <c r="AG76" s="130">
        <v>41000</v>
      </c>
      <c r="AH76" s="130">
        <v>20500</v>
      </c>
    </row>
    <row r="77" spans="30:34" ht="19.95" customHeight="1">
      <c r="AD77" s="128" t="s">
        <v>414</v>
      </c>
      <c r="AE77" s="129" t="s">
        <v>759</v>
      </c>
      <c r="AF77" s="129" t="s">
        <v>760</v>
      </c>
      <c r="AG77" s="130">
        <v>50000</v>
      </c>
      <c r="AH77" s="130">
        <v>25000</v>
      </c>
    </row>
    <row r="78" spans="30:34" ht="19.95" customHeight="1">
      <c r="AD78" s="128" t="s">
        <v>414</v>
      </c>
      <c r="AE78" s="129" t="s">
        <v>759</v>
      </c>
      <c r="AF78" s="129" t="s">
        <v>761</v>
      </c>
      <c r="AG78" s="130">
        <v>170000</v>
      </c>
      <c r="AH78" s="130">
        <v>85000</v>
      </c>
    </row>
    <row r="79" spans="30:34" ht="19.95" customHeight="1">
      <c r="AD79" s="128" t="s">
        <v>414</v>
      </c>
      <c r="AE79" s="129" t="s">
        <v>762</v>
      </c>
      <c r="AF79" s="129" t="s">
        <v>763</v>
      </c>
      <c r="AG79" s="130">
        <v>55280</v>
      </c>
      <c r="AH79" s="130">
        <v>27640</v>
      </c>
    </row>
    <row r="80" spans="30:34" ht="19.95" customHeight="1">
      <c r="AD80" s="128" t="s">
        <v>414</v>
      </c>
      <c r="AE80" s="129" t="s">
        <v>762</v>
      </c>
      <c r="AF80" s="129" t="s">
        <v>764</v>
      </c>
      <c r="AG80" s="130">
        <v>162000</v>
      </c>
      <c r="AH80" s="130">
        <v>81000</v>
      </c>
    </row>
    <row r="81" spans="30:34" ht="19.95" customHeight="1">
      <c r="AD81" s="128" t="s">
        <v>414</v>
      </c>
      <c r="AE81" s="129" t="s">
        <v>762</v>
      </c>
      <c r="AF81" s="129" t="s">
        <v>765</v>
      </c>
      <c r="AG81" s="130">
        <v>200000</v>
      </c>
      <c r="AH81" s="130">
        <v>100000</v>
      </c>
    </row>
    <row r="82" spans="30:34" ht="19.95" customHeight="1">
      <c r="AD82" s="128" t="s">
        <v>414</v>
      </c>
      <c r="AE82" s="129" t="s">
        <v>766</v>
      </c>
      <c r="AF82" s="129" t="s">
        <v>767</v>
      </c>
      <c r="AG82" s="130">
        <v>150000</v>
      </c>
      <c r="AH82" s="130">
        <v>75000</v>
      </c>
    </row>
    <row r="83" spans="30:34" ht="19.95" customHeight="1">
      <c r="AD83" s="128" t="s">
        <v>414</v>
      </c>
      <c r="AE83" s="129" t="s">
        <v>766</v>
      </c>
      <c r="AF83" s="129" t="s">
        <v>768</v>
      </c>
      <c r="AG83" s="130">
        <v>17500</v>
      </c>
      <c r="AH83" s="130">
        <v>8750</v>
      </c>
    </row>
    <row r="84" spans="30:34" ht="19.95" customHeight="1">
      <c r="AD84" s="128" t="s">
        <v>414</v>
      </c>
      <c r="AE84" s="129" t="s">
        <v>766</v>
      </c>
      <c r="AF84" s="129" t="s">
        <v>769</v>
      </c>
      <c r="AG84" s="130">
        <v>200000</v>
      </c>
      <c r="AH84" s="130">
        <v>100000</v>
      </c>
    </row>
    <row r="85" spans="30:34" ht="19.95" customHeight="1">
      <c r="AD85" s="128" t="s">
        <v>414</v>
      </c>
      <c r="AE85" s="129" t="s">
        <v>766</v>
      </c>
      <c r="AF85" s="129" t="s">
        <v>770</v>
      </c>
      <c r="AG85" s="130">
        <v>82000</v>
      </c>
      <c r="AH85" s="130">
        <v>41000</v>
      </c>
    </row>
    <row r="86" spans="30:34" ht="19.95" customHeight="1">
      <c r="AD86" s="128" t="s">
        <v>414</v>
      </c>
      <c r="AE86" s="129" t="s">
        <v>766</v>
      </c>
      <c r="AF86" s="129" t="s">
        <v>771</v>
      </c>
      <c r="AG86" s="130">
        <v>16000</v>
      </c>
      <c r="AH86" s="130">
        <v>8000</v>
      </c>
    </row>
    <row r="87" spans="30:34" ht="19.95" customHeight="1">
      <c r="AD87" s="128" t="s">
        <v>414</v>
      </c>
      <c r="AE87" s="129" t="s">
        <v>766</v>
      </c>
      <c r="AF87" s="129" t="s">
        <v>772</v>
      </c>
      <c r="AG87" s="130">
        <v>17500</v>
      </c>
      <c r="AH87" s="130">
        <v>8750</v>
      </c>
    </row>
    <row r="88" spans="30:34" ht="19.95" customHeight="1">
      <c r="AD88" s="128" t="s">
        <v>414</v>
      </c>
      <c r="AE88" s="129" t="s">
        <v>766</v>
      </c>
      <c r="AF88" s="129" t="s">
        <v>773</v>
      </c>
      <c r="AG88" s="130">
        <v>138000</v>
      </c>
      <c r="AH88" s="130">
        <v>69000</v>
      </c>
    </row>
    <row r="89" spans="30:34" ht="19.95" customHeight="1">
      <c r="AD89" s="128" t="s">
        <v>414</v>
      </c>
      <c r="AE89" s="129" t="s">
        <v>766</v>
      </c>
      <c r="AF89" s="129" t="s">
        <v>774</v>
      </c>
      <c r="AG89" s="130">
        <v>60000</v>
      </c>
      <c r="AH89" s="130">
        <v>30000</v>
      </c>
    </row>
    <row r="90" spans="30:34" ht="19.95" customHeight="1">
      <c r="AD90" s="128" t="s">
        <v>414</v>
      </c>
      <c r="AE90" s="129" t="s">
        <v>766</v>
      </c>
      <c r="AF90" s="129" t="s">
        <v>775</v>
      </c>
      <c r="AG90" s="130">
        <v>57000</v>
      </c>
      <c r="AH90" s="130">
        <v>28500</v>
      </c>
    </row>
    <row r="91" spans="30:34" ht="19.95" customHeight="1">
      <c r="AD91" s="128" t="s">
        <v>414</v>
      </c>
      <c r="AE91" s="129" t="s">
        <v>766</v>
      </c>
      <c r="AF91" s="129" t="s">
        <v>776</v>
      </c>
      <c r="AG91" s="130">
        <v>200000</v>
      </c>
      <c r="AH91" s="130">
        <v>100000</v>
      </c>
    </row>
    <row r="92" spans="30:34" ht="19.95" customHeight="1">
      <c r="AD92" s="128" t="s">
        <v>414</v>
      </c>
      <c r="AE92" s="129" t="s">
        <v>766</v>
      </c>
      <c r="AF92" s="129" t="s">
        <v>777</v>
      </c>
      <c r="AG92" s="130">
        <v>55000</v>
      </c>
      <c r="AH92" s="130">
        <v>27500</v>
      </c>
    </row>
    <row r="93" spans="30:34" ht="19.95" customHeight="1">
      <c r="AD93" s="128" t="s">
        <v>414</v>
      </c>
      <c r="AE93" s="129" t="s">
        <v>766</v>
      </c>
      <c r="AF93" s="129" t="s">
        <v>778</v>
      </c>
      <c r="AG93" s="130">
        <v>16000</v>
      </c>
      <c r="AH93" s="130">
        <v>8000</v>
      </c>
    </row>
    <row r="94" spans="30:34" ht="19.95" customHeight="1">
      <c r="AD94" s="128" t="s">
        <v>414</v>
      </c>
      <c r="AE94" s="129" t="s">
        <v>766</v>
      </c>
      <c r="AF94" s="129" t="s">
        <v>779</v>
      </c>
      <c r="AG94" s="130">
        <v>21000</v>
      </c>
      <c r="AH94" s="130">
        <v>10500</v>
      </c>
    </row>
    <row r="95" spans="30:34" ht="19.95" customHeight="1">
      <c r="AD95" s="128" t="s">
        <v>414</v>
      </c>
      <c r="AE95" s="129" t="s">
        <v>780</v>
      </c>
      <c r="AF95" s="129" t="s">
        <v>781</v>
      </c>
      <c r="AG95" s="130">
        <v>102560</v>
      </c>
      <c r="AH95" s="130">
        <v>51280</v>
      </c>
    </row>
    <row r="96" spans="30:34" ht="19.95" customHeight="1">
      <c r="AD96" s="128" t="s">
        <v>414</v>
      </c>
      <c r="AE96" s="129" t="s">
        <v>780</v>
      </c>
      <c r="AF96" s="129" t="s">
        <v>782</v>
      </c>
      <c r="AG96" s="130">
        <v>50090</v>
      </c>
      <c r="AH96" s="130">
        <v>25045</v>
      </c>
    </row>
    <row r="97" spans="30:34" ht="19.95" customHeight="1">
      <c r="AD97" s="128" t="s">
        <v>414</v>
      </c>
      <c r="AE97" s="129" t="s">
        <v>780</v>
      </c>
      <c r="AF97" s="129" t="s">
        <v>783</v>
      </c>
      <c r="AG97" s="130">
        <v>77840</v>
      </c>
      <c r="AH97" s="130">
        <v>38920</v>
      </c>
    </row>
    <row r="98" spans="30:34" ht="19.95" customHeight="1">
      <c r="AD98" s="128" t="s">
        <v>414</v>
      </c>
      <c r="AE98" s="129" t="s">
        <v>780</v>
      </c>
      <c r="AF98" s="129" t="s">
        <v>784</v>
      </c>
      <c r="AG98" s="130">
        <v>122710</v>
      </c>
      <c r="AH98" s="130">
        <v>61355</v>
      </c>
    </row>
    <row r="99" spans="30:34" ht="19.95" customHeight="1">
      <c r="AD99" s="128" t="s">
        <v>785</v>
      </c>
      <c r="AE99" s="129" t="s">
        <v>786</v>
      </c>
      <c r="AF99" s="129" t="s">
        <v>787</v>
      </c>
      <c r="AG99" s="130">
        <v>98000</v>
      </c>
      <c r="AH99" s="130">
        <v>49000</v>
      </c>
    </row>
    <row r="100" spans="30:34" ht="19.95" customHeight="1">
      <c r="AD100" s="128" t="s">
        <v>785</v>
      </c>
      <c r="AE100" s="129" t="s">
        <v>786</v>
      </c>
      <c r="AF100" s="129" t="s">
        <v>788</v>
      </c>
      <c r="AG100" s="130">
        <v>124000</v>
      </c>
      <c r="AH100" s="130">
        <v>62000</v>
      </c>
    </row>
    <row r="101" spans="30:34" ht="19.95" customHeight="1">
      <c r="AD101" s="128" t="s">
        <v>785</v>
      </c>
      <c r="AE101" s="129" t="s">
        <v>789</v>
      </c>
      <c r="AF101" s="129" t="s">
        <v>790</v>
      </c>
      <c r="AG101" s="130">
        <v>38330</v>
      </c>
      <c r="AH101" s="130">
        <v>19165</v>
      </c>
    </row>
    <row r="102" spans="30:34" ht="19.95" customHeight="1">
      <c r="AD102" s="128" t="s">
        <v>785</v>
      </c>
      <c r="AE102" s="129" t="s">
        <v>789</v>
      </c>
      <c r="AF102" s="129" t="s">
        <v>791</v>
      </c>
      <c r="AG102" s="130">
        <v>28000</v>
      </c>
      <c r="AH102" s="130">
        <v>14000</v>
      </c>
    </row>
    <row r="103" spans="30:34" ht="19.95" customHeight="1">
      <c r="AD103" s="128" t="s">
        <v>785</v>
      </c>
      <c r="AE103" s="129" t="s">
        <v>789</v>
      </c>
      <c r="AF103" s="129" t="s">
        <v>792</v>
      </c>
      <c r="AG103" s="130">
        <v>30000</v>
      </c>
      <c r="AH103" s="130">
        <v>15000</v>
      </c>
    </row>
    <row r="104" spans="30:34" ht="19.95" customHeight="1">
      <c r="AD104" s="128" t="s">
        <v>785</v>
      </c>
      <c r="AE104" s="129" t="s">
        <v>789</v>
      </c>
      <c r="AF104" s="129" t="s">
        <v>793</v>
      </c>
      <c r="AG104" s="130">
        <v>63190</v>
      </c>
      <c r="AH104" s="130">
        <v>31595</v>
      </c>
    </row>
    <row r="105" spans="30:34" ht="19.95" customHeight="1">
      <c r="AD105" s="128" t="s">
        <v>785</v>
      </c>
      <c r="AE105" s="129" t="s">
        <v>789</v>
      </c>
      <c r="AF105" s="129" t="s">
        <v>794</v>
      </c>
      <c r="AG105" s="130">
        <v>26000</v>
      </c>
      <c r="AH105" s="130">
        <v>13000</v>
      </c>
    </row>
    <row r="106" spans="30:34" ht="19.95" customHeight="1">
      <c r="AD106" s="128" t="s">
        <v>785</v>
      </c>
      <c r="AE106" s="129" t="s">
        <v>789</v>
      </c>
      <c r="AF106" s="129" t="s">
        <v>795</v>
      </c>
      <c r="AG106" s="130">
        <v>37610</v>
      </c>
      <c r="AH106" s="130">
        <v>18805</v>
      </c>
    </row>
    <row r="107" spans="30:34" ht="19.95" customHeight="1">
      <c r="AD107" s="128" t="s">
        <v>785</v>
      </c>
      <c r="AE107" s="129" t="s">
        <v>796</v>
      </c>
      <c r="AF107" s="129" t="s">
        <v>797</v>
      </c>
      <c r="AG107" s="130">
        <v>65090</v>
      </c>
      <c r="AH107" s="130">
        <v>32545</v>
      </c>
    </row>
    <row r="108" spans="30:34" ht="19.95" customHeight="1">
      <c r="AD108" s="128" t="s">
        <v>785</v>
      </c>
      <c r="AE108" s="129" t="s">
        <v>796</v>
      </c>
      <c r="AF108" s="129" t="s">
        <v>798</v>
      </c>
      <c r="AG108" s="130">
        <v>72000</v>
      </c>
      <c r="AH108" s="130">
        <v>36000</v>
      </c>
    </row>
    <row r="109" spans="30:34" ht="19.95" customHeight="1">
      <c r="AD109" s="128" t="s">
        <v>785</v>
      </c>
      <c r="AE109" s="129" t="s">
        <v>796</v>
      </c>
      <c r="AF109" s="129" t="s">
        <v>799</v>
      </c>
      <c r="AG109" s="130">
        <v>78000</v>
      </c>
      <c r="AH109" s="130">
        <v>39000</v>
      </c>
    </row>
    <row r="110" spans="30:34" ht="19.95" customHeight="1">
      <c r="AD110" s="128" t="s">
        <v>438</v>
      </c>
      <c r="AE110" s="129" t="s">
        <v>800</v>
      </c>
      <c r="AF110" s="129" t="s">
        <v>801</v>
      </c>
      <c r="AG110" s="130">
        <v>42110</v>
      </c>
      <c r="AH110" s="130">
        <v>21055</v>
      </c>
    </row>
    <row r="111" spans="30:34" ht="19.95" customHeight="1">
      <c r="AD111" s="128" t="s">
        <v>438</v>
      </c>
      <c r="AE111" s="129" t="s">
        <v>800</v>
      </c>
      <c r="AF111" s="129" t="s">
        <v>802</v>
      </c>
      <c r="AG111" s="130">
        <v>15000</v>
      </c>
      <c r="AH111" s="130">
        <v>7500</v>
      </c>
    </row>
    <row r="112" spans="30:34" ht="19.95" customHeight="1">
      <c r="AD112" s="128" t="s">
        <v>438</v>
      </c>
      <c r="AE112" s="129" t="s">
        <v>800</v>
      </c>
      <c r="AF112" s="129" t="s">
        <v>803</v>
      </c>
      <c r="AG112" s="130">
        <v>112710</v>
      </c>
      <c r="AH112" s="130">
        <v>56355</v>
      </c>
    </row>
    <row r="113" spans="30:34" ht="19.95" customHeight="1">
      <c r="AD113" s="128" t="s">
        <v>438</v>
      </c>
      <c r="AE113" s="129" t="s">
        <v>800</v>
      </c>
      <c r="AF113" s="129" t="s">
        <v>804</v>
      </c>
      <c r="AG113" s="130">
        <v>24000</v>
      </c>
      <c r="AH113" s="130">
        <v>12000</v>
      </c>
    </row>
    <row r="114" spans="30:34" ht="19.95" customHeight="1">
      <c r="AD114" s="128" t="s">
        <v>438</v>
      </c>
      <c r="AE114" s="129" t="s">
        <v>800</v>
      </c>
      <c r="AF114" s="129" t="s">
        <v>805</v>
      </c>
      <c r="AG114" s="130">
        <v>14000</v>
      </c>
      <c r="AH114" s="130">
        <v>7000</v>
      </c>
    </row>
    <row r="115" spans="30:34" ht="19.95" customHeight="1">
      <c r="AD115" s="128" t="s">
        <v>438</v>
      </c>
      <c r="AE115" s="129" t="s">
        <v>800</v>
      </c>
      <c r="AF115" s="129" t="s">
        <v>806</v>
      </c>
      <c r="AG115" s="130">
        <v>30000</v>
      </c>
      <c r="AH115" s="130">
        <v>15000</v>
      </c>
    </row>
    <row r="116" spans="30:34" ht="19.95" customHeight="1">
      <c r="AD116" s="128" t="s">
        <v>438</v>
      </c>
      <c r="AE116" s="129" t="s">
        <v>800</v>
      </c>
      <c r="AF116" s="129" t="s">
        <v>807</v>
      </c>
      <c r="AG116" s="130">
        <v>22000</v>
      </c>
      <c r="AH116" s="130">
        <v>11000</v>
      </c>
    </row>
    <row r="117" spans="30:34" ht="19.95" customHeight="1">
      <c r="AD117" s="128" t="s">
        <v>438</v>
      </c>
      <c r="AE117" s="129" t="s">
        <v>800</v>
      </c>
      <c r="AF117" s="129" t="s">
        <v>808</v>
      </c>
      <c r="AG117" s="130">
        <v>94000</v>
      </c>
      <c r="AH117" s="130">
        <v>47000</v>
      </c>
    </row>
    <row r="118" spans="30:34" ht="19.95" customHeight="1">
      <c r="AD118" s="128" t="s">
        <v>438</v>
      </c>
      <c r="AE118" s="129" t="s">
        <v>800</v>
      </c>
      <c r="AF118" s="129" t="s">
        <v>809</v>
      </c>
      <c r="AG118" s="130">
        <v>30370</v>
      </c>
      <c r="AH118" s="130">
        <v>15185</v>
      </c>
    </row>
    <row r="119" spans="30:34" ht="19.95" customHeight="1">
      <c r="AD119" s="128" t="s">
        <v>438</v>
      </c>
      <c r="AE119" s="129" t="s">
        <v>800</v>
      </c>
      <c r="AF119" s="129" t="s">
        <v>810</v>
      </c>
      <c r="AG119" s="130">
        <v>23500</v>
      </c>
      <c r="AH119" s="130">
        <v>11750</v>
      </c>
    </row>
    <row r="120" spans="30:34" ht="19.95" customHeight="1">
      <c r="AD120" s="128" t="s">
        <v>438</v>
      </c>
      <c r="AE120" s="129" t="s">
        <v>800</v>
      </c>
      <c r="AF120" s="129" t="s">
        <v>811</v>
      </c>
      <c r="AG120" s="130">
        <v>165000</v>
      </c>
      <c r="AH120" s="130">
        <v>82500</v>
      </c>
    </row>
    <row r="121" spans="30:34" ht="19.95" customHeight="1">
      <c r="AD121" s="128" t="s">
        <v>438</v>
      </c>
      <c r="AE121" s="129" t="s">
        <v>800</v>
      </c>
      <c r="AF121" s="129" t="s">
        <v>812</v>
      </c>
      <c r="AG121" s="130">
        <v>26200</v>
      </c>
      <c r="AH121" s="130">
        <v>13100</v>
      </c>
    </row>
    <row r="122" spans="30:34" ht="19.95" customHeight="1">
      <c r="AD122" s="128" t="s">
        <v>438</v>
      </c>
      <c r="AE122" s="129" t="s">
        <v>800</v>
      </c>
      <c r="AF122" s="129" t="s">
        <v>813</v>
      </c>
      <c r="AG122" s="130">
        <v>27000</v>
      </c>
      <c r="AH122" s="130">
        <v>13500</v>
      </c>
    </row>
    <row r="123" spans="30:34" ht="19.95" customHeight="1">
      <c r="AD123" s="128" t="s">
        <v>438</v>
      </c>
      <c r="AE123" s="129" t="s">
        <v>800</v>
      </c>
      <c r="AF123" s="129" t="s">
        <v>814</v>
      </c>
      <c r="AG123" s="130">
        <v>151000</v>
      </c>
      <c r="AH123" s="130">
        <v>75500</v>
      </c>
    </row>
    <row r="124" spans="30:34" ht="19.95" customHeight="1">
      <c r="AD124" s="128" t="s">
        <v>438</v>
      </c>
      <c r="AE124" s="129" t="s">
        <v>800</v>
      </c>
      <c r="AF124" s="129" t="s">
        <v>815</v>
      </c>
      <c r="AG124" s="130">
        <v>25370</v>
      </c>
      <c r="AH124" s="130">
        <v>12685</v>
      </c>
    </row>
    <row r="125" spans="30:34" ht="19.95" customHeight="1">
      <c r="AD125" s="128" t="s">
        <v>438</v>
      </c>
      <c r="AE125" s="129" t="s">
        <v>800</v>
      </c>
      <c r="AF125" s="129" t="s">
        <v>816</v>
      </c>
      <c r="AG125" s="130">
        <v>25330</v>
      </c>
      <c r="AH125" s="130">
        <v>12665</v>
      </c>
    </row>
    <row r="126" spans="30:34" ht="19.95" customHeight="1">
      <c r="AD126" s="128" t="s">
        <v>438</v>
      </c>
      <c r="AE126" s="129" t="s">
        <v>800</v>
      </c>
      <c r="AF126" s="129" t="s">
        <v>817</v>
      </c>
      <c r="AG126" s="130">
        <v>39000</v>
      </c>
      <c r="AH126" s="130">
        <v>19500</v>
      </c>
    </row>
    <row r="127" spans="30:34" ht="19.95" customHeight="1">
      <c r="AD127" s="128" t="s">
        <v>438</v>
      </c>
      <c r="AE127" s="129" t="s">
        <v>800</v>
      </c>
      <c r="AF127" s="129" t="s">
        <v>818</v>
      </c>
      <c r="AG127" s="130">
        <v>41000</v>
      </c>
      <c r="AH127" s="130">
        <v>20500</v>
      </c>
    </row>
    <row r="128" spans="30:34" ht="19.95" customHeight="1">
      <c r="AD128" s="128" t="s">
        <v>414</v>
      </c>
      <c r="AE128" s="129" t="s">
        <v>819</v>
      </c>
      <c r="AF128" s="129" t="s">
        <v>820</v>
      </c>
      <c r="AG128" s="130">
        <v>50680</v>
      </c>
      <c r="AH128" s="130">
        <v>25340</v>
      </c>
    </row>
    <row r="129" spans="30:34" ht="19.95" customHeight="1">
      <c r="AD129" s="128" t="s">
        <v>414</v>
      </c>
      <c r="AE129" s="129" t="s">
        <v>819</v>
      </c>
      <c r="AF129" s="129" t="s">
        <v>821</v>
      </c>
      <c r="AG129" s="130">
        <v>36000</v>
      </c>
      <c r="AH129" s="130">
        <v>18000</v>
      </c>
    </row>
    <row r="130" spans="30:34" ht="19.95" customHeight="1">
      <c r="AD130" s="128" t="s">
        <v>414</v>
      </c>
      <c r="AE130" s="129" t="s">
        <v>819</v>
      </c>
      <c r="AF130" s="129" t="s">
        <v>822</v>
      </c>
      <c r="AG130" s="130">
        <v>30000</v>
      </c>
      <c r="AH130" s="130">
        <v>15000</v>
      </c>
    </row>
    <row r="131" spans="30:34" ht="19.95" customHeight="1">
      <c r="AD131" s="128" t="s">
        <v>414</v>
      </c>
      <c r="AE131" s="129" t="s">
        <v>819</v>
      </c>
      <c r="AF131" s="129" t="s">
        <v>823</v>
      </c>
      <c r="AG131" s="130">
        <v>100000</v>
      </c>
      <c r="AH131" s="130">
        <v>50000</v>
      </c>
    </row>
    <row r="132" spans="30:34" ht="19.95" customHeight="1">
      <c r="AD132" s="128" t="s">
        <v>414</v>
      </c>
      <c r="AE132" s="129" t="s">
        <v>819</v>
      </c>
      <c r="AF132" s="129" t="s">
        <v>824</v>
      </c>
      <c r="AG132" s="130">
        <v>107000</v>
      </c>
      <c r="AH132" s="130">
        <v>53500</v>
      </c>
    </row>
    <row r="133" spans="30:34" ht="19.95" customHeight="1">
      <c r="AD133" s="128" t="s">
        <v>414</v>
      </c>
      <c r="AE133" s="129" t="s">
        <v>819</v>
      </c>
      <c r="AF133" s="129" t="s">
        <v>825</v>
      </c>
      <c r="AG133" s="130">
        <v>32000</v>
      </c>
      <c r="AH133" s="130">
        <v>16000</v>
      </c>
    </row>
    <row r="134" spans="30:34" ht="19.95" customHeight="1">
      <c r="AD134" s="128" t="s">
        <v>414</v>
      </c>
      <c r="AE134" s="129" t="s">
        <v>826</v>
      </c>
      <c r="AF134" s="129" t="s">
        <v>827</v>
      </c>
      <c r="AG134" s="130">
        <v>50000</v>
      </c>
      <c r="AH134" s="130">
        <v>25000</v>
      </c>
    </row>
    <row r="135" spans="30:34" ht="19.95" customHeight="1">
      <c r="AD135" s="128" t="s">
        <v>414</v>
      </c>
      <c r="AE135" s="129" t="s">
        <v>826</v>
      </c>
      <c r="AF135" s="129" t="s">
        <v>828</v>
      </c>
      <c r="AG135" s="130">
        <v>117000</v>
      </c>
      <c r="AH135" s="130">
        <v>58500</v>
      </c>
    </row>
    <row r="136" spans="30:34" ht="19.95" customHeight="1">
      <c r="AD136" s="128" t="s">
        <v>414</v>
      </c>
      <c r="AE136" s="129" t="s">
        <v>826</v>
      </c>
      <c r="AF136" s="129" t="s">
        <v>829</v>
      </c>
      <c r="AG136" s="130">
        <v>80210</v>
      </c>
      <c r="AH136" s="130">
        <v>40105</v>
      </c>
    </row>
    <row r="137" spans="30:34" ht="19.95" customHeight="1">
      <c r="AD137" s="128" t="s">
        <v>414</v>
      </c>
      <c r="AE137" s="129" t="s">
        <v>826</v>
      </c>
      <c r="AF137" s="129" t="s">
        <v>830</v>
      </c>
      <c r="AG137" s="130">
        <v>60000</v>
      </c>
      <c r="AH137" s="130">
        <v>30000</v>
      </c>
    </row>
    <row r="138" spans="30:34" ht="19.95" customHeight="1">
      <c r="AD138" s="128" t="s">
        <v>414</v>
      </c>
      <c r="AE138" s="129" t="s">
        <v>826</v>
      </c>
      <c r="AF138" s="129" t="s">
        <v>831</v>
      </c>
      <c r="AG138" s="130">
        <v>75000</v>
      </c>
      <c r="AH138" s="130">
        <v>37500</v>
      </c>
    </row>
    <row r="139" spans="30:34" ht="19.95" customHeight="1">
      <c r="AD139" s="128" t="s">
        <v>785</v>
      </c>
      <c r="AE139" s="129" t="s">
        <v>832</v>
      </c>
      <c r="AF139" s="129" t="s">
        <v>833</v>
      </c>
      <c r="AG139" s="130">
        <v>55100</v>
      </c>
      <c r="AH139" s="130">
        <v>27550</v>
      </c>
    </row>
    <row r="140" spans="30:34" ht="19.95" customHeight="1">
      <c r="AD140" s="128" t="s">
        <v>834</v>
      </c>
      <c r="AE140" s="129" t="s">
        <v>835</v>
      </c>
      <c r="AF140" s="129" t="s">
        <v>836</v>
      </c>
      <c r="AG140" s="130">
        <v>70000</v>
      </c>
      <c r="AH140" s="130">
        <v>35000</v>
      </c>
    </row>
    <row r="141" spans="30:34" ht="19.95" customHeight="1">
      <c r="AD141" s="128" t="s">
        <v>834</v>
      </c>
      <c r="AE141" s="129" t="s">
        <v>837</v>
      </c>
      <c r="AF141" s="129" t="s">
        <v>838</v>
      </c>
      <c r="AG141" s="130">
        <v>45520</v>
      </c>
      <c r="AH141" s="130">
        <v>22760</v>
      </c>
    </row>
    <row r="142" spans="30:34" ht="19.95" customHeight="1">
      <c r="AD142" s="128" t="s">
        <v>414</v>
      </c>
      <c r="AE142" s="129" t="s">
        <v>839</v>
      </c>
      <c r="AF142" s="129" t="s">
        <v>840</v>
      </c>
      <c r="AG142" s="130">
        <v>100880</v>
      </c>
      <c r="AH142" s="130">
        <v>50440</v>
      </c>
    </row>
    <row r="143" spans="30:34" ht="19.95" customHeight="1">
      <c r="AD143" s="128" t="s">
        <v>414</v>
      </c>
      <c r="AE143" s="129" t="s">
        <v>839</v>
      </c>
      <c r="AF143" s="129" t="s">
        <v>841</v>
      </c>
      <c r="AG143" s="130">
        <v>10000</v>
      </c>
      <c r="AH143" s="130">
        <v>5000</v>
      </c>
    </row>
    <row r="144" spans="30:34" ht="19.95" customHeight="1">
      <c r="AD144" s="128" t="s">
        <v>414</v>
      </c>
      <c r="AE144" s="129" t="s">
        <v>839</v>
      </c>
      <c r="AF144" s="129" t="s">
        <v>842</v>
      </c>
      <c r="AG144" s="130">
        <v>51950</v>
      </c>
      <c r="AH144" s="130">
        <v>25975</v>
      </c>
    </row>
    <row r="145" spans="30:34" ht="19.95" customHeight="1">
      <c r="AD145" s="128" t="s">
        <v>414</v>
      </c>
      <c r="AE145" s="129" t="s">
        <v>839</v>
      </c>
      <c r="AF145" s="129" t="s">
        <v>843</v>
      </c>
      <c r="AG145" s="130">
        <v>38520</v>
      </c>
      <c r="AH145" s="130">
        <v>19260</v>
      </c>
    </row>
    <row r="146" spans="30:34" ht="19.95" customHeight="1">
      <c r="AD146" s="128" t="s">
        <v>414</v>
      </c>
      <c r="AE146" s="129" t="s">
        <v>839</v>
      </c>
      <c r="AF146" s="129" t="s">
        <v>844</v>
      </c>
      <c r="AG146" s="130">
        <v>70800</v>
      </c>
      <c r="AH146" s="130">
        <v>35400</v>
      </c>
    </row>
    <row r="147" spans="30:34" ht="19.95" customHeight="1">
      <c r="AD147" s="128" t="s">
        <v>414</v>
      </c>
      <c r="AE147" s="129" t="s">
        <v>839</v>
      </c>
      <c r="AF147" s="129" t="s">
        <v>845</v>
      </c>
      <c r="AG147" s="130">
        <v>30000</v>
      </c>
      <c r="AH147" s="130">
        <v>15000</v>
      </c>
    </row>
    <row r="148" spans="30:34" ht="19.95" customHeight="1">
      <c r="AD148" s="128" t="s">
        <v>414</v>
      </c>
      <c r="AE148" s="129" t="s">
        <v>839</v>
      </c>
      <c r="AF148" s="129" t="s">
        <v>846</v>
      </c>
      <c r="AG148" s="130">
        <v>99940</v>
      </c>
      <c r="AH148" s="130">
        <v>49970</v>
      </c>
    </row>
    <row r="149" spans="30:34" ht="19.95" customHeight="1">
      <c r="AD149" s="128" t="s">
        <v>414</v>
      </c>
      <c r="AE149" s="129" t="s">
        <v>839</v>
      </c>
      <c r="AF149" s="129" t="s">
        <v>847</v>
      </c>
      <c r="AG149" s="130">
        <v>56000</v>
      </c>
      <c r="AH149" s="130">
        <v>28000</v>
      </c>
    </row>
    <row r="150" spans="30:34" ht="19.95" customHeight="1">
      <c r="AD150" s="128" t="s">
        <v>414</v>
      </c>
      <c r="AE150" s="129" t="s">
        <v>839</v>
      </c>
      <c r="AF150" s="129" t="s">
        <v>848</v>
      </c>
      <c r="AG150" s="130">
        <v>78100</v>
      </c>
      <c r="AH150" s="130">
        <v>39050</v>
      </c>
    </row>
    <row r="151" spans="30:34" ht="19.95" customHeight="1">
      <c r="AD151" s="128" t="s">
        <v>414</v>
      </c>
      <c r="AE151" s="129" t="s">
        <v>839</v>
      </c>
      <c r="AF151" s="129" t="s">
        <v>849</v>
      </c>
      <c r="AG151" s="130">
        <v>12000</v>
      </c>
      <c r="AH151" s="130">
        <v>6000</v>
      </c>
    </row>
    <row r="152" spans="30:34" ht="19.95" customHeight="1">
      <c r="AD152" s="128" t="s">
        <v>414</v>
      </c>
      <c r="AE152" s="129" t="s">
        <v>839</v>
      </c>
      <c r="AF152" s="129" t="s">
        <v>850</v>
      </c>
      <c r="AG152" s="130">
        <v>15200</v>
      </c>
      <c r="AH152" s="130">
        <v>7600</v>
      </c>
    </row>
    <row r="153" spans="30:34" ht="19.95" customHeight="1">
      <c r="AD153" s="128" t="s">
        <v>414</v>
      </c>
      <c r="AE153" s="129" t="s">
        <v>839</v>
      </c>
      <c r="AF153" s="129" t="s">
        <v>851</v>
      </c>
      <c r="AG153" s="130">
        <v>15200</v>
      </c>
      <c r="AH153" s="130">
        <v>7600</v>
      </c>
    </row>
    <row r="154" spans="30:34" ht="19.95" customHeight="1">
      <c r="AD154" s="128" t="s">
        <v>414</v>
      </c>
      <c r="AE154" s="129" t="s">
        <v>839</v>
      </c>
      <c r="AF154" s="129" t="s">
        <v>852</v>
      </c>
      <c r="AG154" s="130">
        <v>20000</v>
      </c>
      <c r="AH154" s="130">
        <v>10000</v>
      </c>
    </row>
    <row r="155" spans="30:34" ht="19.95" customHeight="1">
      <c r="AD155" s="128" t="s">
        <v>414</v>
      </c>
      <c r="AE155" s="129" t="s">
        <v>839</v>
      </c>
      <c r="AF155" s="129" t="s">
        <v>853</v>
      </c>
      <c r="AG155" s="130">
        <v>17770</v>
      </c>
      <c r="AH155" s="130">
        <v>8885</v>
      </c>
    </row>
    <row r="156" spans="30:34" ht="19.95" customHeight="1">
      <c r="AD156" s="128" t="s">
        <v>414</v>
      </c>
      <c r="AE156" s="129" t="s">
        <v>839</v>
      </c>
      <c r="AF156" s="129" t="s">
        <v>854</v>
      </c>
      <c r="AG156" s="130">
        <v>10300</v>
      </c>
      <c r="AH156" s="130">
        <v>5150</v>
      </c>
    </row>
    <row r="157" spans="30:34" ht="19.95" customHeight="1">
      <c r="AD157" s="128" t="s">
        <v>414</v>
      </c>
      <c r="AE157" s="129" t="s">
        <v>839</v>
      </c>
      <c r="AF157" s="129" t="s">
        <v>855</v>
      </c>
      <c r="AG157" s="130">
        <v>12000</v>
      </c>
      <c r="AH157" s="130">
        <v>6000</v>
      </c>
    </row>
    <row r="158" spans="30:34" ht="19.95" customHeight="1">
      <c r="AD158" s="128" t="s">
        <v>414</v>
      </c>
      <c r="AE158" s="129" t="s">
        <v>839</v>
      </c>
      <c r="AF158" s="129" t="s">
        <v>856</v>
      </c>
      <c r="AG158" s="130">
        <v>15400</v>
      </c>
      <c r="AH158" s="130">
        <v>7700</v>
      </c>
    </row>
    <row r="159" spans="30:34" ht="19.95" customHeight="1">
      <c r="AD159" s="128" t="s">
        <v>414</v>
      </c>
      <c r="AE159" s="129" t="s">
        <v>839</v>
      </c>
      <c r="AF159" s="129" t="s">
        <v>857</v>
      </c>
      <c r="AG159" s="130">
        <v>13000</v>
      </c>
      <c r="AH159" s="130">
        <v>6500</v>
      </c>
    </row>
    <row r="160" spans="30:34" ht="19.95" customHeight="1">
      <c r="AD160" s="128" t="s">
        <v>414</v>
      </c>
      <c r="AE160" s="129" t="s">
        <v>839</v>
      </c>
      <c r="AF160" s="129" t="s">
        <v>858</v>
      </c>
      <c r="AG160" s="130">
        <v>14700</v>
      </c>
      <c r="AH160" s="130">
        <v>7350</v>
      </c>
    </row>
    <row r="161" spans="30:34" ht="19.95" customHeight="1">
      <c r="AD161" s="128" t="s">
        <v>454</v>
      </c>
      <c r="AE161" s="129" t="s">
        <v>608</v>
      </c>
      <c r="AF161" s="129" t="s">
        <v>859</v>
      </c>
      <c r="AG161" s="130">
        <v>56960</v>
      </c>
      <c r="AH161" s="130">
        <v>28480</v>
      </c>
    </row>
    <row r="162" spans="30:34" ht="19.95" customHeight="1">
      <c r="AD162" s="128" t="s">
        <v>454</v>
      </c>
      <c r="AE162" s="129" t="s">
        <v>608</v>
      </c>
      <c r="AF162" s="129" t="s">
        <v>860</v>
      </c>
      <c r="AG162" s="130">
        <v>16610</v>
      </c>
      <c r="AH162" s="130">
        <v>8305</v>
      </c>
    </row>
    <row r="163" spans="30:34" ht="19.95" customHeight="1">
      <c r="AD163" s="128" t="s">
        <v>454</v>
      </c>
      <c r="AE163" s="129" t="s">
        <v>608</v>
      </c>
      <c r="AF163" s="129" t="s">
        <v>861</v>
      </c>
      <c r="AG163" s="130">
        <v>22700</v>
      </c>
      <c r="AH163" s="130">
        <v>11350</v>
      </c>
    </row>
    <row r="164" spans="30:34" ht="19.95" customHeight="1">
      <c r="AD164" s="128" t="s">
        <v>454</v>
      </c>
      <c r="AE164" s="129" t="s">
        <v>608</v>
      </c>
      <c r="AF164" s="129" t="s">
        <v>862</v>
      </c>
      <c r="AG164" s="130">
        <v>15000</v>
      </c>
      <c r="AH164" s="130">
        <v>7500</v>
      </c>
    </row>
    <row r="165" spans="30:34" ht="19.95" customHeight="1">
      <c r="AD165" s="128" t="s">
        <v>454</v>
      </c>
      <c r="AE165" s="129" t="s">
        <v>608</v>
      </c>
      <c r="AF165" s="129" t="s">
        <v>863</v>
      </c>
      <c r="AG165" s="130">
        <v>34970</v>
      </c>
      <c r="AH165" s="130">
        <v>17485</v>
      </c>
    </row>
    <row r="166" spans="30:34" ht="19.95" customHeight="1">
      <c r="AD166" s="128" t="s">
        <v>454</v>
      </c>
      <c r="AE166" s="129" t="s">
        <v>608</v>
      </c>
      <c r="AF166" s="129" t="s">
        <v>864</v>
      </c>
      <c r="AG166" s="130">
        <v>39870</v>
      </c>
      <c r="AH166" s="130">
        <v>19935</v>
      </c>
    </row>
    <row r="167" spans="30:34" ht="19.95" customHeight="1">
      <c r="AD167" s="128" t="s">
        <v>454</v>
      </c>
      <c r="AE167" s="129" t="s">
        <v>608</v>
      </c>
      <c r="AF167" s="129" t="s">
        <v>865</v>
      </c>
      <c r="AG167" s="130">
        <v>26830</v>
      </c>
      <c r="AH167" s="130">
        <v>13415</v>
      </c>
    </row>
    <row r="168" spans="30:34" ht="19.95" customHeight="1">
      <c r="AD168" s="128" t="s">
        <v>454</v>
      </c>
      <c r="AE168" s="129" t="s">
        <v>608</v>
      </c>
      <c r="AF168" s="129" t="s">
        <v>866</v>
      </c>
      <c r="AG168" s="130">
        <v>39000</v>
      </c>
      <c r="AH168" s="130">
        <v>19500</v>
      </c>
    </row>
    <row r="169" spans="30:34" ht="19.95" customHeight="1">
      <c r="AD169" s="128" t="s">
        <v>454</v>
      </c>
      <c r="AE169" s="129" t="s">
        <v>867</v>
      </c>
      <c r="AF169" s="129" t="s">
        <v>868</v>
      </c>
      <c r="AG169" s="130">
        <v>10100</v>
      </c>
      <c r="AH169" s="130">
        <v>5050</v>
      </c>
    </row>
    <row r="170" spans="30:34" ht="19.95" customHeight="1">
      <c r="AD170" s="128" t="s">
        <v>414</v>
      </c>
      <c r="AE170" s="129" t="s">
        <v>427</v>
      </c>
      <c r="AF170" s="129" t="s">
        <v>869</v>
      </c>
      <c r="AG170" s="130">
        <v>84000</v>
      </c>
      <c r="AH170" s="130">
        <v>42000</v>
      </c>
    </row>
    <row r="171" spans="30:34" ht="19.95" customHeight="1">
      <c r="AD171" s="128" t="s">
        <v>414</v>
      </c>
      <c r="AE171" s="129" t="s">
        <v>427</v>
      </c>
      <c r="AF171" s="129" t="s">
        <v>870</v>
      </c>
      <c r="AG171" s="130">
        <v>130000</v>
      </c>
      <c r="AH171" s="130">
        <v>65000</v>
      </c>
    </row>
    <row r="172" spans="30:34" ht="19.95" customHeight="1">
      <c r="AD172" s="128" t="s">
        <v>414</v>
      </c>
      <c r="AE172" s="129" t="s">
        <v>427</v>
      </c>
      <c r="AF172" s="129" t="s">
        <v>871</v>
      </c>
      <c r="AG172" s="130">
        <v>106640</v>
      </c>
      <c r="AH172" s="130">
        <v>53320</v>
      </c>
    </row>
    <row r="173" spans="30:34" ht="19.95" customHeight="1">
      <c r="AD173" s="128" t="s">
        <v>414</v>
      </c>
      <c r="AE173" s="129" t="s">
        <v>427</v>
      </c>
      <c r="AF173" s="129" t="s">
        <v>872</v>
      </c>
      <c r="AG173" s="130">
        <v>110000</v>
      </c>
      <c r="AH173" s="130">
        <v>55000</v>
      </c>
    </row>
    <row r="174" spans="30:34" ht="19.95" customHeight="1">
      <c r="AD174" s="128" t="s">
        <v>416</v>
      </c>
      <c r="AE174" s="129" t="s">
        <v>442</v>
      </c>
      <c r="AF174" s="129" t="s">
        <v>873</v>
      </c>
      <c r="AG174" s="130">
        <v>38100</v>
      </c>
      <c r="AH174" s="130">
        <v>19050</v>
      </c>
    </row>
    <row r="175" spans="30:34" ht="19.95" customHeight="1">
      <c r="AD175" s="128" t="s">
        <v>416</v>
      </c>
      <c r="AE175" s="129" t="s">
        <v>442</v>
      </c>
      <c r="AF175" s="129" t="s">
        <v>874</v>
      </c>
      <c r="AG175" s="130">
        <v>34100</v>
      </c>
      <c r="AH175" s="130">
        <v>17050</v>
      </c>
    </row>
    <row r="176" spans="30:34" ht="19.95" customHeight="1">
      <c r="AD176" s="128" t="s">
        <v>416</v>
      </c>
      <c r="AE176" s="129" t="s">
        <v>442</v>
      </c>
      <c r="AF176" s="129" t="s">
        <v>875</v>
      </c>
      <c r="AG176" s="130">
        <v>33300</v>
      </c>
      <c r="AH176" s="130">
        <v>16650</v>
      </c>
    </row>
    <row r="177" spans="30:34" ht="19.95" customHeight="1">
      <c r="AD177" s="128" t="s">
        <v>416</v>
      </c>
      <c r="AE177" s="129" t="s">
        <v>442</v>
      </c>
      <c r="AF177" s="129" t="s">
        <v>876</v>
      </c>
      <c r="AG177" s="130">
        <v>166000</v>
      </c>
      <c r="AH177" s="130">
        <v>83000</v>
      </c>
    </row>
    <row r="178" spans="30:34" ht="19.95" customHeight="1">
      <c r="AD178" s="128" t="s">
        <v>416</v>
      </c>
      <c r="AE178" s="129" t="s">
        <v>442</v>
      </c>
      <c r="AF178" s="129" t="s">
        <v>877</v>
      </c>
      <c r="AG178" s="130">
        <v>28000</v>
      </c>
      <c r="AH178" s="130">
        <v>14000</v>
      </c>
    </row>
    <row r="179" spans="30:34" ht="19.95" customHeight="1">
      <c r="AD179" s="128" t="s">
        <v>416</v>
      </c>
      <c r="AE179" s="129" t="s">
        <v>442</v>
      </c>
      <c r="AF179" s="129" t="s">
        <v>878</v>
      </c>
      <c r="AG179" s="130">
        <v>16950</v>
      </c>
      <c r="AH179" s="130">
        <v>8475</v>
      </c>
    </row>
    <row r="180" spans="30:34" ht="19.95" customHeight="1">
      <c r="AD180" s="128" t="s">
        <v>416</v>
      </c>
      <c r="AE180" s="129" t="s">
        <v>442</v>
      </c>
      <c r="AF180" s="129" t="s">
        <v>879</v>
      </c>
      <c r="AG180" s="130">
        <v>21000</v>
      </c>
      <c r="AH180" s="130">
        <v>10500</v>
      </c>
    </row>
    <row r="181" spans="30:34" ht="19.95" customHeight="1">
      <c r="AD181" s="128" t="s">
        <v>416</v>
      </c>
      <c r="AE181" s="129" t="s">
        <v>442</v>
      </c>
      <c r="AF181" s="129" t="s">
        <v>880</v>
      </c>
      <c r="AG181" s="130">
        <v>26500</v>
      </c>
      <c r="AH181" s="130">
        <v>13250</v>
      </c>
    </row>
    <row r="182" spans="30:34" ht="19.95" customHeight="1">
      <c r="AD182" s="128" t="s">
        <v>416</v>
      </c>
      <c r="AE182" s="129" t="s">
        <v>442</v>
      </c>
      <c r="AF182" s="129" t="s">
        <v>881</v>
      </c>
      <c r="AG182" s="130">
        <v>33000</v>
      </c>
      <c r="AH182" s="130">
        <v>16500</v>
      </c>
    </row>
    <row r="183" spans="30:34" ht="19.95" customHeight="1">
      <c r="AD183" s="128" t="s">
        <v>416</v>
      </c>
      <c r="AE183" s="129" t="s">
        <v>442</v>
      </c>
      <c r="AF183" s="129" t="s">
        <v>882</v>
      </c>
      <c r="AG183" s="130">
        <v>30000</v>
      </c>
      <c r="AH183" s="130">
        <v>15000</v>
      </c>
    </row>
    <row r="184" spans="30:34" ht="19.95" customHeight="1">
      <c r="AD184" s="128" t="s">
        <v>425</v>
      </c>
      <c r="AE184" s="129" t="s">
        <v>467</v>
      </c>
      <c r="AF184" s="129" t="s">
        <v>883</v>
      </c>
      <c r="AG184" s="130">
        <v>130760</v>
      </c>
      <c r="AH184" s="130">
        <v>65380</v>
      </c>
    </row>
    <row r="185" spans="30:34" ht="19.95" customHeight="1">
      <c r="AD185" s="128" t="s">
        <v>425</v>
      </c>
      <c r="AE185" s="129" t="s">
        <v>467</v>
      </c>
      <c r="AF185" s="129" t="s">
        <v>884</v>
      </c>
      <c r="AG185" s="130">
        <v>122150</v>
      </c>
      <c r="AH185" s="130">
        <v>61075</v>
      </c>
    </row>
    <row r="186" spans="30:34" ht="19.95" customHeight="1">
      <c r="AD186" s="128" t="s">
        <v>425</v>
      </c>
      <c r="AE186" s="129" t="s">
        <v>467</v>
      </c>
      <c r="AF186" s="129" t="s">
        <v>885</v>
      </c>
      <c r="AG186" s="130">
        <v>48100</v>
      </c>
      <c r="AH186" s="130">
        <v>24050</v>
      </c>
    </row>
    <row r="187" spans="30:34" ht="19.95" customHeight="1">
      <c r="AD187" s="128" t="s">
        <v>425</v>
      </c>
      <c r="AE187" s="129" t="s">
        <v>467</v>
      </c>
      <c r="AF187" s="129" t="s">
        <v>886</v>
      </c>
      <c r="AG187" s="130">
        <v>44000</v>
      </c>
      <c r="AH187" s="130">
        <v>22000</v>
      </c>
    </row>
    <row r="188" spans="30:34" ht="19.95" customHeight="1">
      <c r="AD188" s="128" t="s">
        <v>425</v>
      </c>
      <c r="AE188" s="129" t="s">
        <v>467</v>
      </c>
      <c r="AF188" s="129" t="s">
        <v>887</v>
      </c>
      <c r="AG188" s="130">
        <v>12000</v>
      </c>
      <c r="AH188" s="130">
        <v>6000</v>
      </c>
    </row>
    <row r="189" spans="30:34" ht="19.95" customHeight="1">
      <c r="AD189" s="128" t="s">
        <v>425</v>
      </c>
      <c r="AE189" s="129" t="s">
        <v>467</v>
      </c>
      <c r="AF189" s="129" t="s">
        <v>888</v>
      </c>
      <c r="AG189" s="130">
        <v>42000</v>
      </c>
      <c r="AH189" s="130">
        <v>21000</v>
      </c>
    </row>
    <row r="190" spans="30:34" ht="19.95" customHeight="1">
      <c r="AD190" s="128" t="s">
        <v>425</v>
      </c>
      <c r="AE190" s="129" t="s">
        <v>467</v>
      </c>
      <c r="AF190" s="129" t="s">
        <v>889</v>
      </c>
      <c r="AG190" s="130">
        <v>44700</v>
      </c>
      <c r="AH190" s="130">
        <v>22350</v>
      </c>
    </row>
    <row r="191" spans="30:34" ht="19.95" customHeight="1">
      <c r="AD191" s="128" t="s">
        <v>425</v>
      </c>
      <c r="AE191" s="129" t="s">
        <v>467</v>
      </c>
      <c r="AF191" s="129" t="s">
        <v>890</v>
      </c>
      <c r="AG191" s="130">
        <v>71740</v>
      </c>
      <c r="AH191" s="130">
        <v>35870</v>
      </c>
    </row>
    <row r="192" spans="30:34" ht="19.95" customHeight="1">
      <c r="AD192" s="128" t="s">
        <v>425</v>
      </c>
      <c r="AE192" s="129" t="s">
        <v>467</v>
      </c>
      <c r="AF192" s="129" t="s">
        <v>891</v>
      </c>
      <c r="AG192" s="130">
        <v>66800</v>
      </c>
      <c r="AH192" s="130">
        <v>33400</v>
      </c>
    </row>
    <row r="193" spans="30:34" ht="19.95" customHeight="1">
      <c r="AD193" s="128" t="s">
        <v>425</v>
      </c>
      <c r="AE193" s="129" t="s">
        <v>467</v>
      </c>
      <c r="AF193" s="129" t="s">
        <v>892</v>
      </c>
      <c r="AG193" s="130">
        <v>122900</v>
      </c>
      <c r="AH193" s="130">
        <v>61450</v>
      </c>
    </row>
    <row r="194" spans="30:34" ht="19.95" customHeight="1">
      <c r="AD194" s="128" t="s">
        <v>438</v>
      </c>
      <c r="AE194" s="129" t="s">
        <v>893</v>
      </c>
      <c r="AF194" s="129" t="s">
        <v>894</v>
      </c>
      <c r="AG194" s="130">
        <v>69380</v>
      </c>
      <c r="AH194" s="130">
        <v>34690</v>
      </c>
    </row>
    <row r="195" spans="30:34" ht="19.95" customHeight="1">
      <c r="AD195" s="128" t="s">
        <v>438</v>
      </c>
      <c r="AE195" s="129" t="s">
        <v>893</v>
      </c>
      <c r="AF195" s="129" t="s">
        <v>895</v>
      </c>
      <c r="AG195" s="130">
        <v>34190</v>
      </c>
      <c r="AH195" s="130">
        <v>17095</v>
      </c>
    </row>
    <row r="196" spans="30:34" ht="19.95" customHeight="1">
      <c r="AD196" s="128" t="s">
        <v>414</v>
      </c>
      <c r="AE196" s="129" t="s">
        <v>896</v>
      </c>
      <c r="AF196" s="129" t="s">
        <v>897</v>
      </c>
      <c r="AG196" s="130">
        <v>115000</v>
      </c>
      <c r="AH196" s="130">
        <v>57500</v>
      </c>
    </row>
    <row r="197" spans="30:34" ht="19.95" customHeight="1">
      <c r="AD197" s="128" t="s">
        <v>414</v>
      </c>
      <c r="AE197" s="129" t="s">
        <v>896</v>
      </c>
      <c r="AF197" s="129" t="s">
        <v>898</v>
      </c>
      <c r="AG197" s="130">
        <v>100000</v>
      </c>
      <c r="AH197" s="130">
        <v>50000</v>
      </c>
    </row>
    <row r="198" spans="30:34" ht="19.95" customHeight="1">
      <c r="AD198" s="128" t="s">
        <v>414</v>
      </c>
      <c r="AE198" s="129" t="s">
        <v>896</v>
      </c>
      <c r="AF198" s="129" t="s">
        <v>899</v>
      </c>
      <c r="AG198" s="130">
        <v>20000</v>
      </c>
      <c r="AH198" s="130">
        <v>10000</v>
      </c>
    </row>
    <row r="199" spans="30:34" ht="19.95" customHeight="1">
      <c r="AD199" s="128" t="s">
        <v>414</v>
      </c>
      <c r="AE199" s="129" t="s">
        <v>896</v>
      </c>
      <c r="AF199" s="129" t="s">
        <v>900</v>
      </c>
      <c r="AG199" s="130">
        <v>70000</v>
      </c>
      <c r="AH199" s="130">
        <v>35000</v>
      </c>
    </row>
    <row r="200" spans="30:34" ht="19.95" customHeight="1">
      <c r="AD200" s="128" t="s">
        <v>414</v>
      </c>
      <c r="AE200" s="129" t="s">
        <v>441</v>
      </c>
      <c r="AF200" s="129" t="s">
        <v>901</v>
      </c>
      <c r="AG200" s="130">
        <v>200000</v>
      </c>
      <c r="AH200" s="130">
        <v>100000</v>
      </c>
    </row>
    <row r="201" spans="30:34" ht="19.95" customHeight="1">
      <c r="AD201" s="128" t="s">
        <v>414</v>
      </c>
      <c r="AE201" s="129" t="s">
        <v>441</v>
      </c>
      <c r="AF201" s="129" t="s">
        <v>902</v>
      </c>
      <c r="AG201" s="130">
        <v>200000</v>
      </c>
      <c r="AH201" s="130">
        <v>100000</v>
      </c>
    </row>
    <row r="202" spans="30:34" ht="19.95" customHeight="1">
      <c r="AD202" s="128" t="s">
        <v>414</v>
      </c>
      <c r="AE202" s="129" t="s">
        <v>441</v>
      </c>
      <c r="AF202" s="129" t="s">
        <v>903</v>
      </c>
      <c r="AG202" s="130">
        <v>200000</v>
      </c>
      <c r="AH202" s="130">
        <v>100000</v>
      </c>
    </row>
    <row r="203" spans="30:34" ht="19.95" customHeight="1">
      <c r="AD203" s="128" t="s">
        <v>414</v>
      </c>
      <c r="AE203" s="129" t="s">
        <v>904</v>
      </c>
      <c r="AF203" s="129" t="s">
        <v>905</v>
      </c>
      <c r="AG203" s="130">
        <v>103030</v>
      </c>
      <c r="AH203" s="130">
        <v>51515</v>
      </c>
    </row>
    <row r="204" spans="30:34" ht="19.95" customHeight="1">
      <c r="AD204" s="128" t="s">
        <v>426</v>
      </c>
      <c r="AE204" s="129" t="s">
        <v>906</v>
      </c>
      <c r="AF204" s="129" t="s">
        <v>907</v>
      </c>
      <c r="AG204" s="130">
        <v>40000</v>
      </c>
      <c r="AH204" s="130">
        <v>20000</v>
      </c>
    </row>
    <row r="205" spans="30:34" ht="19.95" customHeight="1">
      <c r="AD205" s="128" t="s">
        <v>425</v>
      </c>
      <c r="AE205" s="129" t="s">
        <v>908</v>
      </c>
      <c r="AF205" s="129" t="s">
        <v>909</v>
      </c>
      <c r="AG205" s="130">
        <v>168810</v>
      </c>
      <c r="AH205" s="130">
        <v>84405</v>
      </c>
    </row>
    <row r="206" spans="30:34" ht="19.95" customHeight="1">
      <c r="AD206" s="128" t="s">
        <v>425</v>
      </c>
      <c r="AE206" s="129" t="s">
        <v>908</v>
      </c>
      <c r="AF206" s="129" t="s">
        <v>910</v>
      </c>
      <c r="AG206" s="130">
        <v>45100</v>
      </c>
      <c r="AH206" s="130">
        <v>22550</v>
      </c>
    </row>
    <row r="207" spans="30:34" ht="19.95" customHeight="1">
      <c r="AD207" s="128" t="s">
        <v>425</v>
      </c>
      <c r="AE207" s="129" t="s">
        <v>908</v>
      </c>
      <c r="AF207" s="129" t="s">
        <v>911</v>
      </c>
      <c r="AG207" s="130">
        <v>70350</v>
      </c>
      <c r="AH207" s="130">
        <v>35175</v>
      </c>
    </row>
    <row r="208" spans="30:34" ht="19.95" customHeight="1">
      <c r="AD208" s="128" t="s">
        <v>425</v>
      </c>
      <c r="AE208" s="129" t="s">
        <v>908</v>
      </c>
      <c r="AF208" s="129" t="s">
        <v>912</v>
      </c>
      <c r="AG208" s="130">
        <v>128000</v>
      </c>
      <c r="AH208" s="130">
        <v>64000</v>
      </c>
    </row>
    <row r="209" spans="30:34" ht="19.95" customHeight="1">
      <c r="AD209" s="128" t="s">
        <v>913</v>
      </c>
      <c r="AE209" s="129" t="s">
        <v>914</v>
      </c>
      <c r="AF209" s="129" t="s">
        <v>915</v>
      </c>
      <c r="AG209" s="130">
        <v>21000</v>
      </c>
      <c r="AH209" s="130">
        <v>10500</v>
      </c>
    </row>
    <row r="210" spans="30:34" ht="19.95" customHeight="1">
      <c r="AD210" s="128" t="s">
        <v>913</v>
      </c>
      <c r="AE210" s="129" t="s">
        <v>914</v>
      </c>
      <c r="AF210" s="129" t="s">
        <v>916</v>
      </c>
      <c r="AG210" s="130">
        <v>21000</v>
      </c>
      <c r="AH210" s="130">
        <v>10500</v>
      </c>
    </row>
    <row r="211" spans="30:34" ht="19.95" customHeight="1">
      <c r="AD211" s="128" t="s">
        <v>414</v>
      </c>
      <c r="AE211" s="129" t="s">
        <v>917</v>
      </c>
      <c r="AF211" s="129" t="s">
        <v>918</v>
      </c>
      <c r="AG211" s="130">
        <v>50000</v>
      </c>
      <c r="AH211" s="130">
        <v>25000</v>
      </c>
    </row>
    <row r="212" spans="30:34" ht="19.95" customHeight="1">
      <c r="AD212" s="128" t="s">
        <v>414</v>
      </c>
      <c r="AE212" s="129" t="s">
        <v>917</v>
      </c>
      <c r="AF212" s="129" t="s">
        <v>919</v>
      </c>
      <c r="AG212" s="130">
        <v>31000</v>
      </c>
      <c r="AH212" s="130">
        <v>15500</v>
      </c>
    </row>
    <row r="213" spans="30:34" ht="19.95" customHeight="1">
      <c r="AD213" s="128" t="s">
        <v>414</v>
      </c>
      <c r="AE213" s="129" t="s">
        <v>917</v>
      </c>
      <c r="AF213" s="129" t="s">
        <v>920</v>
      </c>
      <c r="AG213" s="130">
        <v>47000</v>
      </c>
      <c r="AH213" s="130">
        <v>23500</v>
      </c>
    </row>
    <row r="214" spans="30:34" ht="19.95" customHeight="1">
      <c r="AD214" s="128" t="s">
        <v>414</v>
      </c>
      <c r="AE214" s="129" t="s">
        <v>917</v>
      </c>
      <c r="AF214" s="129" t="s">
        <v>921</v>
      </c>
      <c r="AG214" s="130">
        <v>59000</v>
      </c>
      <c r="AH214" s="130">
        <v>29500</v>
      </c>
    </row>
    <row r="215" spans="30:34" ht="19.95" customHeight="1">
      <c r="AD215" s="128" t="s">
        <v>414</v>
      </c>
      <c r="AE215" s="129" t="s">
        <v>917</v>
      </c>
      <c r="AF215" s="129" t="s">
        <v>922</v>
      </c>
      <c r="AG215" s="130">
        <v>118000</v>
      </c>
      <c r="AH215" s="130">
        <v>59000</v>
      </c>
    </row>
    <row r="216" spans="30:34" ht="19.95" customHeight="1">
      <c r="AD216" s="128" t="s">
        <v>913</v>
      </c>
      <c r="AE216" s="129" t="s">
        <v>923</v>
      </c>
      <c r="AF216" s="129" t="s">
        <v>924</v>
      </c>
      <c r="AG216" s="130">
        <v>107390</v>
      </c>
      <c r="AH216" s="130">
        <v>53695</v>
      </c>
    </row>
    <row r="217" spans="30:34" ht="19.95" customHeight="1">
      <c r="AD217" s="128" t="s">
        <v>913</v>
      </c>
      <c r="AE217" s="129" t="s">
        <v>923</v>
      </c>
      <c r="AF217" s="129" t="s">
        <v>925</v>
      </c>
      <c r="AG217" s="130">
        <v>36000</v>
      </c>
      <c r="AH217" s="130">
        <v>18000</v>
      </c>
    </row>
    <row r="218" spans="30:34" ht="19.95" customHeight="1">
      <c r="AD218" s="128" t="s">
        <v>913</v>
      </c>
      <c r="AE218" s="129" t="s">
        <v>923</v>
      </c>
      <c r="AF218" s="129" t="s">
        <v>926</v>
      </c>
      <c r="AG218" s="130">
        <v>27000</v>
      </c>
      <c r="AH218" s="130">
        <v>13500</v>
      </c>
    </row>
    <row r="219" spans="30:34" ht="19.95" customHeight="1">
      <c r="AD219" s="128" t="s">
        <v>913</v>
      </c>
      <c r="AE219" s="129" t="s">
        <v>923</v>
      </c>
      <c r="AF219" s="129" t="s">
        <v>927</v>
      </c>
      <c r="AG219" s="130">
        <v>30400</v>
      </c>
      <c r="AH219" s="130">
        <v>15200</v>
      </c>
    </row>
    <row r="220" spans="30:34" ht="19.95" customHeight="1">
      <c r="AD220" s="128" t="s">
        <v>414</v>
      </c>
      <c r="AE220" s="129" t="s">
        <v>928</v>
      </c>
      <c r="AF220" s="129" t="s">
        <v>929</v>
      </c>
      <c r="AG220" s="130">
        <v>71000</v>
      </c>
      <c r="AH220" s="130">
        <v>35500</v>
      </c>
    </row>
    <row r="221" spans="30:34" ht="19.95" customHeight="1">
      <c r="AD221" s="128" t="s">
        <v>414</v>
      </c>
      <c r="AE221" s="129" t="s">
        <v>928</v>
      </c>
      <c r="AF221" s="129" t="s">
        <v>930</v>
      </c>
      <c r="AG221" s="130">
        <v>71000</v>
      </c>
      <c r="AH221" s="130">
        <v>35500</v>
      </c>
    </row>
    <row r="222" spans="30:34" ht="19.95" customHeight="1">
      <c r="AD222" s="128" t="s">
        <v>414</v>
      </c>
      <c r="AE222" s="129" t="s">
        <v>928</v>
      </c>
      <c r="AF222" s="129" t="s">
        <v>931</v>
      </c>
      <c r="AG222" s="130">
        <v>42000</v>
      </c>
      <c r="AH222" s="130">
        <v>21000</v>
      </c>
    </row>
    <row r="223" spans="30:34" ht="19.95" customHeight="1">
      <c r="AD223" s="128" t="s">
        <v>414</v>
      </c>
      <c r="AE223" s="129" t="s">
        <v>928</v>
      </c>
      <c r="AF223" s="129" t="s">
        <v>932</v>
      </c>
      <c r="AG223" s="130">
        <v>57000</v>
      </c>
      <c r="AH223" s="130">
        <v>28500</v>
      </c>
    </row>
    <row r="224" spans="30:34" ht="19.95" customHeight="1">
      <c r="AD224" s="128" t="s">
        <v>414</v>
      </c>
      <c r="AE224" s="129" t="s">
        <v>928</v>
      </c>
      <c r="AF224" s="129" t="s">
        <v>933</v>
      </c>
      <c r="AG224" s="130">
        <v>62000</v>
      </c>
      <c r="AH224" s="130">
        <v>31000</v>
      </c>
    </row>
    <row r="225" spans="30:34" ht="19.95" customHeight="1">
      <c r="AD225" s="128" t="s">
        <v>416</v>
      </c>
      <c r="AE225" s="129" t="s">
        <v>421</v>
      </c>
      <c r="AF225" s="129" t="s">
        <v>934</v>
      </c>
      <c r="AG225" s="130">
        <v>57000</v>
      </c>
      <c r="AH225" s="130">
        <v>28500</v>
      </c>
    </row>
    <row r="226" spans="30:34" ht="19.95" customHeight="1">
      <c r="AD226" s="128" t="s">
        <v>785</v>
      </c>
      <c r="AE226" s="129" t="s">
        <v>935</v>
      </c>
      <c r="AF226" s="129" t="s">
        <v>936</v>
      </c>
      <c r="AG226" s="130">
        <v>30100</v>
      </c>
      <c r="AH226" s="130">
        <v>15050</v>
      </c>
    </row>
    <row r="227" spans="30:34" ht="19.95" customHeight="1">
      <c r="AD227" s="128" t="s">
        <v>913</v>
      </c>
      <c r="AE227" s="129" t="s">
        <v>937</v>
      </c>
      <c r="AF227" s="129" t="s">
        <v>938</v>
      </c>
      <c r="AG227" s="130">
        <v>179290</v>
      </c>
      <c r="AH227" s="130">
        <v>89645</v>
      </c>
    </row>
    <row r="228" spans="30:34" ht="19.95" customHeight="1">
      <c r="AD228" s="128" t="s">
        <v>414</v>
      </c>
      <c r="AE228" s="129" t="s">
        <v>939</v>
      </c>
      <c r="AF228" s="129" t="s">
        <v>940</v>
      </c>
      <c r="AG228" s="130">
        <v>25000</v>
      </c>
      <c r="AH228" s="130">
        <v>12500</v>
      </c>
    </row>
    <row r="229" spans="30:34" ht="19.95" customHeight="1">
      <c r="AD229" s="128" t="s">
        <v>414</v>
      </c>
      <c r="AE229" s="129" t="s">
        <v>939</v>
      </c>
      <c r="AF229" s="129" t="s">
        <v>941</v>
      </c>
      <c r="AG229" s="130">
        <v>70000</v>
      </c>
      <c r="AH229" s="130">
        <v>35000</v>
      </c>
    </row>
    <row r="230" spans="30:34" ht="19.95" customHeight="1">
      <c r="AD230" s="128" t="s">
        <v>414</v>
      </c>
      <c r="AE230" s="129" t="s">
        <v>939</v>
      </c>
      <c r="AF230" s="129" t="s">
        <v>942</v>
      </c>
      <c r="AG230" s="130">
        <v>38000</v>
      </c>
      <c r="AH230" s="130">
        <v>19000</v>
      </c>
    </row>
    <row r="231" spans="30:34" ht="19.95" customHeight="1">
      <c r="AD231" s="128" t="s">
        <v>414</v>
      </c>
      <c r="AE231" s="129" t="s">
        <v>939</v>
      </c>
      <c r="AF231" s="129" t="s">
        <v>943</v>
      </c>
      <c r="AG231" s="130">
        <v>86000</v>
      </c>
      <c r="AH231" s="130">
        <v>43000</v>
      </c>
    </row>
    <row r="232" spans="30:34" ht="19.95" customHeight="1">
      <c r="AD232" s="128" t="s">
        <v>414</v>
      </c>
      <c r="AE232" s="129" t="s">
        <v>939</v>
      </c>
      <c r="AF232" s="129" t="s">
        <v>944</v>
      </c>
      <c r="AG232" s="130">
        <v>81000</v>
      </c>
      <c r="AH232" s="130">
        <v>40500</v>
      </c>
    </row>
    <row r="233" spans="30:34" ht="19.95" customHeight="1">
      <c r="AD233" s="128" t="s">
        <v>913</v>
      </c>
      <c r="AE233" s="129" t="s">
        <v>945</v>
      </c>
      <c r="AF233" s="129" t="s">
        <v>946</v>
      </c>
      <c r="AG233" s="130">
        <v>10900</v>
      </c>
      <c r="AH233" s="130">
        <v>5450</v>
      </c>
    </row>
    <row r="234" spans="30:34" ht="19.95" customHeight="1">
      <c r="AD234" s="128" t="s">
        <v>578</v>
      </c>
      <c r="AE234" s="129" t="s">
        <v>947</v>
      </c>
      <c r="AF234" s="129" t="s">
        <v>948</v>
      </c>
      <c r="AG234" s="130">
        <v>15270</v>
      </c>
      <c r="AH234" s="130">
        <v>7635</v>
      </c>
    </row>
    <row r="235" spans="30:34" ht="19.95" customHeight="1">
      <c r="AD235" s="128" t="s">
        <v>578</v>
      </c>
      <c r="AE235" s="129" t="s">
        <v>947</v>
      </c>
      <c r="AF235" s="129" t="s">
        <v>949</v>
      </c>
      <c r="AG235" s="130">
        <v>10000</v>
      </c>
      <c r="AH235" s="130">
        <v>5000</v>
      </c>
    </row>
    <row r="236" spans="30:34" ht="19.95" customHeight="1">
      <c r="AD236" s="128" t="s">
        <v>414</v>
      </c>
      <c r="AE236" s="129" t="s">
        <v>950</v>
      </c>
      <c r="AF236" s="129" t="s">
        <v>951</v>
      </c>
      <c r="AG236" s="130">
        <v>85000</v>
      </c>
      <c r="AH236" s="130">
        <v>42500</v>
      </c>
    </row>
    <row r="237" spans="30:34" ht="19.95" customHeight="1">
      <c r="AD237" s="128" t="s">
        <v>414</v>
      </c>
      <c r="AE237" s="129" t="s">
        <v>437</v>
      </c>
      <c r="AF237" s="129" t="s">
        <v>952</v>
      </c>
      <c r="AG237" s="130">
        <v>100000</v>
      </c>
      <c r="AH237" s="130">
        <v>50000</v>
      </c>
    </row>
    <row r="238" spans="30:34" ht="19.95" customHeight="1">
      <c r="AD238" s="128" t="s">
        <v>416</v>
      </c>
      <c r="AE238" s="129" t="s">
        <v>953</v>
      </c>
      <c r="AF238" s="129" t="s">
        <v>954</v>
      </c>
      <c r="AG238" s="130">
        <v>10000</v>
      </c>
      <c r="AH238" s="130">
        <v>5000</v>
      </c>
    </row>
    <row r="239" spans="30:34" ht="19.95" customHeight="1">
      <c r="AD239" s="128" t="s">
        <v>416</v>
      </c>
      <c r="AE239" s="129" t="s">
        <v>953</v>
      </c>
      <c r="AF239" s="129" t="s">
        <v>955</v>
      </c>
      <c r="AG239" s="130">
        <v>10000</v>
      </c>
      <c r="AH239" s="130">
        <v>5000</v>
      </c>
    </row>
    <row r="240" spans="30:34" ht="19.95" customHeight="1">
      <c r="AD240" s="128" t="s">
        <v>416</v>
      </c>
      <c r="AE240" s="129" t="s">
        <v>953</v>
      </c>
      <c r="AF240" s="129" t="s">
        <v>956</v>
      </c>
      <c r="AG240" s="130">
        <v>10000</v>
      </c>
      <c r="AH240" s="130">
        <v>5000</v>
      </c>
    </row>
    <row r="241" spans="30:34" ht="19.95" customHeight="1">
      <c r="AD241" s="128" t="s">
        <v>414</v>
      </c>
      <c r="AE241" s="129" t="s">
        <v>439</v>
      </c>
      <c r="AF241" s="129" t="s">
        <v>957</v>
      </c>
      <c r="AG241" s="130">
        <v>20000</v>
      </c>
      <c r="AH241" s="130">
        <v>10000</v>
      </c>
    </row>
    <row r="242" spans="30:34" ht="19.95" customHeight="1">
      <c r="AD242" s="128" t="s">
        <v>414</v>
      </c>
      <c r="AE242" s="129" t="s">
        <v>439</v>
      </c>
      <c r="AF242" s="129" t="s">
        <v>958</v>
      </c>
      <c r="AG242" s="130">
        <v>50000</v>
      </c>
      <c r="AH242" s="130">
        <v>25000</v>
      </c>
    </row>
    <row r="243" spans="30:34" ht="19.95" customHeight="1">
      <c r="AD243" s="128" t="s">
        <v>414</v>
      </c>
      <c r="AE243" s="129" t="s">
        <v>439</v>
      </c>
      <c r="AF243" s="129" t="s">
        <v>959</v>
      </c>
      <c r="AG243" s="130">
        <v>65000</v>
      </c>
      <c r="AH243" s="130">
        <v>32500</v>
      </c>
    </row>
    <row r="244" spans="30:34" ht="19.95" customHeight="1">
      <c r="AD244" s="128" t="s">
        <v>414</v>
      </c>
      <c r="AE244" s="129" t="s">
        <v>439</v>
      </c>
      <c r="AF244" s="129" t="s">
        <v>960</v>
      </c>
      <c r="AG244" s="130">
        <v>24000</v>
      </c>
      <c r="AH244" s="130">
        <v>12000</v>
      </c>
    </row>
    <row r="245" spans="30:34" ht="19.95" customHeight="1">
      <c r="AD245" s="128" t="s">
        <v>414</v>
      </c>
      <c r="AE245" s="129" t="s">
        <v>439</v>
      </c>
      <c r="AF245" s="129" t="s">
        <v>961</v>
      </c>
      <c r="AG245" s="130">
        <v>57000</v>
      </c>
      <c r="AH245" s="130">
        <v>28500</v>
      </c>
    </row>
    <row r="246" spans="30:34" ht="19.95" customHeight="1">
      <c r="AD246" s="128" t="s">
        <v>414</v>
      </c>
      <c r="AE246" s="129" t="s">
        <v>439</v>
      </c>
      <c r="AF246" s="129" t="s">
        <v>962</v>
      </c>
      <c r="AG246" s="130">
        <v>20000</v>
      </c>
      <c r="AH246" s="130">
        <v>10000</v>
      </c>
    </row>
    <row r="247" spans="30:34" ht="19.95" customHeight="1">
      <c r="AD247" s="128" t="s">
        <v>414</v>
      </c>
      <c r="AE247" s="129" t="s">
        <v>439</v>
      </c>
      <c r="AF247" s="129" t="s">
        <v>963</v>
      </c>
      <c r="AG247" s="130">
        <v>98000</v>
      </c>
      <c r="AH247" s="130">
        <v>49000</v>
      </c>
    </row>
    <row r="248" spans="30:34" ht="19.95" customHeight="1">
      <c r="AD248" s="128" t="s">
        <v>425</v>
      </c>
      <c r="AE248" s="129" t="s">
        <v>964</v>
      </c>
      <c r="AF248" s="129" t="s">
        <v>965</v>
      </c>
      <c r="AG248" s="130">
        <v>200000</v>
      </c>
      <c r="AH248" s="130">
        <v>100000</v>
      </c>
    </row>
    <row r="249" spans="30:34" ht="19.95" customHeight="1">
      <c r="AD249" s="128" t="s">
        <v>425</v>
      </c>
      <c r="AE249" s="129" t="s">
        <v>964</v>
      </c>
      <c r="AF249" s="129" t="s">
        <v>966</v>
      </c>
      <c r="AG249" s="130">
        <v>187410</v>
      </c>
      <c r="AH249" s="130">
        <v>93705</v>
      </c>
    </row>
    <row r="250" spans="30:34" ht="19.95" customHeight="1">
      <c r="AD250" s="128" t="s">
        <v>425</v>
      </c>
      <c r="AE250" s="129" t="s">
        <v>964</v>
      </c>
      <c r="AF250" s="129" t="s">
        <v>967</v>
      </c>
      <c r="AG250" s="130">
        <v>19520</v>
      </c>
      <c r="AH250" s="130">
        <v>9760</v>
      </c>
    </row>
    <row r="251" spans="30:34" ht="19.95" customHeight="1">
      <c r="AD251" s="128" t="s">
        <v>425</v>
      </c>
      <c r="AE251" s="129" t="s">
        <v>964</v>
      </c>
      <c r="AF251" s="129" t="s">
        <v>968</v>
      </c>
      <c r="AG251" s="130">
        <v>23370</v>
      </c>
      <c r="AH251" s="130">
        <v>11685</v>
      </c>
    </row>
    <row r="252" spans="30:34" ht="19.95" customHeight="1">
      <c r="AD252" s="128" t="s">
        <v>425</v>
      </c>
      <c r="AE252" s="129" t="s">
        <v>964</v>
      </c>
      <c r="AF252" s="129" t="s">
        <v>969</v>
      </c>
      <c r="AG252" s="130">
        <v>20000</v>
      </c>
      <c r="AH252" s="130">
        <v>10000</v>
      </c>
    </row>
    <row r="253" spans="30:34" ht="19.95" customHeight="1">
      <c r="AD253" s="128" t="s">
        <v>425</v>
      </c>
      <c r="AE253" s="129" t="s">
        <v>964</v>
      </c>
      <c r="AF253" s="129" t="s">
        <v>970</v>
      </c>
      <c r="AG253" s="130">
        <v>200000</v>
      </c>
      <c r="AH253" s="130">
        <v>100000</v>
      </c>
    </row>
    <row r="254" spans="30:34" ht="19.95" customHeight="1">
      <c r="AD254" s="128" t="s">
        <v>425</v>
      </c>
      <c r="AE254" s="129" t="s">
        <v>964</v>
      </c>
      <c r="AF254" s="129" t="s">
        <v>971</v>
      </c>
      <c r="AG254" s="130">
        <v>186200</v>
      </c>
      <c r="AH254" s="130">
        <v>93100</v>
      </c>
    </row>
    <row r="255" spans="30:34" ht="19.95" customHeight="1">
      <c r="AD255" s="128" t="s">
        <v>425</v>
      </c>
      <c r="AE255" s="129" t="s">
        <v>964</v>
      </c>
      <c r="AF255" s="129" t="s">
        <v>972</v>
      </c>
      <c r="AG255" s="130">
        <v>174530</v>
      </c>
      <c r="AH255" s="130">
        <v>87265</v>
      </c>
    </row>
    <row r="256" spans="30:34" ht="19.95" customHeight="1">
      <c r="AD256" s="128" t="s">
        <v>425</v>
      </c>
      <c r="AE256" s="129" t="s">
        <v>964</v>
      </c>
      <c r="AF256" s="129" t="s">
        <v>973</v>
      </c>
      <c r="AG256" s="130">
        <v>23280</v>
      </c>
      <c r="AH256" s="130">
        <v>11640</v>
      </c>
    </row>
    <row r="257" spans="30:34" ht="19.95" customHeight="1">
      <c r="AD257" s="128" t="s">
        <v>425</v>
      </c>
      <c r="AE257" s="129" t="s">
        <v>964</v>
      </c>
      <c r="AF257" s="129" t="s">
        <v>974</v>
      </c>
      <c r="AG257" s="130">
        <v>25570</v>
      </c>
      <c r="AH257" s="130">
        <v>12785</v>
      </c>
    </row>
    <row r="258" spans="30:34" ht="19.95" customHeight="1">
      <c r="AD258" s="128" t="s">
        <v>425</v>
      </c>
      <c r="AE258" s="129" t="s">
        <v>964</v>
      </c>
      <c r="AF258" s="129" t="s">
        <v>975</v>
      </c>
      <c r="AG258" s="130">
        <v>150450</v>
      </c>
      <c r="AH258" s="130">
        <v>75225</v>
      </c>
    </row>
    <row r="259" spans="30:34" ht="19.95" customHeight="1">
      <c r="AD259" s="128" t="s">
        <v>414</v>
      </c>
      <c r="AE259" s="129" t="s">
        <v>976</v>
      </c>
      <c r="AF259" s="129" t="s">
        <v>977</v>
      </c>
      <c r="AG259" s="130">
        <v>152000</v>
      </c>
      <c r="AH259" s="130">
        <v>76000</v>
      </c>
    </row>
    <row r="260" spans="30:34" ht="19.95" customHeight="1">
      <c r="AD260" s="128" t="s">
        <v>414</v>
      </c>
      <c r="AE260" s="129" t="s">
        <v>976</v>
      </c>
      <c r="AF260" s="129" t="s">
        <v>978</v>
      </c>
      <c r="AG260" s="130">
        <v>135000</v>
      </c>
      <c r="AH260" s="130">
        <v>67500</v>
      </c>
    </row>
    <row r="261" spans="30:34" ht="19.95" customHeight="1">
      <c r="AD261" s="128" t="s">
        <v>414</v>
      </c>
      <c r="AE261" s="129" t="s">
        <v>976</v>
      </c>
      <c r="AF261" s="129" t="s">
        <v>979</v>
      </c>
      <c r="AG261" s="130">
        <v>10000</v>
      </c>
      <c r="AH261" s="130">
        <v>5000</v>
      </c>
    </row>
    <row r="262" spans="30:34" ht="19.95" customHeight="1">
      <c r="AD262" s="128" t="s">
        <v>414</v>
      </c>
      <c r="AE262" s="129" t="s">
        <v>976</v>
      </c>
      <c r="AF262" s="129" t="s">
        <v>980</v>
      </c>
      <c r="AG262" s="130">
        <v>32000</v>
      </c>
      <c r="AH262" s="130">
        <v>16000</v>
      </c>
    </row>
    <row r="263" spans="30:34" ht="19.95" customHeight="1">
      <c r="AD263" s="128" t="s">
        <v>414</v>
      </c>
      <c r="AE263" s="129" t="s">
        <v>443</v>
      </c>
      <c r="AF263" s="129" t="s">
        <v>981</v>
      </c>
      <c r="AG263" s="130">
        <v>62000</v>
      </c>
      <c r="AH263" s="130">
        <v>31000</v>
      </c>
    </row>
    <row r="264" spans="30:34" ht="19.95" customHeight="1">
      <c r="AD264" s="128" t="s">
        <v>414</v>
      </c>
      <c r="AE264" s="129" t="s">
        <v>443</v>
      </c>
      <c r="AF264" s="129" t="s">
        <v>982</v>
      </c>
      <c r="AG264" s="130">
        <v>100000</v>
      </c>
      <c r="AH264" s="130">
        <v>50000</v>
      </c>
    </row>
    <row r="265" spans="30:34" ht="19.95" customHeight="1">
      <c r="AD265" s="128" t="s">
        <v>414</v>
      </c>
      <c r="AE265" s="129" t="s">
        <v>443</v>
      </c>
      <c r="AF265" s="129" t="s">
        <v>983</v>
      </c>
      <c r="AG265" s="130">
        <v>54000</v>
      </c>
      <c r="AH265" s="130">
        <v>27000</v>
      </c>
    </row>
    <row r="266" spans="30:34" ht="19.95" customHeight="1">
      <c r="AD266" s="128" t="s">
        <v>414</v>
      </c>
      <c r="AE266" s="129" t="s">
        <v>443</v>
      </c>
      <c r="AF266" s="129" t="s">
        <v>984</v>
      </c>
      <c r="AG266" s="130">
        <v>85000</v>
      </c>
      <c r="AH266" s="130">
        <v>42500</v>
      </c>
    </row>
    <row r="267" spans="30:34" ht="19.95" customHeight="1">
      <c r="AD267" s="128" t="s">
        <v>414</v>
      </c>
      <c r="AE267" s="129" t="s">
        <v>443</v>
      </c>
      <c r="AF267" s="129" t="s">
        <v>985</v>
      </c>
      <c r="AG267" s="130">
        <v>62000</v>
      </c>
      <c r="AH267" s="130">
        <v>31000</v>
      </c>
    </row>
  </sheetData>
  <sortState ref="A2:AL17">
    <sortCondition descending="1" ref="E2:E17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4</vt:i4>
      </vt:variant>
    </vt:vector>
  </HeadingPairs>
  <TitlesOfParts>
    <vt:vector size="12" baseType="lpstr">
      <vt:lpstr>key로 값비교</vt:lpstr>
      <vt:lpstr>함수생성</vt:lpstr>
      <vt:lpstr>데이터가져오기</vt:lpstr>
      <vt:lpstr>신규등록찾기</vt:lpstr>
      <vt:lpstr>시상파일초기화</vt:lpstr>
      <vt:lpstr>파일정보</vt:lpstr>
      <vt:lpstr>TEMP</vt:lpstr>
      <vt:lpstr>Sheet1</vt:lpstr>
      <vt:lpstr>데이터가져오기!Criteria</vt:lpstr>
      <vt:lpstr>수수료파일</vt:lpstr>
      <vt:lpstr>시상파일</vt:lpstr>
      <vt:lpstr>시작점</vt:lpstr>
    </vt:vector>
  </TitlesOfParts>
  <Company>win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HK</dc:creator>
  <cp:lastModifiedBy>윤제열</cp:lastModifiedBy>
  <dcterms:created xsi:type="dcterms:W3CDTF">2017-12-14T07:46:07Z</dcterms:created>
  <dcterms:modified xsi:type="dcterms:W3CDTF">2021-09-26T03:33:35Z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c2ff625d-4c55-4dd1-97bf-f04d5704d2f4</vt:lpwstr>
  </property>
</Properties>
</file>