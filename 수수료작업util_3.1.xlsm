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글로벌백업(180329)\77.EXCEL\My VBA\"/>
    </mc:Choice>
  </mc:AlternateContent>
  <xr:revisionPtr revIDLastSave="0" documentId="13_ncr:1_{00D75D42-BD6C-4D16-813B-2E5334767DCD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Guide" sheetId="11" r:id="rId1"/>
    <sheet name="수수료작업" sheetId="10" r:id="rId2"/>
    <sheet name="파일정보" sheetId="7" r:id="rId3"/>
    <sheet name="시트명변경" sheetId="14" r:id="rId4"/>
    <sheet name="데이터가져오기" sheetId="4" r:id="rId5"/>
    <sheet name="TEMP" sheetId="6" r:id="rId6"/>
    <sheet name="TempSht" sheetId="12" r:id="rId7"/>
  </sheets>
  <functionGroups builtInGroupCount="19"/>
  <definedNames>
    <definedName name="_xlnm._FilterDatabase" localSheetId="5" hidden="1">TEMP!#REF!</definedName>
    <definedName name="_xlnm._FilterDatabase" localSheetId="6" hidden="1">TempSht!$A$1:$AO$525</definedName>
    <definedName name="_xlnm.Extract" localSheetId="5">TEMP!$A$1:$AE$1</definedName>
    <definedName name="가온_피스토스_필터">수수료작업!$Z$69:$AC$83</definedName>
    <definedName name="검색조건">OFFSET(데이터가져오기!$J$2,0,0,데이터가져오기!$O$1,COUNTA(데이터가져오기!$J$2:$O$2))</definedName>
    <definedName name="경기지점원장필터">OFFSET(수수료작업!$X$52,0,0,COUNTA(수수료작업!$X$52:$X$58),4)</definedName>
    <definedName name="글래드피스토스2팀_필터">수수료작업!$AI$69:$AK$71</definedName>
    <definedName name="대상2">수수료작업!$J$6</definedName>
    <definedName name="대상년월">수수료작업!$K$5</definedName>
    <definedName name="대상작업">수수료작업!$K$6</definedName>
    <definedName name="대상파일">OFFSET(수수료작업!$B$5,0,0,COUNTA(수수료작업!$B$5:$B$45),7)</definedName>
    <definedName name="박종철지급율">수수료작업!$BA$5:$BJ$9</definedName>
    <definedName name="박종철필터">수수료작업!$AU$5:$AY$21</definedName>
    <definedName name="복사할컬럼">OFFSET(데이터가져오기!$Q$2,0,0,COUNTA(데이터가져오기!$Q$2:$R$14),2)</definedName>
    <definedName name="사원수수료컬럼명">수수료작업!$AG$53</definedName>
    <definedName name="삭제컬럼">OFFSET(데이터가져오기!$T$2,0,0,COUNTA(데이터가져오기!$T$2:$T$14),2)</definedName>
    <definedName name="송내_성공_GOMS">OFFSET(수수료작업!$X$87,0,0,COUNTA(수수료작업!$X$87:$X$95),2)</definedName>
    <definedName name="송내_성공_필터">OFFSET(수수료작업!$S$13,0,0,COUNTA(수수료작업!$S$13:$S$27),2)</definedName>
    <definedName name="시작점">데이터가져오기!$A$18</definedName>
    <definedName name="실손필터">수수료작업!$AP$41:$AR$42</definedName>
    <definedName name="씨티엠필터">수수료작업!$R$69:$T$81</definedName>
    <definedName name="여주레전드초회필터">수수료작업!$S$32:$U$42</definedName>
    <definedName name="여주레전드필터">수수료작업!$S$54:$S$56</definedName>
    <definedName name="원장작업시트">수수료작업!$AE$69:$AE$81</definedName>
    <definedName name="원장정산율">수수료작업!$L$21</definedName>
    <definedName name="원장지점필터">수수료작업!$V$17:$V$18</definedName>
    <definedName name="원장파일정보">OFFSET(파일정보!$B$190,0,0,COUNTA(파일정보!$B$193:$B$209),4)</definedName>
    <definedName name="원장필터">수수료작업!$V$12:$V$13</definedName>
    <definedName name="자동차일반">수수료작업!$S$59</definedName>
    <definedName name="작업정보">수수료작업!$O$5:$Q$18</definedName>
    <definedName name="재물필터">수수료작업!$AP$5:$AR$10</definedName>
    <definedName name="지급율필터">OFFSET(수수료작업!$X$5,0,0,COUNTA(수수료작업!$X$5:$X$42),2)</definedName>
    <definedName name="지점초회필터">수수료작업!$S$5:$T$8</definedName>
    <definedName name="지점필터">수수료작업!$V$5:$V$6</definedName>
    <definedName name="팀필터">수수료작업!$V$23:$V$24</definedName>
    <definedName name="파일1년월">OFFSET(파일정보!$A$3,0,0,COUNTA(파일정보!$A$3:$A$99),1)</definedName>
    <definedName name="파일1정보">OFFSET(파일정보!$A$3,0,0,COUNTA(파일정보!$A$3:$A$99),6)</definedName>
    <definedName name="피스토스환수">수수료작업!$AG$6</definedName>
    <definedName name="피스토스환수율">수수료작업!$AH$27:$AI$39</definedName>
    <definedName name="필터조건명">수수료작업!$K$7</definedName>
    <definedName name="환수결과파일명">수수료작업!$AF$24</definedName>
    <definedName name="환수대상컬럼">수수료작업!$AG$47:$AK$50</definedName>
    <definedName name="환수대상필터">수수료작업!$AG$41:$AK$44</definedName>
    <definedName name="환수필터">OFFSET(수수료작업!$AA$5,0,0,COUNTA(수수료작업!$AA$5:$AA$104),3)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4" i="10" l="1"/>
  <c r="E44" i="10" s="1"/>
  <c r="V8" i="10" l="1"/>
  <c r="V6" i="10" s="1"/>
  <c r="S26" i="10" l="1"/>
  <c r="S25" i="10"/>
  <c r="S24" i="10"/>
  <c r="V17" i="10" l="1"/>
  <c r="AE525" i="12" l="1"/>
  <c r="AE524" i="12"/>
  <c r="AE523" i="12"/>
  <c r="AE522" i="12"/>
  <c r="AE521" i="12"/>
  <c r="AE520" i="12"/>
  <c r="AE519" i="12"/>
  <c r="AE518" i="12"/>
  <c r="AE517" i="12"/>
  <c r="AE516" i="12"/>
  <c r="AE515" i="12"/>
  <c r="AE514" i="12"/>
  <c r="AE513" i="12"/>
  <c r="AE512" i="12"/>
  <c r="AE511" i="12"/>
  <c r="AE510" i="12"/>
  <c r="AE509" i="12"/>
  <c r="AE508" i="12"/>
  <c r="AE507" i="12"/>
  <c r="AE506" i="12"/>
  <c r="AE505" i="12"/>
  <c r="AE504" i="12"/>
  <c r="AE503" i="12"/>
  <c r="AE502" i="12"/>
  <c r="AE501" i="12"/>
  <c r="AE500" i="12"/>
  <c r="AE499" i="12"/>
  <c r="AE498" i="12"/>
  <c r="AE497" i="12"/>
  <c r="AE496" i="12"/>
  <c r="AE495" i="12"/>
  <c r="AE494" i="12"/>
  <c r="AE493" i="12"/>
  <c r="AE492" i="12"/>
  <c r="AE491" i="12"/>
  <c r="AE490" i="12"/>
  <c r="AE489" i="12"/>
  <c r="AE488" i="12"/>
  <c r="AE487" i="12"/>
  <c r="AE486" i="12"/>
  <c r="AE485" i="12"/>
  <c r="AE484" i="12"/>
  <c r="AE483" i="12"/>
  <c r="AE482" i="12"/>
  <c r="AE481" i="12"/>
  <c r="AE480" i="12"/>
  <c r="AE479" i="12"/>
  <c r="AE478" i="12"/>
  <c r="AE477" i="12"/>
  <c r="AE476" i="12"/>
  <c r="AE475" i="12"/>
  <c r="AE474" i="12"/>
  <c r="AE473" i="12"/>
  <c r="AE472" i="12"/>
  <c r="AE471" i="12"/>
  <c r="AE470" i="12"/>
  <c r="AE469" i="12"/>
  <c r="AE468" i="12"/>
  <c r="AE467" i="12"/>
  <c r="AE466" i="12"/>
  <c r="AE465" i="12"/>
  <c r="AE464" i="12"/>
  <c r="AE463" i="12"/>
  <c r="AE462" i="12"/>
  <c r="AE461" i="12"/>
  <c r="AE460" i="12"/>
  <c r="AE459" i="12"/>
  <c r="AE458" i="12"/>
  <c r="AE457" i="12"/>
  <c r="AE456" i="12"/>
  <c r="AE455" i="12"/>
  <c r="AE454" i="12"/>
  <c r="AE453" i="12"/>
  <c r="AE452" i="12"/>
  <c r="AE451" i="12"/>
  <c r="AE450" i="12"/>
  <c r="AE449" i="12"/>
  <c r="AE448" i="12"/>
  <c r="AE447" i="12"/>
  <c r="AE446" i="12"/>
  <c r="AE445" i="12"/>
  <c r="AE444" i="12"/>
  <c r="AE443" i="12"/>
  <c r="AE442" i="12"/>
  <c r="AE441" i="12"/>
  <c r="AE440" i="12"/>
  <c r="AE439" i="12"/>
  <c r="AE438" i="12"/>
  <c r="AE437" i="12"/>
  <c r="AE436" i="12"/>
  <c r="AE435" i="12"/>
  <c r="AE434" i="12"/>
  <c r="AE433" i="12"/>
  <c r="AE432" i="12"/>
  <c r="AE431" i="12"/>
  <c r="AE430" i="12"/>
  <c r="AE429" i="12"/>
  <c r="AE428" i="12"/>
  <c r="AE427" i="12"/>
  <c r="AE426" i="12"/>
  <c r="AE425" i="12"/>
  <c r="AE424" i="12"/>
  <c r="AE423" i="12"/>
  <c r="AE422" i="12"/>
  <c r="AE421" i="12"/>
  <c r="AE420" i="12"/>
  <c r="AE419" i="12"/>
  <c r="AE418" i="12"/>
  <c r="AE417" i="12"/>
  <c r="AE416" i="12"/>
  <c r="AE415" i="12"/>
  <c r="AE414" i="12"/>
  <c r="AE413" i="12"/>
  <c r="AE412" i="12"/>
  <c r="AE411" i="12"/>
  <c r="AE410" i="12"/>
  <c r="AE409" i="12"/>
  <c r="AE408" i="12"/>
  <c r="AE407" i="12"/>
  <c r="AE406" i="12"/>
  <c r="AE405" i="12"/>
  <c r="AE404" i="12"/>
  <c r="AE403" i="12"/>
  <c r="AE402" i="12"/>
  <c r="AE401" i="12"/>
  <c r="AE400" i="12"/>
  <c r="AE399" i="12"/>
  <c r="AE398" i="12"/>
  <c r="AE397" i="12"/>
  <c r="AE396" i="12"/>
  <c r="AE395" i="12"/>
  <c r="AE394" i="12"/>
  <c r="AE393" i="12"/>
  <c r="AE392" i="12"/>
  <c r="AE391" i="12"/>
  <c r="AE390" i="12"/>
  <c r="AE389" i="12"/>
  <c r="AE388" i="12"/>
  <c r="AE387" i="12"/>
  <c r="AE386" i="12"/>
  <c r="AE385" i="12"/>
  <c r="AE384" i="12"/>
  <c r="AE383" i="12"/>
  <c r="AE382" i="12"/>
  <c r="AE381" i="12"/>
  <c r="AE380" i="12"/>
  <c r="AE379" i="12"/>
  <c r="AE378" i="12"/>
  <c r="AE377" i="12"/>
  <c r="AE376" i="12"/>
  <c r="AE375" i="12"/>
  <c r="AE374" i="12"/>
  <c r="AE373" i="12"/>
  <c r="AE372" i="12"/>
  <c r="AE371" i="12"/>
  <c r="AE370" i="12"/>
  <c r="AE369" i="12"/>
  <c r="AE368" i="12"/>
  <c r="AE367" i="12"/>
  <c r="AE366" i="12"/>
  <c r="AE365" i="12"/>
  <c r="AE364" i="12"/>
  <c r="AE363" i="12"/>
  <c r="AE362" i="12"/>
  <c r="AE361" i="12"/>
  <c r="AE360" i="12"/>
  <c r="AE359" i="12"/>
  <c r="AE358" i="12"/>
  <c r="AE357" i="12"/>
  <c r="AE356" i="12"/>
  <c r="AE355" i="12"/>
  <c r="AE354" i="12"/>
  <c r="AE353" i="12"/>
  <c r="AE352" i="12"/>
  <c r="AE351" i="12"/>
  <c r="AE350" i="12"/>
  <c r="AE349" i="12"/>
  <c r="AE348" i="12"/>
  <c r="AE347" i="12"/>
  <c r="AE346" i="12"/>
  <c r="AE345" i="12"/>
  <c r="AE344" i="12"/>
  <c r="AE343" i="12"/>
  <c r="AE342" i="12"/>
  <c r="AE341" i="12"/>
  <c r="AE340" i="12"/>
  <c r="AE339" i="12"/>
  <c r="AE338" i="12"/>
  <c r="AE337" i="12"/>
  <c r="AE336" i="12"/>
  <c r="AE335" i="12"/>
  <c r="AE334" i="12"/>
  <c r="AE333" i="12"/>
  <c r="AE332" i="12"/>
  <c r="AE331" i="12"/>
  <c r="AE330" i="12"/>
  <c r="AE329" i="12"/>
  <c r="AE328" i="12"/>
  <c r="AE327" i="12"/>
  <c r="AE326" i="12"/>
  <c r="AE325" i="12"/>
  <c r="AE324" i="12"/>
  <c r="AE323" i="12"/>
  <c r="AE322" i="12"/>
  <c r="AE321" i="12"/>
  <c r="AE320" i="12"/>
  <c r="AE319" i="12"/>
  <c r="AE318" i="12"/>
  <c r="AE317" i="12"/>
  <c r="AE316" i="12"/>
  <c r="AE315" i="12"/>
  <c r="AE314" i="12"/>
  <c r="AE313" i="12"/>
  <c r="AE312" i="12"/>
  <c r="AE311" i="12"/>
  <c r="AE310" i="12"/>
  <c r="AE309" i="12"/>
  <c r="AE308" i="12"/>
  <c r="AE307" i="12"/>
  <c r="AE306" i="12"/>
  <c r="AE305" i="12"/>
  <c r="AE304" i="12"/>
  <c r="AE303" i="12"/>
  <c r="AE302" i="12"/>
  <c r="AE301" i="12"/>
  <c r="AE300" i="12"/>
  <c r="AE299" i="12"/>
  <c r="AE298" i="12"/>
  <c r="AE297" i="12"/>
  <c r="AE296" i="12"/>
  <c r="AE295" i="12"/>
  <c r="AE294" i="12"/>
  <c r="AE293" i="12"/>
  <c r="AE292" i="12"/>
  <c r="AE291" i="12"/>
  <c r="AE290" i="12"/>
  <c r="AE289" i="12"/>
  <c r="AE288" i="12"/>
  <c r="AE287" i="12"/>
  <c r="AE286" i="12"/>
  <c r="AE285" i="12"/>
  <c r="AE284" i="12"/>
  <c r="AE283" i="12"/>
  <c r="AE282" i="12"/>
  <c r="AE281" i="12"/>
  <c r="AE280" i="12"/>
  <c r="AE279" i="12"/>
  <c r="AE278" i="12"/>
  <c r="AE277" i="12"/>
  <c r="AE276" i="12"/>
  <c r="AE275" i="12"/>
  <c r="AE274" i="12"/>
  <c r="AE273" i="12"/>
  <c r="AE272" i="12"/>
  <c r="AE271" i="12"/>
  <c r="AE270" i="12"/>
  <c r="AE269" i="12"/>
  <c r="AE268" i="12"/>
  <c r="AE267" i="12"/>
  <c r="AE266" i="12"/>
  <c r="AE265" i="12"/>
  <c r="AE264" i="12"/>
  <c r="AE263" i="12"/>
  <c r="AE262" i="12"/>
  <c r="AE261" i="12"/>
  <c r="AE260" i="12"/>
  <c r="AE259" i="12"/>
  <c r="AE258" i="12"/>
  <c r="AE257" i="12"/>
  <c r="AE256" i="12"/>
  <c r="AE255" i="12"/>
  <c r="AE254" i="12"/>
  <c r="AE253" i="12"/>
  <c r="AE252" i="12"/>
  <c r="AE251" i="12"/>
  <c r="AE250" i="12"/>
  <c r="AE249" i="12"/>
  <c r="AE248" i="12"/>
  <c r="AE247" i="12"/>
  <c r="AE246" i="12"/>
  <c r="AE245" i="12"/>
  <c r="AE244" i="12"/>
  <c r="AE243" i="12"/>
  <c r="AE242" i="12"/>
  <c r="AE241" i="12"/>
  <c r="AE240" i="12"/>
  <c r="AE239" i="12"/>
  <c r="AE238" i="12"/>
  <c r="AE237" i="12"/>
  <c r="AE236" i="12"/>
  <c r="AE235" i="12"/>
  <c r="AE234" i="12"/>
  <c r="AE233" i="12"/>
  <c r="AE232" i="12"/>
  <c r="AE231" i="12"/>
  <c r="AE230" i="12"/>
  <c r="AE229" i="12"/>
  <c r="AE228" i="12"/>
  <c r="AE227" i="12"/>
  <c r="AE226" i="12"/>
  <c r="AE225" i="12"/>
  <c r="AE224" i="12"/>
  <c r="AE223" i="12"/>
  <c r="AE222" i="12"/>
  <c r="AE221" i="12"/>
  <c r="AE220" i="12"/>
  <c r="AE219" i="12"/>
  <c r="AE218" i="12"/>
  <c r="AE217" i="12"/>
  <c r="AE216" i="12"/>
  <c r="AE215" i="12"/>
  <c r="AE214" i="12"/>
  <c r="AE213" i="12"/>
  <c r="AE212" i="12"/>
  <c r="AE211" i="12"/>
  <c r="AE210" i="12"/>
  <c r="AE209" i="12"/>
  <c r="AE208" i="12"/>
  <c r="AE207" i="12"/>
  <c r="AE206" i="12"/>
  <c r="AE205" i="12"/>
  <c r="AE204" i="12"/>
  <c r="AE203" i="12"/>
  <c r="AE202" i="12"/>
  <c r="AE201" i="12"/>
  <c r="AE200" i="12"/>
  <c r="AE199" i="12"/>
  <c r="AE198" i="12"/>
  <c r="AE197" i="12"/>
  <c r="AE196" i="12"/>
  <c r="AE195" i="12"/>
  <c r="AE194" i="12"/>
  <c r="AE193" i="12"/>
  <c r="AE192" i="12"/>
  <c r="AE191" i="12"/>
  <c r="AE190" i="12"/>
  <c r="AE189" i="12"/>
  <c r="AE188" i="12"/>
  <c r="AE187" i="12"/>
  <c r="AE186" i="12"/>
  <c r="AE185" i="12"/>
  <c r="AE184" i="12"/>
  <c r="AE183" i="12"/>
  <c r="AE182" i="12"/>
  <c r="AE181" i="12"/>
  <c r="AE180" i="12"/>
  <c r="AE179" i="12"/>
  <c r="AE178" i="12"/>
  <c r="AE177" i="12"/>
  <c r="AE176" i="12"/>
  <c r="AE175" i="12"/>
  <c r="AE174" i="12"/>
  <c r="AE173" i="12"/>
  <c r="AE172" i="12"/>
  <c r="AE171" i="12"/>
  <c r="AE170" i="12"/>
  <c r="AE169" i="12"/>
  <c r="AE168" i="12"/>
  <c r="AE167" i="12"/>
  <c r="AE166" i="12"/>
  <c r="AE165" i="12"/>
  <c r="AE164" i="12"/>
  <c r="AE163" i="12"/>
  <c r="AE162" i="12"/>
  <c r="AE161" i="12"/>
  <c r="AE160" i="12"/>
  <c r="AE159" i="12"/>
  <c r="AE158" i="12"/>
  <c r="AE157" i="12"/>
  <c r="AE156" i="12"/>
  <c r="AE155" i="12"/>
  <c r="AE154" i="12"/>
  <c r="AE153" i="12"/>
  <c r="AE152" i="12"/>
  <c r="AE151" i="12"/>
  <c r="AE150" i="12"/>
  <c r="AE149" i="12"/>
  <c r="AE148" i="12"/>
  <c r="AE147" i="12"/>
  <c r="AE146" i="12"/>
  <c r="AE145" i="12"/>
  <c r="AE144" i="12"/>
  <c r="AE143" i="12"/>
  <c r="AE142" i="12"/>
  <c r="AE141" i="12"/>
  <c r="AE140" i="12"/>
  <c r="AE139" i="12"/>
  <c r="AE138" i="12"/>
  <c r="AE137" i="12"/>
  <c r="AE136" i="12"/>
  <c r="AE135" i="12"/>
  <c r="AE134" i="12"/>
  <c r="AE133" i="12"/>
  <c r="AE132" i="12"/>
  <c r="AE131" i="12"/>
  <c r="AE130" i="12"/>
  <c r="AE129" i="12"/>
  <c r="AE128" i="12"/>
  <c r="AE127" i="12"/>
  <c r="AE126" i="12"/>
  <c r="AE125" i="12"/>
  <c r="AE124" i="12"/>
  <c r="AE123" i="12"/>
  <c r="AE122" i="12"/>
  <c r="AE121" i="12"/>
  <c r="AE120" i="12"/>
  <c r="AE119" i="12"/>
  <c r="AE118" i="12"/>
  <c r="AE117" i="12"/>
  <c r="AE116" i="12"/>
  <c r="AE115" i="12"/>
  <c r="AE114" i="12"/>
  <c r="AE113" i="12"/>
  <c r="AE112" i="12"/>
  <c r="AE111" i="12"/>
  <c r="AE110" i="12"/>
  <c r="AE109" i="12"/>
  <c r="AE108" i="12"/>
  <c r="AE107" i="12"/>
  <c r="AE106" i="12"/>
  <c r="AE105" i="12"/>
  <c r="AE104" i="12"/>
  <c r="AE103" i="12"/>
  <c r="AE102" i="12"/>
  <c r="AE101" i="12"/>
  <c r="AE100" i="12"/>
  <c r="AE99" i="12"/>
  <c r="AE98" i="12"/>
  <c r="AE97" i="12"/>
  <c r="AE96" i="12"/>
  <c r="AE95" i="12"/>
  <c r="AE94" i="12"/>
  <c r="AE93" i="12"/>
  <c r="AE92" i="12"/>
  <c r="AE91" i="12"/>
  <c r="AE90" i="12"/>
  <c r="AE89" i="12"/>
  <c r="AE88" i="12"/>
  <c r="AE87" i="12"/>
  <c r="AE86" i="12"/>
  <c r="AE85" i="12"/>
  <c r="AE84" i="12"/>
  <c r="AE83" i="12"/>
  <c r="AE82" i="12"/>
  <c r="AE81" i="12"/>
  <c r="AE80" i="12"/>
  <c r="AE79" i="12"/>
  <c r="AE78" i="12"/>
  <c r="AE77" i="12"/>
  <c r="AE76" i="12"/>
  <c r="AE75" i="12"/>
  <c r="AE74" i="12"/>
  <c r="AE73" i="12"/>
  <c r="AE72" i="12"/>
  <c r="AE71" i="12"/>
  <c r="AE70" i="12"/>
  <c r="AE69" i="12"/>
  <c r="AE68" i="12"/>
  <c r="AE67" i="12"/>
  <c r="AE66" i="12"/>
  <c r="AE65" i="12"/>
  <c r="AE64" i="12"/>
  <c r="AE63" i="12"/>
  <c r="AE62" i="12"/>
  <c r="AE61" i="12"/>
  <c r="AE60" i="12"/>
  <c r="AE59" i="12"/>
  <c r="AE58" i="12"/>
  <c r="AE57" i="12"/>
  <c r="AE56" i="12"/>
  <c r="AE55" i="12"/>
  <c r="AE54" i="12"/>
  <c r="AE53" i="12"/>
  <c r="AE52" i="12"/>
  <c r="AE51" i="12"/>
  <c r="AE50" i="12"/>
  <c r="AE49" i="12"/>
  <c r="AE48" i="12"/>
  <c r="AE47" i="12"/>
  <c r="AE46" i="12"/>
  <c r="AE45" i="12"/>
  <c r="AE44" i="12"/>
  <c r="AE43" i="12"/>
  <c r="AE42" i="12"/>
  <c r="AE41" i="12"/>
  <c r="AE40" i="12"/>
  <c r="AE39" i="12"/>
  <c r="AE38" i="12"/>
  <c r="AE37" i="12"/>
  <c r="AE36" i="12"/>
  <c r="AE35" i="12"/>
  <c r="AE34" i="12"/>
  <c r="AE33" i="12"/>
  <c r="AE32" i="12"/>
  <c r="AE31" i="12"/>
  <c r="AE30" i="12"/>
  <c r="AE29" i="12"/>
  <c r="AE28" i="12"/>
  <c r="AE27" i="12"/>
  <c r="AE26" i="12"/>
  <c r="AE25" i="12"/>
  <c r="AE24" i="12"/>
  <c r="AE23" i="12"/>
  <c r="AE22" i="12"/>
  <c r="AE21" i="12"/>
  <c r="AE20" i="12"/>
  <c r="AE19" i="12"/>
  <c r="AE18" i="12"/>
  <c r="AE17" i="12"/>
  <c r="AE16" i="12"/>
  <c r="AE15" i="12"/>
  <c r="AE14" i="12"/>
  <c r="AE13" i="12"/>
  <c r="AE12" i="12"/>
  <c r="AE11" i="12"/>
  <c r="AE10" i="12"/>
  <c r="AE9" i="12"/>
  <c r="AE8" i="12"/>
  <c r="AE7" i="12"/>
  <c r="AE6" i="12"/>
  <c r="AE5" i="12"/>
  <c r="AE4" i="12"/>
  <c r="AE3" i="12"/>
  <c r="AE2" i="12"/>
  <c r="D208" i="7" l="1"/>
  <c r="C208" i="7"/>
  <c r="D190" i="7" l="1"/>
  <c r="C190" i="7"/>
  <c r="D191" i="7"/>
  <c r="C191" i="7"/>
  <c r="D192" i="7"/>
  <c r="C192" i="7"/>
  <c r="D207" i="7" l="1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C207" i="7" l="1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43" i="10" l="1"/>
  <c r="E43" i="10" s="1"/>
  <c r="B28" i="10" l="1"/>
  <c r="C28" i="10" s="1"/>
  <c r="E28" i="10" s="1"/>
  <c r="B29" i="10" l="1"/>
  <c r="C29" i="10" l="1"/>
  <c r="B30" i="10"/>
  <c r="L21" i="10"/>
  <c r="C30" i="10" l="1"/>
  <c r="B31" i="10"/>
  <c r="C31" i="10" s="1"/>
  <c r="B20" i="10"/>
  <c r="C20" i="10" s="1"/>
  <c r="E20" i="10" s="1"/>
  <c r="B21" i="10" l="1"/>
  <c r="C21" i="10" s="1"/>
  <c r="J19" i="10"/>
  <c r="D44" i="10" s="1"/>
  <c r="D45" i="10" l="1"/>
  <c r="AA87" i="10"/>
  <c r="B22" i="10"/>
  <c r="B23" i="10" s="1"/>
  <c r="C23" i="10" s="1"/>
  <c r="D42" i="10"/>
  <c r="D43" i="10"/>
  <c r="AA66" i="10"/>
  <c r="Z66" i="10"/>
  <c r="C22" i="10" l="1"/>
  <c r="AB66" i="10"/>
  <c r="AC78" i="10" s="1"/>
  <c r="C45" i="10"/>
  <c r="E45" i="10" s="1"/>
  <c r="C42" i="10"/>
  <c r="E42" i="10" s="1"/>
  <c r="AC83" i="10" l="1"/>
  <c r="AC79" i="10"/>
  <c r="AC82" i="10"/>
  <c r="AC77" i="10"/>
  <c r="AC81" i="10"/>
  <c r="AC80" i="10"/>
  <c r="AA56" i="10"/>
  <c r="AA55" i="10"/>
  <c r="AA62" i="10" l="1"/>
  <c r="Z62" i="10"/>
  <c r="AB62" i="10" l="1"/>
  <c r="Z58" i="10" l="1"/>
  <c r="Z57" i="10"/>
  <c r="B24" i="10"/>
  <c r="C24" i="10" s="1"/>
  <c r="E24" i="10" s="1"/>
  <c r="B25" i="10" l="1"/>
  <c r="C25" i="10" l="1"/>
  <c r="B26" i="10"/>
  <c r="B27" i="10" l="1"/>
  <c r="C27" i="10" s="1"/>
  <c r="C26" i="10"/>
  <c r="S59" i="10" l="1"/>
  <c r="V24" i="10" l="1"/>
  <c r="O15" i="4" l="1"/>
  <c r="N15" i="4"/>
  <c r="M15" i="4"/>
  <c r="L15" i="4"/>
  <c r="K15" i="4"/>
  <c r="J15" i="4"/>
  <c r="C4" i="4"/>
  <c r="C2" i="4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3" i="4" s="1"/>
  <c r="C170" i="7"/>
  <c r="C169" i="7"/>
  <c r="C168" i="7"/>
  <c r="C167" i="7"/>
  <c r="AC38" i="10"/>
  <c r="AC36" i="10"/>
  <c r="AC33" i="10"/>
  <c r="AC30" i="10"/>
  <c r="AC28" i="10"/>
  <c r="B40" i="10"/>
  <c r="C40" i="10" s="1"/>
  <c r="E40" i="10" s="1"/>
  <c r="AC27" i="10"/>
  <c r="B39" i="10"/>
  <c r="C39" i="10" s="1"/>
  <c r="E39" i="10" s="1"/>
  <c r="AC26" i="10"/>
  <c r="B38" i="10"/>
  <c r="C38" i="10" s="1"/>
  <c r="E38" i="10" s="1"/>
  <c r="AC25" i="10"/>
  <c r="AC24" i="10"/>
  <c r="AC23" i="10"/>
  <c r="AC22" i="10"/>
  <c r="B34" i="10"/>
  <c r="C34" i="10" s="1"/>
  <c r="E34" i="10" s="1"/>
  <c r="AC21" i="10"/>
  <c r="B33" i="10"/>
  <c r="C33" i="10" s="1"/>
  <c r="E33" i="10" s="1"/>
  <c r="AC20" i="10"/>
  <c r="B32" i="10"/>
  <c r="C32" i="10" s="1"/>
  <c r="E32" i="10" s="1"/>
  <c r="AC19" i="10"/>
  <c r="AC18" i="10"/>
  <c r="AC17" i="10"/>
  <c r="B17" i="10"/>
  <c r="C17" i="10" s="1"/>
  <c r="E17" i="10" s="1"/>
  <c r="AC16" i="10"/>
  <c r="AC15" i="10"/>
  <c r="AC14" i="10"/>
  <c r="AC13" i="10"/>
  <c r="B13" i="10"/>
  <c r="B14" i="10" s="1"/>
  <c r="AC12" i="10"/>
  <c r="AC11" i="10"/>
  <c r="AC10" i="10"/>
  <c r="AC9" i="10"/>
  <c r="C9" i="10"/>
  <c r="E9" i="10" s="1"/>
  <c r="B9" i="10"/>
  <c r="B10" i="10" s="1"/>
  <c r="AC8" i="10"/>
  <c r="S8" i="10"/>
  <c r="AC7" i="10"/>
  <c r="S7" i="10"/>
  <c r="K7" i="10"/>
  <c r="AC6" i="10"/>
  <c r="V18" i="10"/>
  <c r="S6" i="10"/>
  <c r="C5" i="10"/>
  <c r="E5" i="10" s="1"/>
  <c r="B5" i="10"/>
  <c r="B6" i="10" s="1"/>
  <c r="O1" i="4" l="1"/>
  <c r="B35" i="10"/>
  <c r="B41" i="10"/>
  <c r="C41" i="10" s="1"/>
  <c r="B7" i="10"/>
  <c r="C6" i="10"/>
  <c r="C14" i="10"/>
  <c r="B15" i="10"/>
  <c r="C10" i="10"/>
  <c r="B11" i="10"/>
  <c r="C13" i="10"/>
  <c r="E13" i="10" s="1"/>
  <c r="B18" i="10"/>
  <c r="AF24" i="10"/>
  <c r="AF23" i="10"/>
  <c r="C35" i="10" l="1"/>
  <c r="B36" i="10"/>
  <c r="C11" i="10"/>
  <c r="B12" i="10"/>
  <c r="C12" i="10" s="1"/>
  <c r="C7" i="10"/>
  <c r="B8" i="10"/>
  <c r="C8" i="10" s="1"/>
  <c r="C18" i="10"/>
  <c r="B19" i="10"/>
  <c r="C19" i="10" s="1"/>
  <c r="C15" i="10"/>
  <c r="B16" i="10"/>
  <c r="C16" i="10" s="1"/>
  <c r="C36" i="10" l="1"/>
  <c r="B37" i="10"/>
  <c r="C37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Q1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문홍주</t>
        </r>
        <r>
          <rPr>
            <sz val="9"/>
            <color indexed="81"/>
            <rFont val="Tahoma"/>
            <family val="2"/>
          </rPr>
          <t xml:space="preserve"> MP</t>
        </r>
        <r>
          <rPr>
            <sz val="9"/>
            <color indexed="81"/>
            <rFont val="돋움"/>
            <family val="3"/>
            <charset val="129"/>
          </rPr>
          <t>재직시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계약
삭제기능</t>
        </r>
      </text>
    </comment>
    <comment ref="Q15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김묘정</t>
        </r>
        <r>
          <rPr>
            <b/>
            <sz val="9"/>
            <color indexed="81"/>
            <rFont val="Tahoma"/>
            <family val="2"/>
          </rPr>
          <t xml:space="preserve"> 2020.7.1</t>
        </r>
        <r>
          <rPr>
            <b/>
            <sz val="9"/>
            <color indexed="81"/>
            <rFont val="돋움"/>
            <family val="3"/>
            <charset val="129"/>
          </rPr>
          <t>이전계약을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송내로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</text>
    </comment>
    <comment ref="K16" authorId="0" shapeId="0" xr:uid="{00000000-0006-0000-0100-000003000000}">
      <text>
        <r>
          <rPr>
            <sz val="9"/>
            <color indexed="81"/>
            <rFont val="돋움"/>
            <family val="3"/>
            <charset val="129"/>
          </rPr>
          <t>원장</t>
        </r>
      </text>
    </comment>
    <comment ref="K22" authorId="0" shapeId="0" xr:uid="{00000000-0006-0000-0100-000004000000}">
      <text>
        <r>
          <rPr>
            <sz val="9"/>
            <color indexed="81"/>
            <rFont val="돋움"/>
            <family val="3"/>
            <charset val="129"/>
          </rPr>
          <t>신조정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기본</t>
        </r>
        <r>
          <rPr>
            <sz val="9"/>
            <color indexed="81"/>
            <rFont val="Tahoma"/>
            <family val="2"/>
          </rPr>
          <t xml:space="preserve"> 95% [</t>
        </r>
        <r>
          <rPr>
            <sz val="9"/>
            <color indexed="81"/>
            <rFont val="돋움"/>
            <family val="3"/>
            <charset val="129"/>
          </rPr>
          <t>생보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장기만</t>
        </r>
        <r>
          <rPr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17</t>
        </r>
        <r>
          <rPr>
            <sz val="9"/>
            <color indexed="81"/>
            <rFont val="돋움"/>
            <family val="3"/>
            <charset val="129"/>
          </rPr>
          <t>백이상</t>
        </r>
        <r>
          <rPr>
            <sz val="9"/>
            <color indexed="81"/>
            <rFont val="Tahoma"/>
            <family val="2"/>
          </rPr>
          <t>: 97%
 12</t>
        </r>
        <r>
          <rPr>
            <sz val="9"/>
            <color indexed="81"/>
            <rFont val="돋움"/>
            <family val="3"/>
            <charset val="129"/>
          </rPr>
          <t>백이상</t>
        </r>
        <r>
          <rPr>
            <sz val="9"/>
            <color indexed="81"/>
            <rFont val="Tahoma"/>
            <family val="2"/>
          </rPr>
          <t>: 96%
[20.7</t>
        </r>
        <r>
          <rPr>
            <sz val="9"/>
            <color indexed="81"/>
            <rFont val="돋움"/>
            <family val="3"/>
            <charset val="129"/>
          </rPr>
          <t>월실적부터</t>
        </r>
        <r>
          <rPr>
            <sz val="9"/>
            <color indexed="81"/>
            <rFont val="Tahoma"/>
            <family val="2"/>
          </rPr>
          <t>]
16</t>
        </r>
        <r>
          <rPr>
            <sz val="9"/>
            <color indexed="81"/>
            <rFont val="돋움"/>
            <family val="3"/>
            <charset val="129"/>
          </rPr>
          <t>백이상</t>
        </r>
        <r>
          <rPr>
            <sz val="9"/>
            <color indexed="81"/>
            <rFont val="Tahoma"/>
            <family val="2"/>
          </rPr>
          <t>:97%
13</t>
        </r>
        <r>
          <rPr>
            <sz val="9"/>
            <color indexed="81"/>
            <rFont val="돋움"/>
            <family val="3"/>
            <charset val="129"/>
          </rPr>
          <t>백이상</t>
        </r>
        <r>
          <rPr>
            <sz val="9"/>
            <color indexed="81"/>
            <rFont val="Tahoma"/>
            <family val="2"/>
          </rPr>
          <t>:96.5%
12</t>
        </r>
        <r>
          <rPr>
            <sz val="9"/>
            <color indexed="81"/>
            <rFont val="돋움"/>
            <family val="3"/>
            <charset val="129"/>
          </rPr>
          <t>백이상</t>
        </r>
        <r>
          <rPr>
            <sz val="9"/>
            <color indexed="81"/>
            <rFont val="Tahoma"/>
            <family val="2"/>
          </rPr>
          <t>:96.5%
10</t>
        </r>
        <r>
          <rPr>
            <sz val="9"/>
            <color indexed="81"/>
            <rFont val="돋움"/>
            <family val="3"/>
            <charset val="129"/>
          </rPr>
          <t>백이상</t>
        </r>
        <r>
          <rPr>
            <sz val="9"/>
            <color indexed="81"/>
            <rFont val="Tahoma"/>
            <family val="2"/>
          </rPr>
          <t xml:space="preserve">:96%
</t>
        </r>
      </text>
    </comment>
    <comment ref="K23" authorId="0" shapeId="0" xr:uid="{00000000-0006-0000-0100-000005000000}">
      <text>
        <r>
          <rPr>
            <b/>
            <sz val="9"/>
            <color indexed="81"/>
            <rFont val="돋움"/>
            <family val="3"/>
            <charset val="129"/>
          </rPr>
          <t>신조정</t>
        </r>
        <r>
          <rPr>
            <b/>
            <sz val="9"/>
            <color indexed="81"/>
            <rFont val="Tahoma"/>
            <family val="2"/>
          </rPr>
          <t xml:space="preserve">: </t>
        </r>
        <r>
          <rPr>
            <b/>
            <sz val="9"/>
            <color indexed="81"/>
            <rFont val="돋움"/>
            <family val="3"/>
            <charset val="129"/>
          </rPr>
          <t>기본</t>
        </r>
        <r>
          <rPr>
            <b/>
            <sz val="9"/>
            <color indexed="81"/>
            <rFont val="Tahoma"/>
            <family val="2"/>
          </rPr>
          <t xml:space="preserve"> 95%
9</t>
        </r>
        <r>
          <rPr>
            <b/>
            <sz val="9"/>
            <color indexed="81"/>
            <rFont val="돋움"/>
            <family val="3"/>
            <charset val="129"/>
          </rPr>
          <t>백이상</t>
        </r>
        <r>
          <rPr>
            <b/>
            <sz val="9"/>
            <color indexed="81"/>
            <rFont val="Tahoma"/>
            <family val="2"/>
          </rPr>
          <t>: 97%
5</t>
        </r>
        <r>
          <rPr>
            <b/>
            <sz val="9"/>
            <color indexed="81"/>
            <rFont val="돋움"/>
            <family val="3"/>
            <charset val="129"/>
          </rPr>
          <t>백이상</t>
        </r>
        <r>
          <rPr>
            <b/>
            <sz val="9"/>
            <color indexed="81"/>
            <rFont val="Tahoma"/>
            <family val="2"/>
          </rPr>
          <t xml:space="preserve">: 96%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<sst xmlns="http://schemas.openxmlformats.org/spreadsheetml/2006/main" count="11006" uniqueCount="1527">
  <si>
    <t>증권번호</t>
  </si>
  <si>
    <t>파일명</t>
    <phoneticPr fontId="1" type="noConversion"/>
  </si>
  <si>
    <t>시트명</t>
    <phoneticPr fontId="1" type="noConversion"/>
  </si>
  <si>
    <t>경로명</t>
    <phoneticPr fontId="1" type="noConversion"/>
  </si>
  <si>
    <t>지점</t>
  </si>
  <si>
    <t>보험회사</t>
  </si>
  <si>
    <t>구분</t>
  </si>
  <si>
    <t>WORKSHEET</t>
    <phoneticPr fontId="1" type="noConversion"/>
  </si>
  <si>
    <t>작업선택</t>
    <phoneticPr fontId="1" type="noConversion"/>
  </si>
  <si>
    <t>작업선택 및 우측의 가져올 조건을 입력 후 클릭</t>
    <phoneticPr fontId="1" type="noConversion"/>
  </si>
  <si>
    <t>가져올 조건 (헤더명은 반드시 일치해야)</t>
    <phoneticPr fontId="1" type="noConversion"/>
  </si>
  <si>
    <t>아래는 데이터가 복사되어오는 영역임</t>
    <phoneticPr fontId="1" type="noConversion"/>
  </si>
  <si>
    <t>보험회사</t>
    <phoneticPr fontId="1" type="noConversion"/>
  </si>
  <si>
    <t>월납보험료</t>
    <phoneticPr fontId="1" type="noConversion"/>
  </si>
  <si>
    <t>실손월납보</t>
  </si>
  <si>
    <t>실손수정보</t>
  </si>
  <si>
    <t>수수료T</t>
  </si>
  <si>
    <t>수수료H</t>
  </si>
  <si>
    <t>수수료M</t>
  </si>
  <si>
    <t>수수료S</t>
  </si>
  <si>
    <t>보종</t>
    <phoneticPr fontId="1" type="noConversion"/>
  </si>
  <si>
    <t>삭제할 컬럼</t>
    <phoneticPr fontId="1" type="noConversion"/>
  </si>
  <si>
    <t>전담당</t>
    <phoneticPr fontId="1" type="noConversion"/>
  </si>
  <si>
    <t>경로</t>
    <phoneticPr fontId="1" type="noConversion"/>
  </si>
  <si>
    <t>기타1</t>
    <phoneticPr fontId="1" type="noConversion"/>
  </si>
  <si>
    <t>가져올컬럼</t>
    <phoneticPr fontId="1" type="noConversion"/>
  </si>
  <si>
    <t>계약일</t>
    <phoneticPr fontId="1" type="noConversion"/>
  </si>
  <si>
    <t>증권번호</t>
    <phoneticPr fontId="1" type="noConversion"/>
  </si>
  <si>
    <t>지점</t>
    <phoneticPr fontId="1" type="noConversion"/>
  </si>
  <si>
    <t>담당</t>
    <phoneticPr fontId="1" type="noConversion"/>
  </si>
  <si>
    <t>생보</t>
    <phoneticPr fontId="1" type="noConversion"/>
  </si>
  <si>
    <t xml:space="preserve">    조건에 맞는 데이터 가져오는 기능</t>
    <phoneticPr fontId="1" type="noConversion"/>
  </si>
  <si>
    <t>가져온 데이터 불필요컬럼 삭제</t>
    <phoneticPr fontId="1" type="noConversion"/>
  </si>
  <si>
    <t>가져온 데이터중 필요컬럼만 복사</t>
    <phoneticPr fontId="1" type="noConversion"/>
  </si>
  <si>
    <t>마감실적 리스트(장기)-지급정정후.xlsx</t>
    <phoneticPr fontId="1" type="noConversion"/>
  </si>
  <si>
    <t>마감실적 리스트(장기)-201706261128.xlsx</t>
    <phoneticPr fontId="1" type="noConversion"/>
  </si>
  <si>
    <t>마감실적 리스트(장기)-201707311747(피스토스지급율정정).xlsx</t>
    <phoneticPr fontId="1" type="noConversion"/>
  </si>
  <si>
    <t>마감실적 리스트(장기)-201708251018.xlsx</t>
    <phoneticPr fontId="1" type="noConversion"/>
  </si>
  <si>
    <t>마감실적 리스트(장기)-201709271015.xlsx</t>
    <phoneticPr fontId="1" type="noConversion"/>
  </si>
  <si>
    <t>마감실적 리스트(장기)-201710261159.xlsx</t>
    <phoneticPr fontId="1" type="noConversion"/>
  </si>
  <si>
    <t>마감실적 리스트(장기)-201711251115.xlsx</t>
    <phoneticPr fontId="1" type="noConversion"/>
  </si>
  <si>
    <t>마감실적 리스트(장기)-201712261750.xlsx</t>
    <phoneticPr fontId="1" type="noConversion"/>
  </si>
  <si>
    <t>마감실적 리스트(장기)-201801261142.xlsx</t>
    <phoneticPr fontId="1" type="noConversion"/>
  </si>
  <si>
    <t>마감실적 리스트(장기)-201802271539.xlsx</t>
    <phoneticPr fontId="1" type="noConversion"/>
  </si>
  <si>
    <t>파일1</t>
  </si>
  <si>
    <t>구분</t>
    <phoneticPr fontId="1" type="noConversion"/>
  </si>
  <si>
    <t>마감실적 리스트(장기)-201701.xlsx</t>
    <phoneticPr fontId="1" type="noConversion"/>
  </si>
  <si>
    <t xml:space="preserve">    → 파일1 또는 파일2 목록 중 일괄작업구분 "y"인 목록들에서 가져옴</t>
    <phoneticPr fontId="1" type="noConversion"/>
  </si>
  <si>
    <t>수수료S</t>
    <phoneticPr fontId="1" type="noConversion"/>
  </si>
  <si>
    <t>&lt;&gt;0</t>
    <phoneticPr fontId="1" type="noConversion"/>
  </si>
  <si>
    <t>피스토스</t>
    <phoneticPr fontId="1" type="noConversion"/>
  </si>
  <si>
    <t>마감실적 리스트(장기)-201703281101.xlsx</t>
    <phoneticPr fontId="1" type="noConversion"/>
  </si>
  <si>
    <t>&lt;&lt;파일1목록&gt;&gt;</t>
    <phoneticPr fontId="1" type="noConversion"/>
  </si>
  <si>
    <t>장기</t>
  </si>
  <si>
    <t>장기</t>
    <phoneticPr fontId="1" type="noConversion"/>
  </si>
  <si>
    <t>저장파일명</t>
    <phoneticPr fontId="1" type="noConversion"/>
  </si>
  <si>
    <t>년월</t>
    <phoneticPr fontId="1" type="noConversion"/>
  </si>
  <si>
    <t>종목</t>
    <phoneticPr fontId="1" type="noConversion"/>
  </si>
  <si>
    <t>ALL</t>
    <phoneticPr fontId="1" type="noConversion"/>
  </si>
  <si>
    <t>자동차</t>
    <phoneticPr fontId="1" type="noConversion"/>
  </si>
  <si>
    <t>일반</t>
    <phoneticPr fontId="1" type="noConversion"/>
  </si>
  <si>
    <t>IBSS장기</t>
    <phoneticPr fontId="1" type="noConversion"/>
  </si>
  <si>
    <t>IBSS생보</t>
    <phoneticPr fontId="1" type="noConversion"/>
  </si>
  <si>
    <t>IBSS자동차</t>
    <phoneticPr fontId="1" type="noConversion"/>
  </si>
  <si>
    <t>IBSS일반</t>
    <phoneticPr fontId="1" type="noConversion"/>
  </si>
  <si>
    <t>피스토스&amp;신중동&amp;프라임&amp;경기지급율</t>
  </si>
  <si>
    <t>피스토스&amp;신중동&amp;프라임&amp;경기지급율</t>
    <phoneticPr fontId="1" type="noConversion"/>
  </si>
  <si>
    <t>마감</t>
  </si>
  <si>
    <t>마감</t>
    <phoneticPr fontId="1" type="noConversion"/>
  </si>
  <si>
    <t>초회</t>
    <phoneticPr fontId="1" type="noConversion"/>
  </si>
  <si>
    <t>철회</t>
    <phoneticPr fontId="1" type="noConversion"/>
  </si>
  <si>
    <t>취소</t>
    <phoneticPr fontId="1" type="noConversion"/>
  </si>
  <si>
    <t>작업구분</t>
    <phoneticPr fontId="1" type="noConversion"/>
  </si>
  <si>
    <t>출력파일</t>
    <phoneticPr fontId="1" type="noConversion"/>
  </si>
  <si>
    <t>입력파일</t>
    <phoneticPr fontId="1" type="noConversion"/>
  </si>
  <si>
    <t>종목</t>
    <phoneticPr fontId="1" type="noConversion"/>
  </si>
  <si>
    <t>장기</t>
    <phoneticPr fontId="1" type="noConversion"/>
  </si>
  <si>
    <t>업무구분KEY</t>
    <phoneticPr fontId="1" type="noConversion"/>
  </si>
  <si>
    <t>피스토스환수</t>
  </si>
  <si>
    <t>피스토스환수</t>
    <phoneticPr fontId="1" type="noConversion"/>
  </si>
  <si>
    <t>대상작업명</t>
    <phoneticPr fontId="1" type="noConversion"/>
  </si>
  <si>
    <t>생보</t>
    <phoneticPr fontId="1" type="noConversion"/>
  </si>
  <si>
    <t>자동차</t>
    <phoneticPr fontId="1" type="noConversion"/>
  </si>
  <si>
    <t>일반</t>
    <phoneticPr fontId="1" type="noConversion"/>
  </si>
  <si>
    <t>마감실적 리스트(생명)-201802271619.XLSX</t>
    <phoneticPr fontId="1" type="noConversion"/>
  </si>
  <si>
    <t>마감실적 리스트(자동차)-201802260917.XLSX</t>
    <phoneticPr fontId="1" type="noConversion"/>
  </si>
  <si>
    <t>마감실적 리스트(일반)-201802260918.XLSX</t>
    <phoneticPr fontId="1" type="noConversion"/>
  </si>
  <si>
    <t>지점필터</t>
    <phoneticPr fontId="1" type="noConversion"/>
  </si>
  <si>
    <t>환수필터</t>
    <phoneticPr fontId="1" type="noConversion"/>
  </si>
  <si>
    <t>지급율필터</t>
    <phoneticPr fontId="1" type="noConversion"/>
  </si>
  <si>
    <t>지점초회필터</t>
    <phoneticPr fontId="1" type="noConversion"/>
  </si>
  <si>
    <t>[작업기초정보]</t>
    <phoneticPr fontId="1" type="noConversion"/>
  </si>
  <si>
    <t xml:space="preserve">각 작업별로 사용할 필터 </t>
    <phoneticPr fontId="1" type="noConversion"/>
  </si>
  <si>
    <t>대상지점</t>
    <phoneticPr fontId="1" type="noConversion"/>
  </si>
  <si>
    <t>대상년월</t>
    <phoneticPr fontId="1" type="noConversion"/>
  </si>
  <si>
    <t>대상작업</t>
    <phoneticPr fontId="1" type="noConversion"/>
  </si>
  <si>
    <t>필터명</t>
    <phoneticPr fontId="1" type="noConversion"/>
  </si>
  <si>
    <t>아래 작업에 필요한 파일을 한번에 가져오는 기능</t>
    <phoneticPr fontId="1" type="noConversion"/>
  </si>
  <si>
    <t>[작업요령]</t>
    <phoneticPr fontId="1" type="noConversion"/>
  </si>
  <si>
    <t>1.대상년월 및 대상작업 선택</t>
    <phoneticPr fontId="1" type="noConversion"/>
  </si>
  <si>
    <t>2.버튼 클릭</t>
    <phoneticPr fontId="1" type="noConversion"/>
  </si>
  <si>
    <t>좌측 필터명 검색 및 우측 지점/초회필터에서 LOOKUP</t>
    <phoneticPr fontId="1" type="noConversion"/>
  </si>
  <si>
    <t>[각 작업에 관한 정보 설정]</t>
    <phoneticPr fontId="1" type="noConversion"/>
  </si>
  <si>
    <t>필터별로 헤더와 데이터 조건 변경할 수 있음</t>
    <phoneticPr fontId="1" type="noConversion"/>
  </si>
  <si>
    <t>고정값임(13개)</t>
    <phoneticPr fontId="1" type="noConversion"/>
  </si>
  <si>
    <t>C:\Users\Administrator\Documents\04.수수료작업\</t>
    <phoneticPr fontId="1" type="noConversion"/>
  </si>
  <si>
    <t>기준폴더</t>
    <phoneticPr fontId="1" type="noConversion"/>
  </si>
  <si>
    <t>해당월폴더</t>
    <phoneticPr fontId="1" type="noConversion"/>
  </si>
  <si>
    <t>폴더명-피스토스환수에서 사용함</t>
    <phoneticPr fontId="1" type="noConversion"/>
  </si>
  <si>
    <t>작업설명</t>
    <phoneticPr fontId="1" type="noConversion"/>
  </si>
  <si>
    <t>강동OR수수료</t>
    <phoneticPr fontId="1" type="noConversion"/>
  </si>
  <si>
    <t>작업목적</t>
    <phoneticPr fontId="1" type="noConversion"/>
  </si>
  <si>
    <t>후속작업</t>
    <phoneticPr fontId="1" type="noConversion"/>
  </si>
  <si>
    <t>원장필터</t>
    <phoneticPr fontId="1" type="noConversion"/>
  </si>
  <si>
    <t>영수구분</t>
    <phoneticPr fontId="1" type="noConversion"/>
  </si>
  <si>
    <t>당월</t>
    <phoneticPr fontId="1" type="noConversion"/>
  </si>
  <si>
    <t>선행작업</t>
    <phoneticPr fontId="1" type="noConversion"/>
  </si>
  <si>
    <t>당월 수입원장 복사</t>
    <phoneticPr fontId="1" type="noConversion"/>
  </si>
  <si>
    <t>MP상동_수입원장정산</t>
    <phoneticPr fontId="1" type="noConversion"/>
  </si>
  <si>
    <t>MP조은_수입원장정산</t>
    <phoneticPr fontId="1" type="noConversion"/>
  </si>
  <si>
    <t>초회</t>
    <phoneticPr fontId="1" type="noConversion"/>
  </si>
  <si>
    <t>철회</t>
    <phoneticPr fontId="1" type="noConversion"/>
  </si>
  <si>
    <t>실효</t>
    <phoneticPr fontId="1" type="noConversion"/>
  </si>
  <si>
    <t>해지</t>
    <phoneticPr fontId="1" type="noConversion"/>
  </si>
  <si>
    <t>&lt;13</t>
    <phoneticPr fontId="1" type="noConversion"/>
  </si>
  <si>
    <t>&lt;'2018-02-01'</t>
    <phoneticPr fontId="1" type="noConversion"/>
  </si>
  <si>
    <t>&gt;'2016-12-31'</t>
    <phoneticPr fontId="1" type="noConversion"/>
  </si>
  <si>
    <t>납입회차</t>
    <phoneticPr fontId="1" type="noConversion"/>
  </si>
  <si>
    <t>기지급건</t>
    <phoneticPr fontId="1" type="noConversion"/>
  </si>
  <si>
    <t>결과 검증</t>
    <phoneticPr fontId="1" type="noConversion"/>
  </si>
  <si>
    <r>
      <t xml:space="preserve">환수필터 - </t>
    </r>
    <r>
      <rPr>
        <b/>
        <sz val="11"/>
        <color rgb="FFFF0000"/>
        <rFont val="맑은 고딕"/>
        <family val="3"/>
        <charset val="129"/>
        <scheme val="minor"/>
      </rPr>
      <t>증권번호는 자동생성</t>
    </r>
    <phoneticPr fontId="1" type="noConversion"/>
  </si>
  <si>
    <t>피스토스 환수대상년월</t>
    <phoneticPr fontId="1" type="noConversion"/>
  </si>
  <si>
    <t>*수수료작업 시트에는 작업에 관한 설정 정보가 있으니 행,열의 삭제,삽입을 함부로 하지 말것</t>
    <phoneticPr fontId="1" type="noConversion"/>
  </si>
  <si>
    <t>2018년2월에 사원환수율을 변경함. 과거계약도 소급 적용요청이 있어 본 계산시트로 산출 후 수수료 지급시 기타수수료로 추가환수해야 함</t>
    <phoneticPr fontId="1" type="noConversion"/>
  </si>
  <si>
    <t>당월 손보 정산초회 목록 추출 및 전월 파일로 부터 수식복사</t>
    <phoneticPr fontId="1" type="noConversion"/>
  </si>
  <si>
    <t>강동 지점장,팀장 OR수수료 산출</t>
    <phoneticPr fontId="1" type="noConversion"/>
  </si>
  <si>
    <t>프로그램흐름</t>
    <phoneticPr fontId="1" type="noConversion"/>
  </si>
  <si>
    <t>① IBSS수수료 산출 목록 추출, ② 당월원장 가져오기,  ③ 전월원장에서 이월분 및 정산시트 가져오기</t>
    <phoneticPr fontId="1" type="noConversion"/>
  </si>
  <si>
    <t>수입원장 정산 (수입원장의 95%값과 당월 지사 수수료 지급액의 차액을 정산), 대상보종-전 보종</t>
    <phoneticPr fontId="1" type="noConversion"/>
  </si>
  <si>
    <t>수입원장 정산 (수입원장의 95%값과 당월 지사 수수료 지급액의 차액을 정산), 대상보종-자동차 제외</t>
    <phoneticPr fontId="1" type="noConversion"/>
  </si>
  <si>
    <t>정산초회 실적에 따라 인보장 수수료 지급율이 달라지는 지점들의 사원별 인보장 지급율 산출</t>
    <phoneticPr fontId="1" type="noConversion"/>
  </si>
  <si>
    <t>설명</t>
    <phoneticPr fontId="1" type="noConversion"/>
  </si>
  <si>
    <t>*대상작업을 선택하면 필터정보에 따라</t>
    <phoneticPr fontId="1" type="noConversion"/>
  </si>
  <si>
    <t xml:space="preserve"> 지정한 파일에서 데이터를 가져옴</t>
    <phoneticPr fontId="1" type="noConversion"/>
  </si>
  <si>
    <t>글꼴색이 이 색이면 손대지 말것</t>
    <phoneticPr fontId="1" type="noConversion"/>
  </si>
  <si>
    <t xml:space="preserve">  특히, 글꼴색이 이 색이면 손대지 말것</t>
    <phoneticPr fontId="1" type="noConversion"/>
  </si>
  <si>
    <t>담당</t>
  </si>
  <si>
    <t>담당ID</t>
  </si>
  <si>
    <t>계약일</t>
  </si>
  <si>
    <t>보종</t>
  </si>
  <si>
    <t>정산월구분</t>
  </si>
  <si>
    <t>월납보험료</t>
  </si>
  <si>
    <t>수정보험료</t>
  </si>
  <si>
    <t>수수료S</t>
    <phoneticPr fontId="22" type="noConversion"/>
  </si>
  <si>
    <t>수정율</t>
  </si>
  <si>
    <t>납입회차</t>
  </si>
  <si>
    <t>환수대상필터</t>
    <phoneticPr fontId="1" type="noConversion"/>
  </si>
  <si>
    <t>환수대상컬럼- 수수료파일에서 가져올 컬럼만 입력!!</t>
    <phoneticPr fontId="1" type="noConversion"/>
  </si>
  <si>
    <t>마감실적 리스트(장기)-201705251807.xlsx</t>
    <phoneticPr fontId="1" type="noConversion"/>
  </si>
  <si>
    <t>수수료S</t>
    <phoneticPr fontId="1" type="noConversion"/>
  </si>
  <si>
    <t>사원수수료컬럼명 - 수수료파일의 사원수수료 컬럼명(변경시 아래 수정)</t>
    <phoneticPr fontId="1" type="noConversion"/>
  </si>
  <si>
    <t>←6자리 입력</t>
    <phoneticPr fontId="1" type="noConversion"/>
  </si>
  <si>
    <t>←목록 선택</t>
    <phoneticPr fontId="1" type="noConversion"/>
  </si>
  <si>
    <t>장기</t>
    <phoneticPr fontId="1" type="noConversion"/>
  </si>
  <si>
    <t>강동지점</t>
    <phoneticPr fontId="1" type="noConversion"/>
  </si>
  <si>
    <t>↑ 대상지점을 변경하여 사용가능</t>
    <phoneticPr fontId="1" type="noConversion"/>
  </si>
  <si>
    <t>↑ 추가하려면 행 삽입 복사하고 수정할 것</t>
    <phoneticPr fontId="1" type="noConversion"/>
  </si>
  <si>
    <t>수수료명세</t>
    <phoneticPr fontId="1" type="noConversion"/>
  </si>
  <si>
    <t>지점 수수료 명세를 가져오고, 요약시트를 만드는 작업</t>
    <phoneticPr fontId="1" type="noConversion"/>
  </si>
  <si>
    <t>당월 해당 지점 수수료 명세(전종목) 가져오기 및 전월 파일에서 요약시트 복사(신규 사원 있으면 자동추가)</t>
    <phoneticPr fontId="1" type="noConversion"/>
  </si>
  <si>
    <t>?</t>
    <phoneticPr fontId="1" type="noConversion"/>
  </si>
  <si>
    <t>파일을 선택하면</t>
    <phoneticPr fontId="1" type="noConversion"/>
  </si>
  <si>
    <t>파일목록의 맨위에 경로와 파일명을 추가함</t>
    <phoneticPr fontId="1" type="noConversion"/>
  </si>
  <si>
    <t>강동지점OR수수료</t>
    <phoneticPr fontId="1" type="noConversion"/>
  </si>
  <si>
    <t>장기</t>
    <phoneticPr fontId="1" type="noConversion"/>
  </si>
  <si>
    <t>피스토스 재물정산</t>
    <phoneticPr fontId="1" type="noConversion"/>
  </si>
  <si>
    <t>재물필터</t>
    <phoneticPr fontId="1" type="noConversion"/>
  </si>
  <si>
    <t>3190087979781</t>
  </si>
  <si>
    <t>3190086611901</t>
  </si>
  <si>
    <t>3190092328951</t>
  </si>
  <si>
    <t>3190092334271</t>
  </si>
  <si>
    <t>3190096933811</t>
  </si>
  <si>
    <t>증권번호</t>
    <phoneticPr fontId="1" type="noConversion"/>
  </si>
  <si>
    <t>&lt;&gt;0</t>
    <phoneticPr fontId="1" type="noConversion"/>
  </si>
  <si>
    <t>재물필터</t>
    <phoneticPr fontId="1" type="noConversion"/>
  </si>
  <si>
    <t>L01721907739</t>
  </si>
  <si>
    <t>L01721909462</t>
  </si>
  <si>
    <t>L01721884383</t>
  </si>
  <si>
    <t>L01720398164</t>
  </si>
  <si>
    <t>&lt;14</t>
    <phoneticPr fontId="1" type="noConversion"/>
  </si>
  <si>
    <t>라온지점</t>
  </si>
  <si>
    <t>지점</t>
    <phoneticPr fontId="1" type="noConversion"/>
  </si>
  <si>
    <t>증권번호</t>
    <phoneticPr fontId="1" type="noConversion"/>
  </si>
  <si>
    <t>납입회차</t>
    <phoneticPr fontId="1" type="noConversion"/>
  </si>
  <si>
    <t>라온지점 박종철정산</t>
    <phoneticPr fontId="1" type="noConversion"/>
  </si>
  <si>
    <t>박종철필터</t>
    <phoneticPr fontId="1" type="noConversion"/>
  </si>
  <si>
    <t>KB손보</t>
  </si>
  <si>
    <t>현대해상</t>
  </si>
  <si>
    <t>메리츠화재</t>
  </si>
  <si>
    <t>회차별 지급율(박종철 계속분)</t>
    <phoneticPr fontId="1" type="noConversion"/>
  </si>
  <si>
    <t>DB손보</t>
  </si>
  <si>
    <t>&lt;15</t>
    <phoneticPr fontId="1" type="noConversion"/>
  </si>
  <si>
    <t>보험회사</t>
    <phoneticPr fontId="1" type="noConversion"/>
  </si>
  <si>
    <t>납입회차</t>
    <phoneticPr fontId="1" type="noConversion"/>
  </si>
  <si>
    <t>&gt;1</t>
    <phoneticPr fontId="1" type="noConversion"/>
  </si>
  <si>
    <t>라온지점</t>
    <phoneticPr fontId="1" type="noConversion"/>
  </si>
  <si>
    <t>회차</t>
    <phoneticPr fontId="1" type="noConversion"/>
  </si>
  <si>
    <t>회차별환수율-피스토스(2018.2변경)</t>
    <phoneticPr fontId="1" type="noConversion"/>
  </si>
  <si>
    <t>일반</t>
  </si>
  <si>
    <t>자동차</t>
  </si>
  <si>
    <t>피스토스 재물정산</t>
    <phoneticPr fontId="1" type="noConversion"/>
  </si>
  <si>
    <t>작업목적</t>
    <phoneticPr fontId="1" type="noConversion"/>
  </si>
  <si>
    <t>95%로 지급된 재물 계약(지정증번)을 97%로 재계산하여 차액 정산용</t>
    <phoneticPr fontId="1" type="noConversion"/>
  </si>
  <si>
    <t>17.8월 계약 중 박종철계약(지정증번)의 계속분 수수료를 계산하여 차액 정산용</t>
    <phoneticPr fontId="1" type="noConversion"/>
  </si>
  <si>
    <t>결과 검증 [팀 신설 또는 정착지원금 지급 사유발생시 수식 수정해야함] ※ 지점장/팀장or합계액은 kj정산시 사용하도록 메모text 유지할것</t>
    <phoneticPr fontId="1" type="noConversion"/>
  </si>
  <si>
    <r>
      <t>당월 장기 실적 추출 및 전월 파일로부터 수식복사,전월 지급율 가져오기</t>
    </r>
    <r>
      <rPr>
        <sz val="11"/>
        <color rgb="FFFF0000"/>
        <rFont val="맑은 고딕"/>
        <family val="3"/>
        <charset val="129"/>
        <scheme val="minor"/>
      </rPr>
      <t>(신규 사원있으면 자동 추가)</t>
    </r>
    <phoneticPr fontId="1" type="noConversion"/>
  </si>
  <si>
    <r>
      <t xml:space="preserve">결과 검증 </t>
    </r>
    <r>
      <rPr>
        <sz val="11"/>
        <color rgb="FFFF0000"/>
        <rFont val="맑은 고딕"/>
        <family val="3"/>
        <charset val="129"/>
        <scheme val="minor"/>
      </rPr>
      <t>(특히, 신규지점 추가하는 경우는 지급율시트에 수식을 넣을 것)</t>
    </r>
    <phoneticPr fontId="1" type="noConversion"/>
  </si>
  <si>
    <t>②재정산 계약별로 환수금 재계산 (환수율은 수수료작업 시트에 있는 것을 참조)</t>
    <phoneticPr fontId="1" type="noConversion"/>
  </si>
  <si>
    <t>③추가환수금을 사원별로 집계</t>
    <phoneticPr fontId="1" type="noConversion"/>
  </si>
  <si>
    <t>ⓘ당월 피스토스 환수금 재정산 대상계약[대상계약시트] 및 해당건의 기 지급수수료 목록 추출 - 당월 실효,해지건 중 2017.01~2018.1월 계약건 증번을 핕터에 넣고 실행</t>
    <phoneticPr fontId="1" type="noConversion"/>
  </si>
  <si>
    <t>원장지점</t>
    <phoneticPr fontId="1" type="noConversion"/>
  </si>
  <si>
    <t>방이</t>
    <phoneticPr fontId="1" type="noConversion"/>
  </si>
  <si>
    <t>아이리치</t>
    <phoneticPr fontId="1" type="noConversion"/>
  </si>
  <si>
    <t>신중동지점</t>
    <phoneticPr fontId="1" type="noConversion"/>
  </si>
  <si>
    <t>ibss지점-&gt;원장지점</t>
    <phoneticPr fontId="1" type="noConversion"/>
  </si>
  <si>
    <t>원장지점필터</t>
    <phoneticPr fontId="1" type="noConversion"/>
  </si>
  <si>
    <r>
      <t>① IBSS수수료 산출 목록 추출, ② 당월원장 가져오기,  ③ 전월원장에서 이월분 및 정산시트 가져오기[</t>
    </r>
    <r>
      <rPr>
        <sz val="11"/>
        <color rgb="FFFF0000"/>
        <rFont val="맑은 고딕"/>
        <family val="3"/>
        <charset val="129"/>
        <scheme val="minor"/>
      </rPr>
      <t>해당지점 전월 정산파일</t>
    </r>
    <r>
      <rPr>
        <sz val="11"/>
        <color theme="1"/>
        <rFont val="맑은 고딕"/>
        <family val="2"/>
        <charset val="129"/>
        <scheme val="minor"/>
      </rPr>
      <t>]</t>
    </r>
    <phoneticPr fontId="1" type="noConversion"/>
  </si>
  <si>
    <t>&lt;19</t>
    <phoneticPr fontId="1" type="noConversion"/>
  </si>
  <si>
    <t>라온지점 박종철정산</t>
  </si>
  <si>
    <t>지점 수수료명세</t>
  </si>
  <si>
    <t>강동지점OR수수료</t>
  </si>
  <si>
    <t>MP상동_수입원장정산</t>
  </si>
  <si>
    <t>MP조은_수입원장정산</t>
  </si>
  <si>
    <t>피스토스 재물정산</t>
  </si>
  <si>
    <t>작업완료후에 할일</t>
    <phoneticPr fontId="1" type="noConversion"/>
  </si>
  <si>
    <t>1번</t>
    <phoneticPr fontId="1" type="noConversion"/>
  </si>
  <si>
    <t>2번</t>
    <phoneticPr fontId="1" type="noConversion"/>
  </si>
  <si>
    <t>지사 송부</t>
    <phoneticPr fontId="1" type="noConversion"/>
  </si>
  <si>
    <t>장순동 전달</t>
    <phoneticPr fontId="1" type="noConversion"/>
  </si>
  <si>
    <t>지점 송부</t>
    <phoneticPr fontId="1" type="noConversion"/>
  </si>
  <si>
    <t>수수료 산출결과와 비교</t>
    <phoneticPr fontId="1" type="noConversion"/>
  </si>
  <si>
    <t>마감실적 리스트(생명)-201803270838.xlsx</t>
  </si>
  <si>
    <t>마감실적 리스트(일반)-201803270839.xlsx</t>
  </si>
  <si>
    <t>마감실적 리스트(자동차)-201803270839.xlsx</t>
  </si>
  <si>
    <t>마감실적 리스트(장기)-201803270836.xlsx</t>
  </si>
  <si>
    <t>생보</t>
    <phoneticPr fontId="1" type="noConversion"/>
  </si>
  <si>
    <t>o</t>
    <phoneticPr fontId="1" type="noConversion"/>
  </si>
  <si>
    <t>oo</t>
    <phoneticPr fontId="1" type="noConversion"/>
  </si>
  <si>
    <t>라온지점 박종철정산</t>
    <phoneticPr fontId="1" type="noConversion"/>
  </si>
  <si>
    <t>C:\Users\Administrator\Documents\04.수수료작업\201802수수료\201802_라온지점 박종철정산.xlsx</t>
    <phoneticPr fontId="1" type="noConversion"/>
  </si>
  <si>
    <t>Y</t>
    <phoneticPr fontId="1" type="noConversion"/>
  </si>
  <si>
    <t>구분</t>
    <phoneticPr fontId="1" type="noConversion"/>
  </si>
  <si>
    <t>기타수수료  지급의뢰 파일작성 
및 전달</t>
    <phoneticPr fontId="1" type="noConversion"/>
  </si>
  <si>
    <t>생보</t>
    <phoneticPr fontId="1" type="noConversion"/>
  </si>
  <si>
    <t>마감실적 리스트(일반)-201804251312.xlsx</t>
  </si>
  <si>
    <t>마감실적 리스트(자동차)-201804251311.xlsx</t>
  </si>
  <si>
    <t>마감실적 리스트(생명)-201804251424.xlsx</t>
    <phoneticPr fontId="1" type="noConversion"/>
  </si>
  <si>
    <t>마감실적 리스트(장기)-201804251426.xlsx</t>
    <phoneticPr fontId="1" type="noConversion"/>
  </si>
  <si>
    <t>생보</t>
    <phoneticPr fontId="1" type="noConversion"/>
  </si>
  <si>
    <t>마감실적 리스트(일반)-201805241311.xlsx</t>
  </si>
  <si>
    <t>마감실적 리스트(자동차)-201805241311.xlsx</t>
  </si>
  <si>
    <t>41728498900000</t>
  </si>
  <si>
    <t>3190082055751</t>
  </si>
  <si>
    <t>6089311838</t>
  </si>
  <si>
    <t>6093417075</t>
  </si>
  <si>
    <t>20170135985</t>
  </si>
  <si>
    <t>LA20178903269000</t>
  </si>
  <si>
    <t>3190069608781</t>
  </si>
  <si>
    <t>마감실적 리스트(생명)-201805241347.xlsx</t>
    <phoneticPr fontId="1" type="noConversion"/>
  </si>
  <si>
    <t>마감실적 리스트(장기)-201805241349.xlsx</t>
    <phoneticPr fontId="1" type="noConversion"/>
  </si>
  <si>
    <t>마감실적 리스트(생명)-201806260623.xlsx</t>
  </si>
  <si>
    <t>생보</t>
    <phoneticPr fontId="1" type="noConversion"/>
  </si>
  <si>
    <t>마감실적 리스트(일반)-201806260624.xlsx</t>
  </si>
  <si>
    <t>마감실적 리스트(자동차)-201806260624.xlsx</t>
  </si>
  <si>
    <t>마감실적 리스트(장기)-201806260626.xlsx</t>
  </si>
  <si>
    <t>WORKSHEET</t>
  </si>
  <si>
    <t>마감실적리스트(장기)-201807251320.xlsx</t>
    <phoneticPr fontId="1" type="noConversion"/>
  </si>
  <si>
    <t>e:\글로벌백업(180329)\04.수수료작업\201806수수료\</t>
  </si>
  <si>
    <t>e:\글로벌백업(180329)\04.수수료작업\201805수수료\</t>
  </si>
  <si>
    <t>e:\글로벌백업(180329)\04.수수료작업\201804수수료\</t>
  </si>
  <si>
    <t>e:\글로벌백업(180329)\04.수수료작업\201803수수료\</t>
  </si>
  <si>
    <t>e:\글로벌백업(180329)\04.수수료작업\201802수수료\</t>
  </si>
  <si>
    <t>E:\글로벌백업(180329)\04.수수료작업\201806수수료\</t>
  </si>
  <si>
    <t>마감실적리스트(생명)-201807251240.xlsx</t>
  </si>
  <si>
    <t>생보</t>
    <phoneticPr fontId="1" type="noConversion"/>
  </si>
  <si>
    <t>마감실적리스트(자동차)-201807251242.xlsx</t>
  </si>
  <si>
    <t>마감실적리스트(일반)-201807251242.xlsx</t>
  </si>
  <si>
    <t>e:\글로벌백업(180329)\04.수수료작업\201801수수료\마감실적 리스트(장기)-201802271539.xlsx</t>
  </si>
  <si>
    <t>e:\글로벌백업(180329)\04.수수료작업\201712수수료\마감실적 리스트(장기)-201801261142.xlsx</t>
  </si>
  <si>
    <t>e:\글로벌백업(180329)\04.수수료작업\201711수수료\마감실적 리스트(장기)-201712261750.xlsx</t>
  </si>
  <si>
    <t>e:\글로벌백업(180329)\04.수수료작업\201710수수료\마감실적 리스트(장기)-201711251115.xlsx</t>
  </si>
  <si>
    <t>e:\글로벌백업(180329)\04.수수료작업\201709수수료\마감실적 리스트(장기)-201710261159.xlsx</t>
  </si>
  <si>
    <t>e:\글로벌백업(180329)\04.수수료작업\201708수수료\마감실적 리스트(장기)-201709271015.xlsx</t>
  </si>
  <si>
    <t>e:\글로벌백업(180329)\04.수수료작업\201707수수료\마감실적 리스트(장기)-201708251018.xlsx</t>
  </si>
  <si>
    <t>e:\글로벌백업(180329)\04.수수료작업\2016~2017\201706수수료\마감실적 리스트(장기)-201707311747(피스토스지급율정정).xlsx</t>
  </si>
  <si>
    <t>e:\글로벌백업(180329)\04.수수료작업\2016~2017\201705수수료\마감실적 리스트(장기)-201706261128.xlsx</t>
  </si>
  <si>
    <t>e:\글로벌백업(180329)\04.수수료작업\2016~2017\201704수수료\마감실적 리스트(장기)-201705251807.xlsx</t>
  </si>
  <si>
    <t>e:\글로벌백업(180329)\04.수수료작업\2016~2017\201703수수료\마감실적 리스트(장기)-지급정정후.xlsx</t>
  </si>
  <si>
    <t>e:\글로벌백업(180329)\04.수수료작업\2016~2017\201702수수료\마감실적 리스트(장기)-201703281101.xlsx</t>
  </si>
  <si>
    <t>e:\글로벌백업(180329)\04.수수료작업\2016~2017\201701수수료\마감실적 리스트(장기)-201701.xlsx</t>
  </si>
  <si>
    <t>E:\글로벌백업(180329)\04.수수료작업\201807수수료\</t>
  </si>
  <si>
    <t>마감실적리스트(장기)-201808242307.xlsx</t>
    <phoneticPr fontId="1" type="noConversion"/>
  </si>
  <si>
    <t>마감실적리스트(생명)-201808242304.xlsx</t>
  </si>
  <si>
    <t>생보</t>
    <phoneticPr fontId="1" type="noConversion"/>
  </si>
  <si>
    <t>마감실적리스트(일반)-201808242305.xlsx</t>
  </si>
  <si>
    <t>마감실적리스트(자동차)-201808242305.xlsx</t>
  </si>
  <si>
    <t>218A20170077190</t>
  </si>
  <si>
    <t>41729606830000</t>
  </si>
  <si>
    <t>609734991</t>
  </si>
  <si>
    <t>3190099237601</t>
  </si>
  <si>
    <t>41736061750000</t>
  </si>
  <si>
    <t>41736062710000</t>
  </si>
  <si>
    <t>320171118016</t>
  </si>
  <si>
    <t>20170282337</t>
  </si>
  <si>
    <t>320171074045</t>
  </si>
  <si>
    <t>217A20170127766</t>
  </si>
  <si>
    <t>60956898</t>
  </si>
  <si>
    <t>20173281400</t>
  </si>
  <si>
    <t>LA20179602388000</t>
  </si>
  <si>
    <t>E:\글로벌백업(180329)\04.수수료작업\201808수수료\</t>
  </si>
  <si>
    <t>마감실적리스트(생명)-201809211145.xlsx</t>
  </si>
  <si>
    <t>생보</t>
    <phoneticPr fontId="1" type="noConversion"/>
  </si>
  <si>
    <t>마감실적리스트(일반)-201809211138.xlsx</t>
  </si>
  <si>
    <t>마감실적리스트(자동차)-201809211138.xlsx</t>
  </si>
  <si>
    <t>생보</t>
    <phoneticPr fontId="1" type="noConversion"/>
  </si>
  <si>
    <t>송내_성공_필터</t>
    <phoneticPr fontId="1" type="noConversion"/>
  </si>
  <si>
    <t>송내_성공_필터</t>
    <phoneticPr fontId="1" type="noConversion"/>
  </si>
  <si>
    <t>송내_성공_관리수수료</t>
    <phoneticPr fontId="1" type="noConversion"/>
  </si>
  <si>
    <t xml:space="preserve">지점수수료명세 작업은 </t>
    <phoneticPr fontId="1" type="noConversion"/>
  </si>
  <si>
    <t>변경전 환수율</t>
    <phoneticPr fontId="1" type="noConversion"/>
  </si>
  <si>
    <t>마감실적리스트(장기)-201809230755.xlsx</t>
    <phoneticPr fontId="1" type="noConversion"/>
  </si>
  <si>
    <t>-</t>
    <phoneticPr fontId="1" type="noConversion"/>
  </si>
  <si>
    <t>[선급이므로 중간에 실효,부활이 없으면 정확함.. 실효부활건은 결과파일에서 수정 필요]</t>
    <phoneticPr fontId="1" type="noConversion"/>
  </si>
  <si>
    <t>E:\글로벌백업(180329)\04.수수료작업\201809수수료\</t>
  </si>
  <si>
    <t>마감실적리스트(생명)-201810242242.xlsx</t>
  </si>
  <si>
    <t>생보</t>
    <phoneticPr fontId="1" type="noConversion"/>
  </si>
  <si>
    <t>마감실적리스트(일반)-201810242246.xlsx</t>
  </si>
  <si>
    <t>마감실적리스트(자동차)-201810242246.xlsx</t>
  </si>
  <si>
    <t>마감실적리스트(장기)-201810242245.xlsx</t>
  </si>
  <si>
    <t>E:\글로벌백업(180329)\04.수수료작업\201810수수료\</t>
  </si>
  <si>
    <t>마감실적리스트(생명)-201811232325.xlsx</t>
  </si>
  <si>
    <t>생보</t>
    <phoneticPr fontId="1" type="noConversion"/>
  </si>
  <si>
    <t>마감실적리스트(일반)-201811232329.xlsx</t>
  </si>
  <si>
    <t>마감실적리스트(자동차)-201811232329.xlsx</t>
  </si>
  <si>
    <t>마감실적리스트(장기)-201811232327.xlsx</t>
  </si>
  <si>
    <t>3190400958111</t>
  </si>
  <si>
    <t>51800806520000</t>
  </si>
  <si>
    <t>20175690994</t>
  </si>
  <si>
    <t>LA20172699241000</t>
  </si>
  <si>
    <t>6099834445</t>
  </si>
  <si>
    <t>6099831163</t>
  </si>
  <si>
    <t>LA20172506381000</t>
  </si>
  <si>
    <t>6099828872</t>
  </si>
  <si>
    <t>6095223895</t>
  </si>
  <si>
    <t>E:\글로벌백업(180329)\04.수수료작업\201811수수료\</t>
  </si>
  <si>
    <t>마감실적리스트(생명)-201812251601.xlsx</t>
  </si>
  <si>
    <t>생보</t>
    <phoneticPr fontId="1" type="noConversion"/>
  </si>
  <si>
    <t>마감실적리스트(일반)-201812251604.xlsx</t>
  </si>
  <si>
    <t>마감실적리스트(자동차)-201812251604.xlsx</t>
  </si>
  <si>
    <t>마감실적리스트(장기)-201812251603.xlsx</t>
  </si>
  <si>
    <t>E:\글로벌백업(180329)\04.수수료작업\201812수수료\</t>
  </si>
  <si>
    <t>마감실적리스트(생명)-201901240925.xlsx</t>
  </si>
  <si>
    <t>생보</t>
    <phoneticPr fontId="1" type="noConversion"/>
  </si>
  <si>
    <t>마감실적리스트(일반)-201901240926.xlsx</t>
  </si>
  <si>
    <t>E:\글로벌백업(180329)\04.수수료작업\201812수수료\마감실적리스트(장기)-201901240932.xlsx</t>
    <phoneticPr fontId="1" type="noConversion"/>
  </si>
  <si>
    <t>LA20172685650000</t>
  </si>
  <si>
    <t>41730146200000</t>
  </si>
  <si>
    <t>LA20172667419000</t>
  </si>
  <si>
    <t>3190389359181</t>
  </si>
  <si>
    <t>LA20172346952000</t>
  </si>
  <si>
    <t>WORKSHEET</t>
    <phoneticPr fontId="1" type="noConversion"/>
  </si>
  <si>
    <t>E:\글로벌백업(180329)\04.수수료작업\201812수수료\마감실적리스트(생명)-201901240925.xlsx</t>
    <phoneticPr fontId="1" type="noConversion"/>
  </si>
  <si>
    <t>E:\글로벌백업(180329)\04.수수료작업\201812수수료\마감실적리스트(자동차)-201901240925.xlsx</t>
    <phoneticPr fontId="1" type="noConversion"/>
  </si>
  <si>
    <t>E:\글로벌백업(180329)\04.수수료작업\201812수수료\마감실적리스트(일반)-201901240926.xlsx</t>
    <phoneticPr fontId="1" type="noConversion"/>
  </si>
  <si>
    <t>마감실적리스트(장기)-201901241842.xlsx</t>
    <phoneticPr fontId="1" type="noConversion"/>
  </si>
  <si>
    <t>마감실적리스트(자동차)-201901241840.xlsx</t>
    <phoneticPr fontId="1" type="noConversion"/>
  </si>
  <si>
    <t>E:\글로벌백업(180329)\04.수수료작업\201901수수료\</t>
  </si>
  <si>
    <t>20180064739</t>
  </si>
  <si>
    <t>51755642380000</t>
  </si>
  <si>
    <t>3190395604311</t>
  </si>
  <si>
    <t>3190394522431</t>
  </si>
  <si>
    <t>마감실적리스트(생명)-201902261057.xlsx</t>
  </si>
  <si>
    <t>생보</t>
    <phoneticPr fontId="1" type="noConversion"/>
  </si>
  <si>
    <t>마감실적리스트(일반)-201902261058.xlsx</t>
  </si>
  <si>
    <t>마감실적리스트(자동차)-201902261058.xlsx</t>
  </si>
  <si>
    <t>마감실적리스트(장기)-201902261101.xlsx</t>
  </si>
  <si>
    <t>E:\글로벌백업(180329)\04.수수료작업\201902수수료\</t>
  </si>
  <si>
    <t>마감실적리스트(장기)-201903261059.xlsx</t>
  </si>
  <si>
    <t>마감실적리스트(일반)-201903261057.xlsx</t>
  </si>
  <si>
    <t>마감실적리스트(자동차)-201903261057.xlsx</t>
  </si>
  <si>
    <t>마감실적리스트(생명)-201903261056.xlsx</t>
  </si>
  <si>
    <t>생보</t>
    <phoneticPr fontId="1" type="noConversion"/>
  </si>
  <si>
    <t>51802402760000</t>
  </si>
  <si>
    <t>51800321040000</t>
  </si>
  <si>
    <t>팀필터</t>
    <phoneticPr fontId="1" type="noConversion"/>
  </si>
  <si>
    <t>팀</t>
    <phoneticPr fontId="1" type="noConversion"/>
  </si>
  <si>
    <t>마감실적리스트(장기)-201904251049.xlsx</t>
    <phoneticPr fontId="1" type="noConversion"/>
  </si>
  <si>
    <t>e:\글로벌백업(180329)\04.수수료작업\201903수수료\</t>
    <phoneticPr fontId="1" type="noConversion"/>
  </si>
  <si>
    <t>E:\글로벌백업(180329)\04.수수료작업\201903수수료\</t>
  </si>
  <si>
    <t>마감실적리스트(생명)-201904251046.xlsx</t>
  </si>
  <si>
    <t>생보</t>
    <phoneticPr fontId="1" type="noConversion"/>
  </si>
  <si>
    <t>마감실적리스트(일반)-201904251046.xlsx</t>
  </si>
  <si>
    <t>마감실적리스트(자동차)-201904251046.xlsx</t>
  </si>
  <si>
    <t>19.3월부터 대상없음</t>
    <phoneticPr fontId="1" type="noConversion"/>
  </si>
  <si>
    <t>지점필터</t>
  </si>
  <si>
    <t>수수료명세</t>
    <phoneticPr fontId="1" type="noConversion"/>
  </si>
  <si>
    <t>여주레전드지점OR수수료</t>
    <phoneticPr fontId="1" type="noConversion"/>
  </si>
  <si>
    <t>여주레전드필터</t>
    <phoneticPr fontId="1" type="noConversion"/>
  </si>
  <si>
    <t>여주레전드초회필터</t>
    <phoneticPr fontId="1" type="noConversion"/>
  </si>
  <si>
    <t>사용할 필터</t>
    <phoneticPr fontId="1" type="noConversion"/>
  </si>
  <si>
    <t>자동차,일반에 사용할 필터명</t>
    <phoneticPr fontId="1" type="noConversion"/>
  </si>
  <si>
    <t>여주레전드</t>
    <phoneticPr fontId="1" type="noConversion"/>
  </si>
  <si>
    <t>납입회차</t>
    <phoneticPr fontId="1" type="noConversion"/>
  </si>
  <si>
    <t>&lt;=7</t>
    <phoneticPr fontId="1" type="noConversion"/>
  </si>
  <si>
    <t>201904_피스토스환수</t>
  </si>
  <si>
    <t>F:\글로벌백업(180329)\04.수수료작업\201904수수료\</t>
  </si>
  <si>
    <t>마감실적리스트(생명)-201905261102.xlsx</t>
  </si>
  <si>
    <t>생보</t>
    <phoneticPr fontId="1" type="noConversion"/>
  </si>
  <si>
    <t>마감실적리스트(자동차)-201905261102.xlsx</t>
  </si>
  <si>
    <t>마감실적리스트(일반)-201905261102.xlsx</t>
  </si>
  <si>
    <t>마감실적리스트(장기)-201905261446.xlsx</t>
    <phoneticPr fontId="1" type="noConversion"/>
  </si>
  <si>
    <t>E:\글로벌백업(180329)\04.수수료작업\201905수수료\</t>
  </si>
  <si>
    <t>피스토스&amp;직영지점사원지급율</t>
    <phoneticPr fontId="1" type="noConversion"/>
  </si>
  <si>
    <t>송내_성공_의정부_관리수수료</t>
    <phoneticPr fontId="1" type="noConversion"/>
  </si>
  <si>
    <t>송내,성공,의정부</t>
    <phoneticPr fontId="1" type="noConversion"/>
  </si>
  <si>
    <t>마감실적리스트(생명)-201906261318.xlsx</t>
  </si>
  <si>
    <t>생보</t>
    <phoneticPr fontId="1" type="noConversion"/>
  </si>
  <si>
    <t>마감실적리스트(일반)-201906261319.xlsx</t>
  </si>
  <si>
    <t>마감실적리스트(자동차)-201906261318.xlsx</t>
  </si>
  <si>
    <t>마감실적리스트(장기)-201906261250.xlsx</t>
  </si>
  <si>
    <t>WORKSHEET</t>
    <phoneticPr fontId="1" type="noConversion"/>
  </si>
  <si>
    <t>E:\글로벌백업(180329)\04.수수료작업\201905수수료\마감실적리스트(일반)-201906261319.xlsx</t>
    <phoneticPr fontId="1" type="noConversion"/>
  </si>
  <si>
    <t>지점</t>
    <phoneticPr fontId="1" type="noConversion"/>
  </si>
  <si>
    <t>계약일자</t>
    <phoneticPr fontId="1" type="noConversion"/>
  </si>
  <si>
    <t>납입회차</t>
    <phoneticPr fontId="1" type="noConversion"/>
  </si>
  <si>
    <t>경기지점원장정산필터</t>
    <phoneticPr fontId="1" type="noConversion"/>
  </si>
  <si>
    <t>분리기준월</t>
    <phoneticPr fontId="1" type="noConversion"/>
  </si>
  <si>
    <t>년도차이</t>
    <phoneticPr fontId="1" type="noConversion"/>
  </si>
  <si>
    <t>월차이</t>
    <phoneticPr fontId="1" type="noConversion"/>
  </si>
  <si>
    <t>대상년월까지 경과회차</t>
    <phoneticPr fontId="1" type="noConversion"/>
  </si>
  <si>
    <r>
      <rPr>
        <sz val="11"/>
        <color theme="1"/>
        <rFont val="맑은 고딕"/>
        <family val="3"/>
        <charset val="129"/>
      </rPr>
      <t>**</t>
    </r>
    <r>
      <rPr>
        <sz val="11"/>
        <color theme="1"/>
        <rFont val="맑은 고딕"/>
        <family val="2"/>
        <charset val="129"/>
        <scheme val="minor"/>
      </rPr>
      <t>원장에 계약일자가 없는 경우 납입회차로 추출하기 위해서</t>
    </r>
    <phoneticPr fontId="1" type="noConversion"/>
  </si>
  <si>
    <t>경기분리년월</t>
    <phoneticPr fontId="1" type="noConversion"/>
  </si>
  <si>
    <t>계약종류</t>
    <phoneticPr fontId="1" type="noConversion"/>
  </si>
  <si>
    <t>계약일구분없이 정산</t>
    <phoneticPr fontId="1" type="noConversion"/>
  </si>
  <si>
    <t xml:space="preserve"> "</t>
    <phoneticPr fontId="1" type="noConversion"/>
  </si>
  <si>
    <t>E:\글로벌백업(180329)\04.수수료작업\201906수수료\</t>
  </si>
  <si>
    <t>마감실적리스트(일반)-201907250803.xlsx</t>
  </si>
  <si>
    <t>마감실적리스트(자동차)-201907250803.xlsx</t>
  </si>
  <si>
    <t>실효</t>
    <phoneticPr fontId="1" type="noConversion"/>
  </si>
  <si>
    <t>마감실적리스트(생명)-201907251244.xlsx</t>
  </si>
  <si>
    <t>생보</t>
    <phoneticPr fontId="1" type="noConversion"/>
  </si>
  <si>
    <t>마감실적리스트(장기)-201907251247.xlsx</t>
  </si>
  <si>
    <t>계약일자 오류데이터는 회차로 판단(계약일이 190601이전건은 수동 삭제 필요)</t>
    <phoneticPr fontId="1" type="noConversion"/>
  </si>
  <si>
    <t>E:\글로벌백업(180329)\04.수수료작업\201907수수료\</t>
  </si>
  <si>
    <t>지사분리일(20190601)이후 계약원장만 추출 =&gt;19.7월 지사분리일이전건도 원장정산으로 변경</t>
    <phoneticPr fontId="1" type="noConversion"/>
  </si>
  <si>
    <t>HL지점</t>
    <phoneticPr fontId="1" type="noConversion"/>
  </si>
  <si>
    <t>마감실적리스트(생명)-201908261222.xlsx</t>
  </si>
  <si>
    <t>생보</t>
    <phoneticPr fontId="1" type="noConversion"/>
  </si>
  <si>
    <t>마감실적리스트(일반)-201908261223.xlsx</t>
  </si>
  <si>
    <t>마감실적리스트(자동차)-201908261223.xlsx</t>
  </si>
  <si>
    <t>마감실적리스트(장기)-201908261226.xlsx</t>
  </si>
  <si>
    <t>E:\글로벌백업(180329)\04.수수료작업\201908수수료\</t>
  </si>
  <si>
    <t>마감실적리스트(생명)-201909260838.xlsx</t>
  </si>
  <si>
    <t>생보</t>
    <phoneticPr fontId="1" type="noConversion"/>
  </si>
  <si>
    <t>마감실적리스트(일반)-201909260838.xlsx</t>
  </si>
  <si>
    <t>마감실적리스트(자동차)-201909260838.xlsx</t>
  </si>
  <si>
    <t>마감실적리스트(장기)-201909260841.xlsx</t>
  </si>
  <si>
    <t>피스토스 재물정산</t>
    <phoneticPr fontId="1" type="noConversion"/>
  </si>
  <si>
    <t>라온지점 박종철정산</t>
    <phoneticPr fontId="1" type="noConversion"/>
  </si>
  <si>
    <t>E:\글로벌백업(180329)\04.수수료작업\201909수수료\</t>
  </si>
  <si>
    <t xml:space="preserve"> </t>
    <phoneticPr fontId="1" type="noConversion"/>
  </si>
  <si>
    <t>마감실적리스트(생명)-201910241447.xlsx</t>
  </si>
  <si>
    <t>생보</t>
    <phoneticPr fontId="1" type="noConversion"/>
  </si>
  <si>
    <t>마감실적리스트(일반)-201910241447.xlsx</t>
  </si>
  <si>
    <t>마감실적리스트(자동차)-201910241447.xlsx</t>
  </si>
  <si>
    <t>마감실적리스트(장기)-201910241524.xlsx</t>
  </si>
  <si>
    <t>E:\글로벌백업(180329)\04.수수료작업\201910수수료\</t>
  </si>
  <si>
    <t>마감실적리스트(일반)-201911261401.xlsx</t>
  </si>
  <si>
    <t>마감실적리스트(자동차)-201911261401.xlsx</t>
  </si>
  <si>
    <t>생보</t>
    <phoneticPr fontId="1" type="noConversion"/>
  </si>
  <si>
    <t>마감실적리스트(장기)-201911261525.xlsx</t>
  </si>
  <si>
    <t>마감실적리스트(생명)-201911261726.xlsx</t>
    <phoneticPr fontId="1" type="noConversion"/>
  </si>
  <si>
    <t>E:\글로벌백업(180329)\04.수수료작업\201911수수료\</t>
  </si>
  <si>
    <t>마감실적리스트(생명)-201912260926.xlsx</t>
  </si>
  <si>
    <t>생보</t>
    <phoneticPr fontId="1" type="noConversion"/>
  </si>
  <si>
    <t>마감실적리스트(일반)-201912260931.xlsx</t>
  </si>
  <si>
    <t>마감실적리스트(자동차)-201912260930.xlsx</t>
  </si>
  <si>
    <t>마감실적리스트(장기)-201912260929.xlsx</t>
  </si>
  <si>
    <t>[시행종료작업]</t>
    <phoneticPr fontId="1" type="noConversion"/>
  </si>
  <si>
    <t>수입원장검증</t>
    <phoneticPr fontId="1" type="noConversion"/>
  </si>
  <si>
    <t>NO필터</t>
    <phoneticPr fontId="1" type="noConversion"/>
  </si>
  <si>
    <t>E:\글로벌백업(180329)\04.수수료작업\201912수수료\</t>
  </si>
  <si>
    <t>마감실적리스트(생명)-202001221154.xlsx</t>
  </si>
  <si>
    <t>생보</t>
    <phoneticPr fontId="1" type="noConversion"/>
  </si>
  <si>
    <t>마감실적리스트(일반)-202001221154.xlsx</t>
  </si>
  <si>
    <t>마감실적리스트(자동차)-202001221154.xlsx</t>
  </si>
  <si>
    <t>마감실적리스트(장기)-202001221158.xlsx</t>
  </si>
  <si>
    <t>분리기준월</t>
    <phoneticPr fontId="1" type="noConversion"/>
  </si>
  <si>
    <t>년도차이</t>
    <phoneticPr fontId="1" type="noConversion"/>
  </si>
  <si>
    <t>월차이</t>
    <phoneticPr fontId="1" type="noConversion"/>
  </si>
  <si>
    <t>대상년월까지 경과회차</t>
    <phoneticPr fontId="1" type="noConversion"/>
  </si>
  <si>
    <t>가온분리년월</t>
    <phoneticPr fontId="1" type="noConversion"/>
  </si>
  <si>
    <t>이름</t>
  </si>
  <si>
    <t>사원번호</t>
  </si>
  <si>
    <t>계약일자</t>
  </si>
  <si>
    <t>노희경</t>
  </si>
  <si>
    <t>MPK803173002</t>
  </si>
  <si>
    <t>&lt;'20181101</t>
  </si>
  <si>
    <t>송연희</t>
  </si>
  <si>
    <t>MPK033143019</t>
  </si>
  <si>
    <t>송정희</t>
  </si>
  <si>
    <t>MPK803143004</t>
  </si>
  <si>
    <t>임명산</t>
  </si>
  <si>
    <t>MPK033143015</t>
  </si>
  <si>
    <t>임은숙</t>
  </si>
  <si>
    <t>MPK033143010</t>
  </si>
  <si>
    <t>채금희</t>
  </si>
  <si>
    <t>가온(구 피스토스) 원장필터</t>
    <phoneticPr fontId="1" type="noConversion"/>
  </si>
  <si>
    <t>가온_피스토스_필터</t>
    <phoneticPr fontId="1" type="noConversion"/>
  </si>
  <si>
    <t>E:\글로벌백업(180329)\04.수수료작업\201912수수료\2019-12 수입원장(KJ).xlsx</t>
    <phoneticPr fontId="1" type="noConversion"/>
  </si>
  <si>
    <t>손주민</t>
  </si>
  <si>
    <t>AIG손해보험</t>
  </si>
  <si>
    <t>MG손보</t>
  </si>
  <si>
    <t>흥국화재</t>
  </si>
  <si>
    <t>한화손보</t>
  </si>
  <si>
    <t>롯데손보</t>
  </si>
  <si>
    <t>농협손보</t>
  </si>
  <si>
    <t>삼성화재</t>
  </si>
  <si>
    <t>작업할 원장시트</t>
    <phoneticPr fontId="1" type="noConversion"/>
  </si>
  <si>
    <t>전체</t>
    <phoneticPr fontId="1" type="noConversion"/>
  </si>
  <si>
    <t>처브손해보험</t>
    <phoneticPr fontId="1" type="noConversion"/>
  </si>
  <si>
    <t>지사송부</t>
    <phoneticPr fontId="1" type="noConversion"/>
  </si>
  <si>
    <t>kj정산</t>
    <phoneticPr fontId="1" type="noConversion"/>
  </si>
  <si>
    <t>당월 path</t>
    <phoneticPr fontId="1" type="noConversion"/>
  </si>
  <si>
    <t>Y</t>
    <phoneticPr fontId="1" type="noConversion"/>
  </si>
  <si>
    <t>E:\글로벌백업(180329)\04.수수료작업\202001수수료\</t>
  </si>
  <si>
    <t>마감실적리스트(생명)-202002251821.xlsx</t>
  </si>
  <si>
    <t>생보</t>
    <phoneticPr fontId="1" type="noConversion"/>
  </si>
  <si>
    <t>마감실적리스트(일반)-202002251716.xlsx</t>
  </si>
  <si>
    <t>마감실적리스트(자동차)-202002251721.xlsx</t>
  </si>
  <si>
    <t>마감실적리스트(장기)-202002251819.xlsx</t>
  </si>
  <si>
    <t>지점필터</t>
    <phoneticPr fontId="1" type="noConversion"/>
  </si>
  <si>
    <t>E:\글로벌백업(180329)\04.수수료작업\202002수수료\</t>
  </si>
  <si>
    <t>원장정산율</t>
    <phoneticPr fontId="1" type="noConversion"/>
  </si>
  <si>
    <t>매월 확인</t>
    <phoneticPr fontId="1" type="noConversion"/>
  </si>
  <si>
    <t>마감실적리스트(생명)-202003261344.xlsx</t>
  </si>
  <si>
    <t>생보</t>
    <phoneticPr fontId="1" type="noConversion"/>
  </si>
  <si>
    <t>마감실적리스트(일반)-202003261345.xlsx</t>
  </si>
  <si>
    <t>마감실적리스트(자동차)-202003261345.xlsx</t>
  </si>
  <si>
    <t>마감실적리스트(장기)-202003261348.xlsx</t>
  </si>
  <si>
    <t>E:\글로벌백업(180329)\04.수수료작업\202003수수료\</t>
  </si>
  <si>
    <t>마감실적리스트(생명)-202004241006.xlsx</t>
  </si>
  <si>
    <t>생보</t>
    <phoneticPr fontId="1" type="noConversion"/>
  </si>
  <si>
    <t>마감실적리스트(일반)-202004240928.xlsx</t>
  </si>
  <si>
    <t>마감실적리스트(자동차)-202004240928.xlsx</t>
  </si>
  <si>
    <t>마감실적리스트(장기)-202004241000.xlsx</t>
  </si>
  <si>
    <t>E:\글로벌백업(180329)\04.수수료작업\202004수수료\</t>
  </si>
  <si>
    <t>마감실적리스트(생명)-202005260946.xlsx</t>
  </si>
  <si>
    <t>생보</t>
    <phoneticPr fontId="1" type="noConversion"/>
  </si>
  <si>
    <t>마감실적리스트(일반)-202005260826.xlsx</t>
  </si>
  <si>
    <t>마감실적리스트(자동차)-202005260826.xlsx</t>
  </si>
  <si>
    <t>마감실적리스트(장기)-202005260949.xlsx</t>
  </si>
  <si>
    <t>E:\글로벌백업(180329)\04.수수료작업\202005수수료\</t>
  </si>
  <si>
    <t>피스토스 실손정산</t>
  </si>
  <si>
    <t>피스토스 실손정산</t>
    <phoneticPr fontId="1" type="noConversion"/>
  </si>
  <si>
    <t>피스토스_실손필터</t>
    <phoneticPr fontId="1" type="noConversion"/>
  </si>
  <si>
    <t>엠피피스토스</t>
  </si>
  <si>
    <t>상품군</t>
  </si>
  <si>
    <t>실손</t>
  </si>
  <si>
    <t>전체</t>
    <phoneticPr fontId="1" type="noConversion"/>
  </si>
  <si>
    <t>실손필터</t>
    <phoneticPr fontId="1" type="noConversion"/>
  </si>
  <si>
    <t>지급년월</t>
  </si>
  <si>
    <t>적용일</t>
  </si>
  <si>
    <t>보험사</t>
  </si>
  <si>
    <t>계약종류</t>
  </si>
  <si>
    <t>지급구분</t>
  </si>
  <si>
    <t>총괄</t>
  </si>
  <si>
    <t>본부</t>
  </si>
  <si>
    <t>직할지점</t>
  </si>
  <si>
    <t>팀</t>
  </si>
  <si>
    <t>사원명</t>
  </si>
  <si>
    <t>FC코드</t>
  </si>
  <si>
    <t>표준상태</t>
  </si>
  <si>
    <t>상태</t>
  </si>
  <si>
    <t>상품명</t>
  </si>
  <si>
    <t>계약자명</t>
  </si>
  <si>
    <t>납입주기</t>
  </si>
  <si>
    <t>보장기간</t>
  </si>
  <si>
    <t>납입기간</t>
  </si>
  <si>
    <t>보험료</t>
  </si>
  <si>
    <t>원수사성적</t>
  </si>
  <si>
    <t>영수구분</t>
  </si>
  <si>
    <t>영수일자</t>
  </si>
  <si>
    <t>자동차_물건구분</t>
  </si>
  <si>
    <t>자동차_보험종목</t>
  </si>
  <si>
    <t>수수료계</t>
  </si>
  <si>
    <t>25</t>
  </si>
  <si>
    <t>유지</t>
  </si>
  <si>
    <t>MP</t>
  </si>
  <si>
    <t>MPKJ</t>
  </si>
  <si>
    <t>MPK033142001</t>
  </si>
  <si>
    <t>표계순</t>
  </si>
  <si>
    <t>정상</t>
  </si>
  <si>
    <t>계속</t>
  </si>
  <si>
    <t>무배당흥국화재실손의료보험(1804)</t>
  </si>
  <si>
    <t>전월</t>
  </si>
  <si>
    <t>MP피스토스</t>
  </si>
  <si>
    <t>피스1팀</t>
  </si>
  <si>
    <t>MPK033143014</t>
  </si>
  <si>
    <t>김승희</t>
  </si>
  <si>
    <t>무배당흥국화재유병력자실손의료보험</t>
  </si>
  <si>
    <t>MPK803173003</t>
  </si>
  <si>
    <t>안옥선</t>
  </si>
  <si>
    <t>68665430</t>
  </si>
  <si>
    <t>MPK803153016</t>
  </si>
  <si>
    <t>김진이</t>
  </si>
  <si>
    <t>68705179</t>
  </si>
  <si>
    <t>MPK033143013</t>
  </si>
  <si>
    <t>홍미숙</t>
  </si>
  <si>
    <t>43577O</t>
  </si>
  <si>
    <t>무배당실손의료비보장보험(갱신형)(HI1804,1810)</t>
  </si>
  <si>
    <t>무배당한화실손의료보험(갱신형)Ⅱ1804</t>
  </si>
  <si>
    <t>MPK803143003</t>
  </si>
  <si>
    <t>고경숙</t>
  </si>
  <si>
    <t>6388164</t>
  </si>
  <si>
    <t>MPK803153010</t>
  </si>
  <si>
    <t>신현애</t>
  </si>
  <si>
    <t>715037532</t>
  </si>
  <si>
    <t>(무)메리츠유병력자실손의료비보험1804</t>
  </si>
  <si>
    <t>714035189</t>
  </si>
  <si>
    <t>(무)메리츠실손의료비보험1804</t>
  </si>
  <si>
    <t>생보</t>
    <phoneticPr fontId="1" type="noConversion"/>
  </si>
  <si>
    <t>마감실적리스트(일반)-202006251153.xlsx</t>
  </si>
  <si>
    <t>마감실적리스트(자동차)-202006251153.xlsx</t>
  </si>
  <si>
    <t>마감실적리스트(장기)-202006251151.xlsx</t>
  </si>
  <si>
    <t>마감실적리스트(생명)-202006251217.xlsx</t>
  </si>
  <si>
    <t>[수입원장 파일 정보]-실손정산에서 사용</t>
    <phoneticPr fontId="1" type="noConversion"/>
  </si>
  <si>
    <t>MPK803183004</t>
  </si>
  <si>
    <t>황지영</t>
  </si>
  <si>
    <t>MPK803143002</t>
  </si>
  <si>
    <t>김선옥</t>
  </si>
  <si>
    <t>MPK033143006</t>
  </si>
  <si>
    <t>이복자</t>
  </si>
  <si>
    <t>MPK803163001</t>
  </si>
  <si>
    <t>변영미</t>
  </si>
  <si>
    <t>수금</t>
  </si>
  <si>
    <t>MP상동</t>
  </si>
  <si>
    <t>상동1팀</t>
  </si>
  <si>
    <t>보장성</t>
  </si>
  <si>
    <t>MP송내</t>
  </si>
  <si>
    <t>송내2팀</t>
  </si>
  <si>
    <t>MPK031143010</t>
  </si>
  <si>
    <t>강미경</t>
  </si>
  <si>
    <t>MPK806143004</t>
  </si>
  <si>
    <t>김묘정</t>
  </si>
  <si>
    <t>MPK031143016</t>
  </si>
  <si>
    <t>이경옥</t>
  </si>
  <si>
    <t>MPK806143003</t>
  </si>
  <si>
    <t>이현자</t>
  </si>
  <si>
    <t>MPK806143005</t>
  </si>
  <si>
    <t>임서윤</t>
  </si>
  <si>
    <t>MP성공</t>
  </si>
  <si>
    <t>성공1팀</t>
  </si>
  <si>
    <t>MPK806163002</t>
  </si>
  <si>
    <t>채연숙</t>
  </si>
  <si>
    <t>MPK806163003</t>
  </si>
  <si>
    <t>심정임</t>
  </si>
  <si>
    <t>MPK802153001</t>
  </si>
  <si>
    <t>조성임</t>
  </si>
  <si>
    <t>MPK682163001</t>
  </si>
  <si>
    <t>전용순</t>
  </si>
  <si>
    <t>김선미</t>
  </si>
  <si>
    <t>MPK031143011</t>
  </si>
  <si>
    <t>이병식</t>
  </si>
  <si>
    <t>MP메트로</t>
  </si>
  <si>
    <t>MPK101173004</t>
  </si>
  <si>
    <t>김지연</t>
  </si>
  <si>
    <t>MPK031142001</t>
  </si>
  <si>
    <t>김종민1</t>
  </si>
  <si>
    <t>MPK806163001</t>
  </si>
  <si>
    <t>백혜경</t>
  </si>
  <si>
    <t>이금주</t>
  </si>
  <si>
    <t>김영숙</t>
  </si>
  <si>
    <t>MPK803183003</t>
  </si>
  <si>
    <t>우월랑</t>
  </si>
  <si>
    <t>송내1팀</t>
  </si>
  <si>
    <t>MPK803153004</t>
  </si>
  <si>
    <t>오은정</t>
  </si>
  <si>
    <t>MPK806183001</t>
  </si>
  <si>
    <t>정인란</t>
  </si>
  <si>
    <t>신계약</t>
  </si>
  <si>
    <t>초회</t>
  </si>
  <si>
    <t>MPK806173001</t>
  </si>
  <si>
    <t>김은숙1</t>
  </si>
  <si>
    <t>MPK803183006</t>
  </si>
  <si>
    <t>이미선2</t>
  </si>
  <si>
    <t>MPK809173019</t>
  </si>
  <si>
    <t>송승환</t>
  </si>
  <si>
    <t>MPK809183019</t>
  </si>
  <si>
    <t>홍미정</t>
  </si>
  <si>
    <t>MPK809183020</t>
  </si>
  <si>
    <t>최선희</t>
  </si>
  <si>
    <t>MP가온</t>
  </si>
  <si>
    <t>가온1팀</t>
  </si>
  <si>
    <t>김윤심</t>
  </si>
  <si>
    <t>MPK101171005</t>
  </si>
  <si>
    <t>문홍주</t>
  </si>
  <si>
    <t>MPK802163004</t>
  </si>
  <si>
    <t>김미예1</t>
  </si>
  <si>
    <t>MPK806183002</t>
  </si>
  <si>
    <t>이여진</t>
  </si>
  <si>
    <t>이주연</t>
  </si>
  <si>
    <t>이은희</t>
  </si>
  <si>
    <t>김유림</t>
  </si>
  <si>
    <t>정연숙</t>
  </si>
  <si>
    <t>이상희</t>
  </si>
  <si>
    <t>환수</t>
  </si>
  <si>
    <t>MPK031143001</t>
  </si>
  <si>
    <t>이문희</t>
  </si>
  <si>
    <t>엠피라온</t>
  </si>
  <si>
    <t>MP라온</t>
  </si>
  <si>
    <t>MPK800172001</t>
  </si>
  <si>
    <t>박종철</t>
  </si>
  <si>
    <t>최순옥</t>
  </si>
  <si>
    <t>이정순</t>
  </si>
  <si>
    <t>MPK031143007</t>
  </si>
  <si>
    <t>이윤수</t>
  </si>
  <si>
    <t>재물성</t>
  </si>
  <si>
    <t>라온1팀</t>
  </si>
  <si>
    <t>이미숙</t>
  </si>
  <si>
    <t>이정희</t>
  </si>
  <si>
    <t>이종호</t>
  </si>
  <si>
    <t>윤옥숙</t>
  </si>
  <si>
    <t>MPK806143008</t>
  </si>
  <si>
    <t>방이지점</t>
  </si>
  <si>
    <t>방이1팀</t>
  </si>
  <si>
    <t>MPK805153001</t>
  </si>
  <si>
    <t>임혁민</t>
  </si>
  <si>
    <t>김미현</t>
  </si>
  <si>
    <t>저축성</t>
  </si>
  <si>
    <t>강민지</t>
  </si>
  <si>
    <t>실효</t>
  </si>
  <si>
    <t>MPK806143006</t>
  </si>
  <si>
    <t>손정심</t>
  </si>
  <si>
    <t>MPK803153014</t>
  </si>
  <si>
    <t>노윤표</t>
  </si>
  <si>
    <t>노영재</t>
  </si>
  <si>
    <t>MPK506153003</t>
  </si>
  <si>
    <t>이현주1</t>
  </si>
  <si>
    <t>MPK033143003</t>
  </si>
  <si>
    <t>전민희</t>
  </si>
  <si>
    <t>윤제열</t>
  </si>
  <si>
    <t>MPK803183001</t>
  </si>
  <si>
    <t>김상천</t>
  </si>
  <si>
    <t>감액</t>
  </si>
  <si>
    <t>권오익</t>
  </si>
  <si>
    <t>MP강동</t>
  </si>
  <si>
    <t>강동1팀</t>
  </si>
  <si>
    <t>MPK809173022</t>
  </si>
  <si>
    <t>MPK800161001</t>
  </si>
  <si>
    <t>MPK809183025</t>
  </si>
  <si>
    <t>이선화4</t>
  </si>
  <si>
    <t>MPK809183006</t>
  </si>
  <si>
    <t>허유지</t>
  </si>
  <si>
    <t>이복영</t>
  </si>
  <si>
    <t>임수경</t>
  </si>
  <si>
    <t>신동원</t>
  </si>
  <si>
    <t>강인숙</t>
  </si>
  <si>
    <t>조윤주</t>
  </si>
  <si>
    <t>MPK033143007</t>
  </si>
  <si>
    <t>박주영</t>
  </si>
  <si>
    <t>MPK034143003</t>
  </si>
  <si>
    <t>양서진</t>
  </si>
  <si>
    <t>김*</t>
  </si>
  <si>
    <t>장기계약관리</t>
  </si>
  <si>
    <t>일반모집</t>
  </si>
  <si>
    <t>손별</t>
  </si>
  <si>
    <t>강경구</t>
  </si>
  <si>
    <t>양승범</t>
  </si>
  <si>
    <t>박정아</t>
  </si>
  <si>
    <t>이현기</t>
  </si>
  <si>
    <t>박희정</t>
  </si>
  <si>
    <t>김홍래</t>
  </si>
  <si>
    <t>오발환</t>
  </si>
  <si>
    <t>MPK803153012</t>
  </si>
  <si>
    <t>MPK803153008</t>
  </si>
  <si>
    <t>최병규</t>
  </si>
  <si>
    <t>심미경</t>
  </si>
  <si>
    <t>한대순</t>
  </si>
  <si>
    <t>44658P</t>
  </si>
  <si>
    <t>박규배</t>
  </si>
  <si>
    <t>L01811662849</t>
  </si>
  <si>
    <t>황인</t>
  </si>
  <si>
    <t>L01810493939</t>
  </si>
  <si>
    <t>무배당유병력자실손의료비보장보험(갱신형)(HI1804)</t>
  </si>
  <si>
    <t>김민형</t>
  </si>
  <si>
    <t>L01811663315</t>
  </si>
  <si>
    <t>황선우</t>
  </si>
  <si>
    <t>김강자</t>
  </si>
  <si>
    <t>LA20184349620000</t>
  </si>
  <si>
    <t>LA20184349736000</t>
  </si>
  <si>
    <t>무배당참편한실손의료보험(간편고지,갱신형)</t>
  </si>
  <si>
    <t>LA20184162341000</t>
  </si>
  <si>
    <t>오연식</t>
  </si>
  <si>
    <t>LA20184235333000</t>
  </si>
  <si>
    <t>LA20184317160000</t>
  </si>
  <si>
    <t>LA20184180086000</t>
  </si>
  <si>
    <t>LA20184146973000</t>
  </si>
  <si>
    <t>김*례</t>
  </si>
  <si>
    <t>이*자</t>
  </si>
  <si>
    <t>최*자</t>
  </si>
  <si>
    <t>김*현</t>
  </si>
  <si>
    <t>김*연</t>
  </si>
  <si>
    <t>이*성</t>
  </si>
  <si>
    <t>신*옥</t>
  </si>
  <si>
    <t>최*선</t>
  </si>
  <si>
    <t>김*란</t>
  </si>
  <si>
    <t>임*남</t>
  </si>
  <si>
    <t>이*미</t>
  </si>
  <si>
    <t>이*영</t>
  </si>
  <si>
    <t>김*진</t>
  </si>
  <si>
    <t>최*희</t>
  </si>
  <si>
    <t>김*희</t>
  </si>
  <si>
    <t>박*규</t>
  </si>
  <si>
    <t>김*미</t>
  </si>
  <si>
    <t>장*숙</t>
  </si>
  <si>
    <t>김*영</t>
  </si>
  <si>
    <t>이*훈</t>
  </si>
  <si>
    <t>이*진</t>
  </si>
  <si>
    <t>김*화</t>
  </si>
  <si>
    <t>홍*정</t>
  </si>
  <si>
    <t>이*숙</t>
  </si>
  <si>
    <t>이*현</t>
  </si>
  <si>
    <t>김*찬</t>
  </si>
  <si>
    <t>조*정</t>
  </si>
  <si>
    <t>김*훈</t>
  </si>
  <si>
    <t>김*철</t>
  </si>
  <si>
    <t>김*주</t>
  </si>
  <si>
    <t>이*옥</t>
  </si>
  <si>
    <t>이*주</t>
  </si>
  <si>
    <t>최*실</t>
  </si>
  <si>
    <t>박*순</t>
  </si>
  <si>
    <t>김*선</t>
  </si>
  <si>
    <t>김*자</t>
  </si>
  <si>
    <t>김*순</t>
  </si>
  <si>
    <t>정*인</t>
  </si>
  <si>
    <t>박*현</t>
  </si>
  <si>
    <t>이*애</t>
  </si>
  <si>
    <t>정*숙</t>
  </si>
  <si>
    <t>강*희</t>
  </si>
  <si>
    <t>이*희</t>
  </si>
  <si>
    <t>박*경</t>
  </si>
  <si>
    <t>정*열</t>
  </si>
  <si>
    <t>김*민</t>
  </si>
  <si>
    <t>김*혜</t>
  </si>
  <si>
    <t>최*숙</t>
  </si>
  <si>
    <t>조*영</t>
  </si>
  <si>
    <t>김*경</t>
  </si>
  <si>
    <t>윤*숙</t>
  </si>
  <si>
    <t>박*화</t>
  </si>
  <si>
    <t>박*희</t>
  </si>
  <si>
    <t>김*정</t>
  </si>
  <si>
    <t>김*숙</t>
  </si>
  <si>
    <t>김*호</t>
  </si>
  <si>
    <t>정*희</t>
  </si>
  <si>
    <t>김*하</t>
  </si>
  <si>
    <t>박*숙</t>
  </si>
  <si>
    <t>이*민</t>
  </si>
  <si>
    <t>김*옥</t>
  </si>
  <si>
    <t>이*순</t>
  </si>
  <si>
    <t>하*자</t>
  </si>
  <si>
    <t>한*숙</t>
  </si>
  <si>
    <t>이*인</t>
  </si>
  <si>
    <t>이*은</t>
  </si>
  <si>
    <t>안*선</t>
  </si>
  <si>
    <t>장*희</t>
  </si>
  <si>
    <t>배*숙</t>
  </si>
  <si>
    <t>이*리</t>
  </si>
  <si>
    <t>김*라</t>
  </si>
  <si>
    <t>최*경</t>
  </si>
  <si>
    <t>이*호</t>
  </si>
  <si>
    <t>임*정</t>
  </si>
  <si>
    <t>박*연</t>
  </si>
  <si>
    <t>이*선</t>
  </si>
  <si>
    <t>김*임</t>
  </si>
  <si>
    <t>서*희</t>
  </si>
  <si>
    <t>조*순</t>
  </si>
  <si>
    <t>최*원</t>
  </si>
  <si>
    <t>김*학</t>
  </si>
  <si>
    <t>송*숙</t>
  </si>
  <si>
    <t>박*식</t>
  </si>
  <si>
    <t>김*이</t>
  </si>
  <si>
    <t>김*범</t>
  </si>
  <si>
    <t>홍*영</t>
  </si>
  <si>
    <t>이*임</t>
  </si>
  <si>
    <t>임*미</t>
  </si>
  <si>
    <t>정*영</t>
  </si>
  <si>
    <t>김*분</t>
  </si>
  <si>
    <t>이*정</t>
  </si>
  <si>
    <t>박*옥</t>
  </si>
  <si>
    <t>정*환</t>
  </si>
  <si>
    <t>박*원</t>
  </si>
  <si>
    <t>임*순</t>
  </si>
  <si>
    <t>유*순</t>
  </si>
  <si>
    <t>박*진</t>
  </si>
  <si>
    <t>한*자</t>
  </si>
  <si>
    <t>강*영</t>
  </si>
  <si>
    <t>황*용</t>
  </si>
  <si>
    <t>김*한</t>
  </si>
  <si>
    <t>이*원</t>
  </si>
  <si>
    <t>임*숙</t>
  </si>
  <si>
    <t>오*영</t>
  </si>
  <si>
    <t>박*선</t>
  </si>
  <si>
    <t>강*정</t>
  </si>
  <si>
    <t>강*구</t>
  </si>
  <si>
    <t>한승묘</t>
  </si>
  <si>
    <t>(무)KB손보간편가입실손의료비보장보험(18.04)</t>
  </si>
  <si>
    <t>배*정</t>
  </si>
  <si>
    <t>한*정</t>
  </si>
  <si>
    <t>윤*자</t>
  </si>
  <si>
    <t>김병록</t>
  </si>
  <si>
    <t>조길현</t>
  </si>
  <si>
    <t>안희정</t>
  </si>
  <si>
    <t>백용선</t>
  </si>
  <si>
    <t>일반환수</t>
  </si>
  <si>
    <t>장기계약관리환수</t>
  </si>
  <si>
    <t>선지급유지</t>
  </si>
  <si>
    <t>선지급유지환수</t>
  </si>
  <si>
    <t>일반성과비례</t>
  </si>
  <si>
    <t>(무)NH다솜플러스종합보험</t>
  </si>
  <si>
    <t>F0206914</t>
  </si>
  <si>
    <t>임*산</t>
  </si>
  <si>
    <t>F0207250</t>
  </si>
  <si>
    <t>(무) NH다솜플러스종합보험(실손1601)</t>
  </si>
  <si>
    <t>윤*원</t>
  </si>
  <si>
    <t>F0206790</t>
  </si>
  <si>
    <t>F0210279</t>
  </si>
  <si>
    <t>장*용</t>
  </si>
  <si>
    <t>F0202266</t>
  </si>
  <si>
    <t>(무)해피하우스저축보험1501</t>
  </si>
  <si>
    <t>윤석자</t>
  </si>
  <si>
    <t>F0233026</t>
  </si>
  <si>
    <t>F0386524</t>
  </si>
  <si>
    <t>F0206736</t>
  </si>
  <si>
    <t>원*진</t>
  </si>
  <si>
    <t>(무)헤아림시니어암보험1501</t>
  </si>
  <si>
    <t>이*복</t>
  </si>
  <si>
    <t>F0261956</t>
  </si>
  <si>
    <t>F0224938</t>
  </si>
  <si>
    <t>F0380715</t>
  </si>
  <si>
    <t>전*순</t>
  </si>
  <si>
    <t>F0207298</t>
  </si>
  <si>
    <t>손*심</t>
  </si>
  <si>
    <t>F0223218</t>
  </si>
  <si>
    <t>유*임</t>
  </si>
  <si>
    <t>F0202294</t>
  </si>
  <si>
    <t>주*준</t>
  </si>
  <si>
    <t>F0208466</t>
  </si>
  <si>
    <t>박*기</t>
  </si>
  <si>
    <t>임*주</t>
  </si>
  <si>
    <t>한*순</t>
  </si>
  <si>
    <t>박*혜</t>
  </si>
  <si>
    <t>F0376297</t>
  </si>
  <si>
    <t>F0206739</t>
  </si>
  <si>
    <t>F0376279</t>
  </si>
  <si>
    <t>F0386502</t>
  </si>
  <si>
    <t>F0317208</t>
  </si>
  <si>
    <t>F0334660</t>
  </si>
  <si>
    <t>이*례</t>
  </si>
  <si>
    <t>F0208478</t>
  </si>
  <si>
    <t>F0203665</t>
  </si>
  <si>
    <t>(무)해피하우스보장보험1501</t>
  </si>
  <si>
    <t>한*희</t>
  </si>
  <si>
    <t>F0360109</t>
  </si>
  <si>
    <t>F0286173</t>
  </si>
  <si>
    <t>최*남</t>
  </si>
  <si>
    <t>F0363529</t>
  </si>
  <si>
    <t>F0333861</t>
  </si>
  <si>
    <t>F0286175</t>
  </si>
  <si>
    <t>(무)헤아림시니어암보험1804</t>
  </si>
  <si>
    <t>(무)NH가성비굿건강보험[1종:해지환급금미지급형]</t>
  </si>
  <si>
    <t>손*희</t>
  </si>
  <si>
    <t>문*자</t>
  </si>
  <si>
    <t>(무)헤아림실손의료비보험1804</t>
  </si>
  <si>
    <t>(무)NH계속지켜주는암보험[2종:갱신형]1901</t>
  </si>
  <si>
    <t>(무)NH가성비굿건강보험1901</t>
  </si>
  <si>
    <t>F0356139</t>
  </si>
  <si>
    <t>한*영</t>
  </si>
  <si>
    <t>F0306803</t>
  </si>
  <si>
    <t>(무)NH프리미어운전자보험1804</t>
  </si>
  <si>
    <t>JIANG*INGYU</t>
  </si>
  <si>
    <t>배*진</t>
  </si>
  <si>
    <t>안*숙</t>
  </si>
  <si>
    <t>서*주</t>
  </si>
  <si>
    <t>임*기</t>
  </si>
  <si>
    <t>F0335485</t>
  </si>
  <si>
    <t>(무) NH계속지켜주는암보험[1종:비갱신형]</t>
  </si>
  <si>
    <t>추*순</t>
  </si>
  <si>
    <t>민*규</t>
  </si>
  <si>
    <t>김*나</t>
  </si>
  <si>
    <t>F0286187</t>
  </si>
  <si>
    <t>(무)더(The)드리는건강보험[3종:암납입면제형(순수형)]1804</t>
  </si>
  <si>
    <t>(무)New리치하우스가정종합보험1804</t>
  </si>
  <si>
    <t>권*진</t>
  </si>
  <si>
    <t>전*선</t>
  </si>
  <si>
    <t>유*희</t>
  </si>
  <si>
    <t>송*희</t>
  </si>
  <si>
    <t>F0209466</t>
  </si>
  <si>
    <t>우*국</t>
  </si>
  <si>
    <t>우*영</t>
  </si>
  <si>
    <t>정*복</t>
  </si>
  <si>
    <t>함*현</t>
  </si>
  <si>
    <t>(무)헤아림시니어암보험1901</t>
  </si>
  <si>
    <t>(무)헤아림실손의료비보험1901</t>
  </si>
  <si>
    <t>임*빈</t>
  </si>
  <si>
    <t>김*열</t>
  </si>
  <si>
    <t>F0203508</t>
  </si>
  <si>
    <t>김*태</t>
  </si>
  <si>
    <t>진*혁</t>
  </si>
  <si>
    <t>장*수</t>
  </si>
  <si>
    <t>허*민</t>
  </si>
  <si>
    <t>박*준</t>
  </si>
  <si>
    <t>F0326090</t>
  </si>
  <si>
    <t>장*진</t>
  </si>
  <si>
    <t>(무)간편가입100세시대건강보험(세만기형)[2종:일반심사형]1804</t>
  </si>
  <si>
    <t>이*길</t>
  </si>
  <si>
    <t>구*석</t>
  </si>
  <si>
    <t>모*순</t>
  </si>
  <si>
    <t>이*덕</t>
  </si>
  <si>
    <t>(무)NH다솜플러스종합보험1804</t>
  </si>
  <si>
    <t>조*석</t>
  </si>
  <si>
    <t>F0362072</t>
  </si>
  <si>
    <t>고*숙</t>
  </si>
  <si>
    <t>김*복</t>
  </si>
  <si>
    <t>F0222836</t>
  </si>
  <si>
    <t>(무)NH치매중풍보험[1종:비갱신형]</t>
  </si>
  <si>
    <t>이*형</t>
  </si>
  <si>
    <t>(무)NH다솜플러스종합보험1604</t>
  </si>
  <si>
    <t>(무)NH프리미어운전자보험</t>
  </si>
  <si>
    <t>(무)NH다솜플러스종합보험1604(실손1701)</t>
  </si>
  <si>
    <t>(무)가정종합보험리치하우스1604</t>
  </si>
  <si>
    <t>(무)NH다솜플러스종합보험1704</t>
  </si>
  <si>
    <t>(무)헤아림시니어암보험1708</t>
  </si>
  <si>
    <t>엄*옥</t>
  </si>
  <si>
    <t>고*님</t>
  </si>
  <si>
    <t>F0357006</t>
  </si>
  <si>
    <t>하*현</t>
  </si>
  <si>
    <t>(무)헤아림시니어암보험1604</t>
  </si>
  <si>
    <t>전*결</t>
  </si>
  <si>
    <t>채*남</t>
  </si>
  <si>
    <t>(무)헤아림시니어암보험1704</t>
  </si>
  <si>
    <t>(무)간편가입100세시대건강보험(갱신형)[1종:간편심사형]</t>
  </si>
  <si>
    <t>F0205681</t>
  </si>
  <si>
    <t>진*람</t>
  </si>
  <si>
    <t>유*형</t>
  </si>
  <si>
    <t>성*숙</t>
  </si>
  <si>
    <t>김*엽</t>
  </si>
  <si>
    <t>이*지</t>
  </si>
  <si>
    <t>김*실</t>
  </si>
  <si>
    <t>염*순</t>
  </si>
  <si>
    <t>이*욱</t>
  </si>
  <si>
    <t>노*환</t>
  </si>
  <si>
    <t>양*은</t>
  </si>
  <si>
    <t>유*달</t>
  </si>
  <si>
    <t>설*빈</t>
  </si>
  <si>
    <t>HAN CH*NGHUA</t>
  </si>
  <si>
    <t>(무)꿈모아어린이보험1604(실손1701)</t>
  </si>
  <si>
    <t>(무)NH지킴이재산종합보험</t>
  </si>
  <si>
    <t>문*순</t>
  </si>
  <si>
    <t>길*선</t>
  </si>
  <si>
    <t>F0346432</t>
  </si>
  <si>
    <t>F0270731</t>
  </si>
  <si>
    <t>정*문</t>
  </si>
  <si>
    <t>서주영</t>
  </si>
  <si>
    <t>김*운</t>
  </si>
  <si>
    <t>김*신</t>
  </si>
  <si>
    <t>F0256751</t>
  </si>
  <si>
    <t>이*규</t>
  </si>
  <si>
    <t>최*규</t>
  </si>
  <si>
    <t>(무)더(The)드리는건강보험[3종:암납입면제형(순수형)]1704</t>
  </si>
  <si>
    <t>(무)헤아림시니어암보험1704(1707)</t>
  </si>
  <si>
    <t>양*인</t>
  </si>
  <si>
    <t>진*진</t>
  </si>
  <si>
    <t>신*석</t>
  </si>
  <si>
    <t>함*운</t>
  </si>
  <si>
    <t>유*덕</t>
  </si>
  <si>
    <t>(무)헤아림NH다솜저축보험[1종:저축플랜]1801</t>
  </si>
  <si>
    <t>최*조</t>
  </si>
  <si>
    <t>(무)헤아림NH다솜건강보험1501(실손1601)</t>
  </si>
  <si>
    <t>최*지</t>
  </si>
  <si>
    <t>원*정</t>
  </si>
  <si>
    <t>표*순</t>
  </si>
  <si>
    <t>성*희</t>
  </si>
  <si>
    <t>원*애</t>
  </si>
  <si>
    <t>지*태</t>
  </si>
  <si>
    <t>변*섭</t>
  </si>
  <si>
    <t>조*전</t>
  </si>
  <si>
    <t>변*현</t>
  </si>
  <si>
    <t>석*현</t>
  </si>
  <si>
    <t>(무)더(The)드리는건강보험[1종:3대질병납입면제형(순수형)]1704</t>
  </si>
  <si>
    <t>김*권</t>
  </si>
  <si>
    <t>엄*국</t>
  </si>
  <si>
    <t>(무)간편가입100세시대건강보험(갱신형)[1종:간편심사형]1804</t>
  </si>
  <si>
    <t>김*동</t>
  </si>
  <si>
    <t>장*순</t>
  </si>
  <si>
    <t>최*야</t>
  </si>
  <si>
    <t>서*옥</t>
  </si>
  <si>
    <t>이*이</t>
  </si>
  <si>
    <t>강*우</t>
  </si>
  <si>
    <t>강*혜</t>
  </si>
  <si>
    <t>원*희</t>
  </si>
  <si>
    <t>이*혜</t>
  </si>
  <si>
    <t>성*모</t>
  </si>
  <si>
    <t>(무)NH지킴이재산종합보험1710</t>
  </si>
  <si>
    <t>남*형</t>
  </si>
  <si>
    <t>김*녀</t>
  </si>
  <si>
    <t>방*림</t>
  </si>
  <si>
    <t>(무)가정종합보험리치하우스1710</t>
  </si>
  <si>
    <t>안*정</t>
  </si>
  <si>
    <t>가*희</t>
  </si>
  <si>
    <t>표*옥</t>
  </si>
  <si>
    <t>표*상</t>
  </si>
  <si>
    <t>손*례</t>
  </si>
  <si>
    <t>F0226453</t>
  </si>
  <si>
    <t>(무)NH행복실손의료보험1701</t>
  </si>
  <si>
    <t>김*구</t>
  </si>
  <si>
    <t>오*윤</t>
  </si>
  <si>
    <t>조*연</t>
  </si>
  <si>
    <t>강*태</t>
  </si>
  <si>
    <t>문*금</t>
  </si>
  <si>
    <t>강*주</t>
  </si>
  <si>
    <t>선*철</t>
  </si>
  <si>
    <t>공*현</t>
  </si>
  <si>
    <t>차*진</t>
  </si>
  <si>
    <t>박*언</t>
  </si>
  <si>
    <t>추*란</t>
  </si>
  <si>
    <t>황*애</t>
  </si>
  <si>
    <t>김*심</t>
  </si>
  <si>
    <t>(무)꿈모아어린이보험1604</t>
  </si>
  <si>
    <t>김*솔</t>
  </si>
  <si>
    <t>(무)내사업헤아림종합프로젝트보험1604</t>
  </si>
  <si>
    <t>(무)더(The)드리는건강보험[3종:암납입면제형(순수형)]1604</t>
  </si>
  <si>
    <t>정*웅</t>
  </si>
  <si>
    <t>양*진</t>
  </si>
  <si>
    <t>강*원</t>
  </si>
  <si>
    <t>진*영</t>
  </si>
  <si>
    <t>임*경</t>
  </si>
  <si>
    <t>손*옥</t>
  </si>
  <si>
    <t>권재호</t>
  </si>
  <si>
    <t>김*림</t>
  </si>
  <si>
    <t>(무)NH내사업파트너재산종합보험1710</t>
  </si>
  <si>
    <t>성*욱</t>
  </si>
  <si>
    <t>배*옥</t>
  </si>
  <si>
    <t>조*임</t>
  </si>
  <si>
    <t>송*화</t>
  </si>
  <si>
    <t>F0200548</t>
  </si>
  <si>
    <t>(무)New리치하우스가정종합보험</t>
  </si>
  <si>
    <t>이*식</t>
  </si>
  <si>
    <t>심*임</t>
  </si>
  <si>
    <t>김*온</t>
  </si>
  <si>
    <t>F0201484</t>
  </si>
  <si>
    <t>안*경</t>
  </si>
  <si>
    <t>(무)NH프리미어운전자보험1704</t>
  </si>
  <si>
    <t>강*진</t>
  </si>
  <si>
    <t>안*례</t>
  </si>
  <si>
    <t>프라임</t>
  </si>
  <si>
    <t>강동2팀</t>
  </si>
  <si>
    <t>MP방이</t>
  </si>
  <si>
    <t>MP시흥</t>
  </si>
  <si>
    <t>강동3팀</t>
  </si>
  <si>
    <t>20180410</t>
  </si>
  <si>
    <t>20180424</t>
  </si>
  <si>
    <t>68677761</t>
  </si>
  <si>
    <t>68484714</t>
  </si>
  <si>
    <t>20180430</t>
  </si>
  <si>
    <t>4612075</t>
  </si>
  <si>
    <t>(무)NH내사업파트너재산종합보험</t>
  </si>
  <si>
    <t>F0204863</t>
  </si>
  <si>
    <t>맹*섭</t>
  </si>
  <si>
    <t>이*윤</t>
  </si>
  <si>
    <t>안*용</t>
  </si>
  <si>
    <t>방*영</t>
  </si>
  <si>
    <t>(무)NH치매중풍보험[1종:비갱신형]1901</t>
  </si>
  <si>
    <t>조*상</t>
  </si>
  <si>
    <t>202004</t>
  </si>
  <si>
    <t>41831346180000</t>
  </si>
  <si>
    <t>20200331</t>
  </si>
  <si>
    <t>41831417690000</t>
  </si>
  <si>
    <t>20180418</t>
  </si>
  <si>
    <t>20200316</t>
  </si>
  <si>
    <t>41831499430000</t>
  </si>
  <si>
    <t>68508868</t>
  </si>
  <si>
    <t>20180427</t>
  </si>
  <si>
    <t>41831505250000</t>
  </si>
  <si>
    <t>68542282</t>
  </si>
  <si>
    <t>20200325</t>
  </si>
  <si>
    <t>41831529120000</t>
  </si>
  <si>
    <t>20200320</t>
  </si>
  <si>
    <t>41831307140000</t>
  </si>
  <si>
    <t>20180405</t>
  </si>
  <si>
    <t>41831433380000</t>
  </si>
  <si>
    <t>20180419</t>
  </si>
  <si>
    <t>41831535450000</t>
  </si>
  <si>
    <t>41831379010000</t>
  </si>
  <si>
    <t>20180413</t>
  </si>
  <si>
    <t>20200310</t>
  </si>
  <si>
    <t>41831336770000</t>
  </si>
  <si>
    <t>20180409</t>
  </si>
  <si>
    <t>20180417</t>
  </si>
  <si>
    <t>4596155</t>
  </si>
  <si>
    <t>20180412</t>
  </si>
  <si>
    <t>20200323</t>
  </si>
  <si>
    <t>4582619</t>
  </si>
  <si>
    <t>20200305</t>
  </si>
  <si>
    <t>20180411</t>
  </si>
  <si>
    <t>20180426</t>
  </si>
  <si>
    <t>20181860688</t>
  </si>
  <si>
    <t>20200309</t>
  </si>
  <si>
    <t>610881548</t>
  </si>
  <si>
    <t>610915243</t>
  </si>
  <si>
    <t>714050558</t>
  </si>
  <si>
    <t>610918412</t>
  </si>
  <si>
    <t>6108820306</t>
  </si>
  <si>
    <t>6108825472</t>
  </si>
  <si>
    <t>3190420455211</t>
  </si>
  <si>
    <t>(무)행복100세종합보험1604</t>
  </si>
  <si>
    <t>F0246948</t>
  </si>
  <si>
    <t>박*임</t>
  </si>
  <si>
    <t>(무) NH계속지켜주는암보험[2종:갱신형]</t>
  </si>
  <si>
    <t>문*식</t>
  </si>
  <si>
    <t>조*현</t>
  </si>
  <si>
    <t>문*임</t>
  </si>
  <si>
    <t>임*윤</t>
  </si>
  <si>
    <t>F0320115</t>
  </si>
  <si>
    <t>F0363577</t>
  </si>
  <si>
    <t>F0377955</t>
  </si>
  <si>
    <t>지*실</t>
  </si>
  <si>
    <t>최*덕</t>
  </si>
  <si>
    <t>(무)꿈모아어린이보험1704</t>
  </si>
  <si>
    <t>홍*윤</t>
  </si>
  <si>
    <t>진*기</t>
  </si>
  <si>
    <t>진*필</t>
  </si>
  <si>
    <t>윤*열</t>
  </si>
  <si>
    <t>진*연</t>
  </si>
  <si>
    <t>나*진</t>
  </si>
  <si>
    <t>장*아</t>
  </si>
  <si>
    <t>김*해</t>
  </si>
  <si>
    <t>안*준</t>
  </si>
  <si>
    <t>F0205754</t>
  </si>
  <si>
    <t>(무)헤아림NH다솜저축보험[1종:저축플랜]1604</t>
  </si>
  <si>
    <t>F0359140</t>
  </si>
  <si>
    <t>노희원</t>
  </si>
  <si>
    <t>한*수</t>
  </si>
  <si>
    <t>(무)더(The)드리는건강보험[1종:3대질병납입면제형(순수형)]1604</t>
  </si>
  <si>
    <t>F0345033</t>
  </si>
  <si>
    <t>F0210305</t>
  </si>
  <si>
    <t>F0205350</t>
  </si>
  <si>
    <t>정*이</t>
  </si>
  <si>
    <t>F0243537</t>
  </si>
  <si>
    <t>F0236932</t>
  </si>
  <si>
    <t>F0283924</t>
  </si>
  <si>
    <t>허성천</t>
  </si>
  <si>
    <t>장*연</t>
  </si>
  <si>
    <t>조*이</t>
  </si>
  <si>
    <t>진*일</t>
  </si>
  <si>
    <t>강*기</t>
  </si>
  <si>
    <t>(무)헤아림스마트상해보험1604</t>
  </si>
  <si>
    <t>&gt;=13</t>
    <phoneticPr fontId="1" type="noConversion"/>
  </si>
  <si>
    <t>&lt;=24</t>
    <phoneticPr fontId="1" type="noConversion"/>
  </si>
  <si>
    <t>납입회차</t>
    <phoneticPr fontId="1" type="noConversion"/>
  </si>
  <si>
    <t>수수료계T</t>
    <phoneticPr fontId="1" type="noConversion"/>
  </si>
  <si>
    <t>E:\글로벌백업(180329)\04.수수료작업\202006수수료\</t>
  </si>
  <si>
    <t>마감실적리스트(일반)-202007241356.xlsx</t>
  </si>
  <si>
    <t>마감실적리스트(자동차)-202007241356.xlsx</t>
  </si>
  <si>
    <t>마감실적리스트(장기)-202007241348.xlsx</t>
  </si>
  <si>
    <t>마감실적리스트(생명)-202007241343.xlsx</t>
  </si>
  <si>
    <t>E:\글로벌백업(180329)\04.수수료작업\202007수수료\</t>
  </si>
  <si>
    <t>마감실적리스트(생명)-202008252102.xlsx</t>
  </si>
  <si>
    <t>생보</t>
    <phoneticPr fontId="1" type="noConversion"/>
  </si>
  <si>
    <t>마감실적리스트(일반)-202008252104.xlsx</t>
  </si>
  <si>
    <t>마감실적리스트(자동차)-202008252103.xlsx</t>
  </si>
  <si>
    <t>마감실적리스트(장기)-202008260859.xlsx</t>
  </si>
  <si>
    <t>E:\글로벌백업(180329)\04.수수료작업\202008수수료\</t>
  </si>
  <si>
    <t>마감실적리스트(생명)-202009241224.xlsx</t>
  </si>
  <si>
    <t>마감실적리스트(일반)-202009241232.xlsx</t>
  </si>
  <si>
    <t>마감실적리스트(자동차)-202009241234.xlsx</t>
  </si>
  <si>
    <t>마감실적리스트(장기)-202009261800.xlsx</t>
  </si>
  <si>
    <t>E:\글로벌백업(180329)\04.수수료작업\202009수수료\</t>
  </si>
  <si>
    <t>마감실적리스트(장기)-202010261221.xlsx</t>
  </si>
  <si>
    <t>마감실적리스트(일반)-202010261217.xlsx</t>
  </si>
  <si>
    <t>마감실적리스트(자동차)-202010261217.xlsx</t>
  </si>
  <si>
    <t>마감실적리스트(생명)-202010261216.xlsx</t>
  </si>
  <si>
    <t>생보</t>
    <phoneticPr fontId="1" type="noConversion"/>
  </si>
  <si>
    <t>E:\글로벌백업(180329)\04.수수료작업\202010수수료\</t>
  </si>
  <si>
    <t>마감실적리스트(일반)-202011260536.xlsx</t>
  </si>
  <si>
    <t>마감실적리스트(자동차)-202011260536.xlsx</t>
  </si>
  <si>
    <t>생보</t>
    <phoneticPr fontId="1" type="noConversion"/>
  </si>
  <si>
    <t>마감실적리스트(생명)-202011261221.xlsx</t>
  </si>
  <si>
    <t>마감실적리스트(장기)-202011261225.xlsx</t>
  </si>
  <si>
    <t>E:\글로벌백업(180329)\04.수수료작업\202011수수료\</t>
  </si>
  <si>
    <t>마감실적리스트(장기)-202012231837.xlsx</t>
  </si>
  <si>
    <t>생보</t>
    <phoneticPr fontId="1" type="noConversion"/>
  </si>
  <si>
    <t>마감실적리스트(자동차)-202012231804.xlsx</t>
  </si>
  <si>
    <t>마감실적리스트(일반)-202012231804.xlsx</t>
  </si>
  <si>
    <t>마감실적리스트(생명)-202012250850.xlsx</t>
  </si>
  <si>
    <t>마감실적리스트(일반)-202101261226.xlsx</t>
  </si>
  <si>
    <t>마감실적리스트(자동차)-202101261225.xlsx</t>
  </si>
  <si>
    <t>마감실적리스트(생명)-202101261223.xlsx</t>
  </si>
  <si>
    <t>마감실적리스트(장기)-202101261220.xlsx</t>
  </si>
  <si>
    <t>E:\글로벌백업(180329)\04.수수료작업\202012수수료\</t>
  </si>
  <si>
    <t>생보</t>
    <phoneticPr fontId="1" type="noConversion"/>
  </si>
  <si>
    <t>E:\글로벌백업(180329)\04.수수료작업\202101수수료\</t>
  </si>
  <si>
    <t>마감실적리스트(생명)-202102251503.xlsx</t>
  </si>
  <si>
    <t>생보</t>
    <phoneticPr fontId="1" type="noConversion"/>
  </si>
  <si>
    <t>마감실적리스트(일반)-202102251522.xlsx</t>
  </si>
  <si>
    <t>마감실적리스트(자동차)-202102251522.xlsx</t>
  </si>
  <si>
    <t>마감실적리스트(장기)-202102251520.xlsx</t>
  </si>
  <si>
    <t>E:\글로벌백업(180329)\04.수수료작업\202102수수료\</t>
  </si>
  <si>
    <t>마감실적리스트(생명)-202103260449.xlsx</t>
  </si>
  <si>
    <t>생보</t>
    <phoneticPr fontId="1" type="noConversion"/>
  </si>
  <si>
    <t>마감실적리스트(일반)-202103260525.xlsx</t>
  </si>
  <si>
    <t>마감실적리스트(자동차)-202103260525.xlsx</t>
  </si>
  <si>
    <t>마감실적리스트(장기)-202103260523.xlsx</t>
  </si>
  <si>
    <t>생보</t>
  </si>
  <si>
    <t>송내_성공_GOMS</t>
    <phoneticPr fontId="1" type="noConversion"/>
  </si>
  <si>
    <t>파일</t>
    <phoneticPr fontId="1" type="noConversion"/>
  </si>
  <si>
    <t>D:\글로벌백업(180329)\04.수수료작업\202103수수료\</t>
  </si>
  <si>
    <t>글래드송내</t>
    <phoneticPr fontId="1" type="noConversion"/>
  </si>
  <si>
    <t>글래드성공</t>
    <phoneticPr fontId="1" type="noConversion"/>
  </si>
  <si>
    <t>글래드의정부</t>
    <phoneticPr fontId="1" type="noConversion"/>
  </si>
  <si>
    <t>글래드</t>
    <phoneticPr fontId="1" type="noConversion"/>
  </si>
  <si>
    <t>글래드가온</t>
    <phoneticPr fontId="1" type="noConversion"/>
  </si>
  <si>
    <t>글래드가온(피스토스) 수금정산</t>
    <phoneticPr fontId="1" type="noConversion"/>
  </si>
  <si>
    <t>글래드가온 수금정산</t>
    <phoneticPr fontId="1" type="noConversion"/>
  </si>
  <si>
    <t>글래드가온(피스토스) 수금정산</t>
    <phoneticPr fontId="1" type="noConversion"/>
  </si>
  <si>
    <t>글래드가온 수금정산</t>
    <phoneticPr fontId="1" type="noConversion"/>
  </si>
  <si>
    <t>글래드가온(피스토스) 수금정산</t>
    <phoneticPr fontId="1" type="noConversion"/>
  </si>
  <si>
    <t>글래드가온</t>
    <phoneticPr fontId="1" type="noConversion"/>
  </si>
  <si>
    <t>마감실적리스트(생명)-202104261616.xlsx</t>
  </si>
  <si>
    <t>생보</t>
    <phoneticPr fontId="1" type="noConversion"/>
  </si>
  <si>
    <t>마감실적리스트(일반)-202104261618.xlsx</t>
  </si>
  <si>
    <t>마감실적리스트(자동차)-202104261618.xlsx</t>
  </si>
  <si>
    <t>마감실적리스트(장기)-202104261635.xlsx</t>
  </si>
  <si>
    <t>글래드상동_수입원장정산</t>
    <phoneticPr fontId="1" type="noConversion"/>
  </si>
  <si>
    <t>글래드조은_수입원장정산</t>
    <phoneticPr fontId="1" type="noConversion"/>
  </si>
  <si>
    <t>글래드경기_수입원장정산</t>
    <phoneticPr fontId="1" type="noConversion"/>
  </si>
  <si>
    <t>글래드피스토스</t>
  </si>
  <si>
    <t>글래드경기</t>
  </si>
  <si>
    <t>글래드제이엔제이</t>
  </si>
  <si>
    <t>글래드프라임</t>
  </si>
  <si>
    <t>글래드송내</t>
  </si>
  <si>
    <t>글래드성공</t>
  </si>
  <si>
    <t>글래드여주</t>
  </si>
  <si>
    <t>글래드가온</t>
  </si>
  <si>
    <t>글래드레전드</t>
  </si>
  <si>
    <t>글래드의정부</t>
  </si>
  <si>
    <t>글래드</t>
  </si>
  <si>
    <t>글래드상동_수입원장정산</t>
    <phoneticPr fontId="1" type="noConversion"/>
  </si>
  <si>
    <t>글래드제이엔제이_수입원장정산</t>
    <phoneticPr fontId="1" type="noConversion"/>
  </si>
  <si>
    <t>글래드조은_수입원장정산</t>
    <phoneticPr fontId="1" type="noConversion"/>
  </si>
  <si>
    <t>글래드경기_수입원장정산</t>
    <phoneticPr fontId="1" type="noConversion"/>
  </si>
  <si>
    <t>글래드씨티엠_수입원장정산</t>
    <phoneticPr fontId="1" type="noConversion"/>
  </si>
  <si>
    <t>D:\글로벌백업(180329)\04.수수료작업\202104수수료\</t>
  </si>
  <si>
    <t>글래드상동</t>
  </si>
  <si>
    <t>글래드조은</t>
  </si>
  <si>
    <t>글래드방이</t>
  </si>
  <si>
    <t>글래드신중동</t>
  </si>
  <si>
    <t>글래드시흥</t>
  </si>
  <si>
    <t>글래드가온 수금정산</t>
  </si>
  <si>
    <t>글래드가온(피스토스) 수금정산</t>
  </si>
  <si>
    <t>글래드씨티엠_수입원장정산</t>
  </si>
  <si>
    <t>글래드씨티엠</t>
  </si>
  <si>
    <t>글래드</t>
    <phoneticPr fontId="1" type="noConversion"/>
  </si>
  <si>
    <t>글래드→송내(김묘정)지점변경</t>
    <phoneticPr fontId="1" type="noConversion"/>
  </si>
  <si>
    <t>마감실적리스트(생명)-202105261612.xlsx</t>
  </si>
  <si>
    <t>생보</t>
    <phoneticPr fontId="1" type="noConversion"/>
  </si>
  <si>
    <t>마감실적리스트(일반)-202105261618.xlsx</t>
  </si>
  <si>
    <t>마감실적리스트(자동차)-202105261618.xlsx</t>
  </si>
  <si>
    <t>마감실적리스트(장기)-202105261605.xlsx</t>
  </si>
  <si>
    <t>김대곤</t>
  </si>
  <si>
    <t>GLD809183012</t>
  </si>
  <si>
    <t>박윤희</t>
  </si>
  <si>
    <t>GLD809183029</t>
  </si>
  <si>
    <t>이강희</t>
  </si>
  <si>
    <t>GLD809183035</t>
  </si>
  <si>
    <t>이승희2</t>
  </si>
  <si>
    <t>GLD809183013</t>
  </si>
  <si>
    <t>김미화2</t>
  </si>
  <si>
    <t>김혜은</t>
  </si>
  <si>
    <t>GLD809183011</t>
  </si>
  <si>
    <t>담당</t>
    <phoneticPr fontId="1" type="noConversion"/>
  </si>
  <si>
    <t>사원번호</t>
    <phoneticPr fontId="1" type="noConversion"/>
  </si>
  <si>
    <t>지점</t>
    <phoneticPr fontId="1" type="noConversion"/>
  </si>
  <si>
    <t>글래드</t>
    <phoneticPr fontId="1" type="noConversion"/>
  </si>
  <si>
    <t>씨티엠필터</t>
    <phoneticPr fontId="1" type="noConversion"/>
  </si>
  <si>
    <t>씨티엠필터</t>
    <phoneticPr fontId="1" type="noConversion"/>
  </si>
  <si>
    <t>GLD809183018</t>
    <phoneticPr fontId="1" type="noConversion"/>
  </si>
  <si>
    <t>글래드아이리치</t>
    <phoneticPr fontId="1" type="noConversion"/>
  </si>
  <si>
    <t>GLD803173002</t>
  </si>
  <si>
    <t>GLD033143019</t>
  </si>
  <si>
    <t>GLD803141001</t>
  </si>
  <si>
    <t>GLD803143004</t>
  </si>
  <si>
    <t>GLD033143015</t>
  </si>
  <si>
    <t>GLD033143010</t>
  </si>
  <si>
    <t>GLD803153002</t>
  </si>
  <si>
    <t>시트명</t>
  </si>
  <si>
    <t>바꿀명</t>
  </si>
  <si>
    <t>건별_AIA생명</t>
  </si>
  <si>
    <t>AIA생명</t>
  </si>
  <si>
    <t>건별_DGB생명</t>
  </si>
  <si>
    <t>DGB생명</t>
  </si>
  <si>
    <t>건별_IBK연금보험</t>
  </si>
  <si>
    <t>IBK연금보험</t>
  </si>
  <si>
    <t>건별_오렌지라이프</t>
  </si>
  <si>
    <t>오렌지라이프</t>
  </si>
  <si>
    <t>건별_KB생명</t>
  </si>
  <si>
    <t>KB생명</t>
  </si>
  <si>
    <t>건별_KDB생명</t>
  </si>
  <si>
    <t>KDB생명</t>
  </si>
  <si>
    <t>건별_PCA생명</t>
  </si>
  <si>
    <t>PCA생명</t>
  </si>
  <si>
    <t>건별_교보생명</t>
  </si>
  <si>
    <t>교보생명</t>
  </si>
  <si>
    <t>건별_농협생명</t>
  </si>
  <si>
    <t>농협생명</t>
  </si>
  <si>
    <t>건별_DB생명</t>
  </si>
  <si>
    <t>DB생명</t>
  </si>
  <si>
    <t>건별_동양생명</t>
  </si>
  <si>
    <t>동양생명</t>
  </si>
  <si>
    <t>건별_라이나생명</t>
  </si>
  <si>
    <t>라이나생명</t>
  </si>
  <si>
    <t>건별_메트라이프생명</t>
  </si>
  <si>
    <t>메트라이프생명</t>
  </si>
  <si>
    <t>건별_미래에셋생명</t>
  </si>
  <si>
    <t>미래에셋생명</t>
  </si>
  <si>
    <t>건별_삼성생명</t>
  </si>
  <si>
    <t>삼성생명</t>
  </si>
  <si>
    <t>건별_신한생명</t>
  </si>
  <si>
    <t>신한생명</t>
  </si>
  <si>
    <t>건별_ABL생명</t>
  </si>
  <si>
    <t>ABL생명</t>
  </si>
  <si>
    <t>건별_처브라이프</t>
  </si>
  <si>
    <t>처브라이프</t>
  </si>
  <si>
    <t>건별_한화생명</t>
  </si>
  <si>
    <t>한화생명</t>
  </si>
  <si>
    <t>건별_푸본현대생명</t>
  </si>
  <si>
    <t>푸본현대생명</t>
  </si>
  <si>
    <t>건별_흥국생명</t>
  </si>
  <si>
    <t>흥국생명</t>
  </si>
  <si>
    <t>건별_AIG손해보험</t>
  </si>
  <si>
    <t>건별_KB손보</t>
  </si>
  <si>
    <t>건별_MG손보</t>
  </si>
  <si>
    <t>건별_농협손보</t>
  </si>
  <si>
    <t>건별_DB손보</t>
  </si>
  <si>
    <t>건별_롯데손보</t>
  </si>
  <si>
    <t>건별_메리츠화재</t>
  </si>
  <si>
    <t>건별_삼성화재</t>
  </si>
  <si>
    <t>건별_처브손해보험</t>
  </si>
  <si>
    <t>처브손해보험</t>
  </si>
  <si>
    <t>건별_한화손보</t>
  </si>
  <si>
    <t>건별_현대해상</t>
  </si>
  <si>
    <t>건별_흥국화재</t>
  </si>
  <si>
    <t>건별_하나손해보험</t>
  </si>
  <si>
    <t>하나손해보험</t>
  </si>
  <si>
    <t>건별_푸르덴셜생명</t>
  </si>
  <si>
    <t>푸르덴셜생명</t>
  </si>
  <si>
    <t>건별_카디프생명</t>
  </si>
  <si>
    <t>카디프생명</t>
  </si>
  <si>
    <t>N</t>
    <phoneticPr fontId="1" type="noConversion"/>
  </si>
  <si>
    <t>건별</t>
    <phoneticPr fontId="1" type="noConversion"/>
  </si>
  <si>
    <t>글래드제이엔제이_수입원장정산</t>
    <phoneticPr fontId="1" type="noConversion"/>
  </si>
  <si>
    <t>E:\글로벌백업(180329)\04.수수료작업\202105수수료\</t>
  </si>
  <si>
    <t>글래드</t>
    <phoneticPr fontId="1" type="noConversion"/>
  </si>
  <si>
    <t>마감실적리스트(생명)-202106232030.xlsx</t>
  </si>
  <si>
    <t>생보</t>
    <phoneticPr fontId="1" type="noConversion"/>
  </si>
  <si>
    <t>마감실적리스트(일반)-202106232030.xlsx</t>
  </si>
  <si>
    <t>마감실적리스트(자동차)-202106232030.xlsx</t>
  </si>
  <si>
    <t>마감실적리스트(장기)-202106232030.xlsx</t>
  </si>
  <si>
    <t>글래드제이엔제이_수입원장정산</t>
    <phoneticPr fontId="1" type="noConversion"/>
  </si>
  <si>
    <t>글래드조은</t>
    <phoneticPr fontId="1" type="noConversion"/>
  </si>
  <si>
    <t>WORKSHEET</t>
    <phoneticPr fontId="1" type="noConversion"/>
  </si>
  <si>
    <t>E:\글로벌백업(180329)\04.수수료작업\202106수수료\마감실적리스트(장기)-202107230606.xlsx</t>
    <phoneticPr fontId="1" type="noConversion"/>
  </si>
  <si>
    <t>마감실적리스트(생보)-202112230917.xlsx</t>
  </si>
  <si>
    <t>마감실적리스트(일반)-202112230917.xlsx</t>
  </si>
  <si>
    <t>마감실적리스트(자동차)-202112230917.xlsx</t>
  </si>
  <si>
    <t>마감실적리스트(장기)-202112230917.xlsx</t>
  </si>
  <si>
    <t>글래드피스토스2팀 수금정산</t>
  </si>
  <si>
    <t>글래드피스토스2팀 수금정산</t>
    <phoneticPr fontId="1" type="noConversion"/>
  </si>
  <si>
    <t>E:\글로벌백업(180329)\04.수수료작업\202111수수료\마감실적리스트(생보)-202112230917.xlsx</t>
    <phoneticPr fontId="1" type="noConversion"/>
  </si>
  <si>
    <t>E:\글로벌백업(180329)\04.수수료작업\202111수수료\마감실적리스트(장기)-202112230917.xlsx</t>
    <phoneticPr fontId="1" type="noConversion"/>
  </si>
  <si>
    <t>WORKSHEET</t>
    <phoneticPr fontId="1" type="noConversion"/>
  </si>
  <si>
    <t>E:\글로벌백업(180329)\04.수수료작업\202111수수료\마감실적리스트(생보)-202112230917.xlsx</t>
    <phoneticPr fontId="1" type="noConversion"/>
  </si>
  <si>
    <t>WORKSHEET</t>
    <phoneticPr fontId="1" type="noConversion"/>
  </si>
  <si>
    <t>E:\글로벌백업(180329)\04.수수료작업\202111수수료\마감실적리스트(생보)-202112230917.xlsx</t>
    <phoneticPr fontId="1" type="noConversion"/>
  </si>
  <si>
    <t>E:\글로벌백업(180329)\04.수수료작업\202111수수료\마감실적리스트(장기)-202112230917.xlsx</t>
    <phoneticPr fontId="1" type="noConversion"/>
  </si>
  <si>
    <t>E:\글로벌백업(180329)\04.수수료작업\202111수수료\마감실적리스트(생보)-202112230917.xlsx</t>
    <phoneticPr fontId="1" type="noConversion"/>
  </si>
  <si>
    <t>E:\글로벌백업(180329)\04.수수료작업\202111수수료\마감실적리스트(자동차)-202112230917.xlsx</t>
    <phoneticPr fontId="1" type="noConversion"/>
  </si>
  <si>
    <t>E:\글로벌백업(180329)\04.수수료작업\202111수수료\마감실적리스트(일반)-202112230917.xlsx</t>
    <phoneticPr fontId="1" type="noConversion"/>
  </si>
  <si>
    <t>WORKSHEET</t>
    <phoneticPr fontId="1" type="noConversion"/>
  </si>
  <si>
    <t>피스토스2팀 필터</t>
    <phoneticPr fontId="1" type="noConversion"/>
  </si>
  <si>
    <t>고경숙</t>
    <phoneticPr fontId="1" type="noConversion"/>
  </si>
  <si>
    <t>홍미숙</t>
    <phoneticPr fontId="1" type="noConversion"/>
  </si>
  <si>
    <t>글래드피스토스</t>
    <phoneticPr fontId="1" type="noConversion"/>
  </si>
  <si>
    <t>GLD803143003</t>
  </si>
  <si>
    <t>GLD033143013</t>
  </si>
  <si>
    <t>글래드피스토스2팀_필터</t>
    <phoneticPr fontId="1" type="noConversion"/>
  </si>
  <si>
    <t>&gt;='20200801</t>
    <phoneticPr fontId="1" type="noConversion"/>
  </si>
  <si>
    <t>E:\글로벌백업(180329)\04.수수료작업\202111수수료\마감실적리스트(장기)-202112230917.xlsx</t>
    <phoneticPr fontId="1" type="noConversion"/>
  </si>
  <si>
    <t>E:\글로벌백업(180329)\04.수수료작업\202111수수료\마감실적리스트(일반)-202112230917.xlsx</t>
    <phoneticPr fontId="1" type="noConversion"/>
  </si>
  <si>
    <t>WORKSHEET</t>
    <phoneticPr fontId="1" type="noConversion"/>
  </si>
  <si>
    <t>WORKSHEET</t>
    <phoneticPr fontId="1" type="noConversion"/>
  </si>
  <si>
    <t>E:\글로벌백업(180329)\04.수수료작업\202111수수료\마감실적리스트(생보)-202112230917.xlsx</t>
    <phoneticPr fontId="1" type="noConversion"/>
  </si>
  <si>
    <t>WORKSHEET</t>
    <phoneticPr fontId="1" type="noConversion"/>
  </si>
  <si>
    <t>E:\글로벌백업(180329)\04.수수료작업\202111수수료\마감실적리스트(자동차)-202112230917.xlsx</t>
    <phoneticPr fontId="1" type="noConversion"/>
  </si>
  <si>
    <t>WORKSHEET</t>
    <phoneticPr fontId="1" type="noConversion"/>
  </si>
  <si>
    <t>E:\글로벌백업(180329)\04.수수료작업\202111수수료\마감실적리스트(일반)-202112230917.xlsx</t>
    <phoneticPr fontId="1" type="noConversion"/>
  </si>
  <si>
    <t>WORKSHEET</t>
    <phoneticPr fontId="1" type="noConversion"/>
  </si>
  <si>
    <t>E:\글로벌백업(180329)\04.수수료작업\202111수수료\마감실적리스트(자동차)-202112230917.xlsx</t>
    <phoneticPr fontId="1" type="noConversion"/>
  </si>
  <si>
    <t>E:\글로벌백업(180329)\04.수수료작업\202111수수료\마감실적리스트(일반)-202112230917.xlsx</t>
    <phoneticPr fontId="1" type="noConversion"/>
  </si>
  <si>
    <t>E:\글로벌백업(180329)\04.수수료작업\202111수수료\마감실적리스트(일반)-202112230917.xlsx</t>
    <phoneticPr fontId="1" type="noConversion"/>
  </si>
  <si>
    <t>수수료명세</t>
  </si>
  <si>
    <t>d:\글로벌백업(180329)\04.수수료작업\202111수수료\</t>
    <phoneticPr fontId="1" type="noConversion"/>
  </si>
  <si>
    <t>d:\글로벌백업(180329)\04.수수료작업\202111수수료\마감실적리스트(장기)-202112230917.xlsx</t>
    <phoneticPr fontId="1" type="noConversion"/>
  </si>
  <si>
    <t>d:\글로벌백업(180329)\04.수수료작업\202111수수료\마감실적리스트(생보)-202112230917.xlsx</t>
    <phoneticPr fontId="1" type="noConversion"/>
  </si>
  <si>
    <t>d:\글로벌백업(180329)\04.수수료작업\202111수수료\마감실적리스트(자동차)-202112230917.xlsx</t>
    <phoneticPr fontId="1" type="noConversion"/>
  </si>
  <si>
    <t>d:\글로벌백업(180329)\04.수수료작업\202111수수료\마감실적리스트(일반)-202112230917.xlsx</t>
    <phoneticPr fontId="1" type="noConversion"/>
  </si>
  <si>
    <t>글래드프라임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</si>
</sst>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;[Red]\-#,##0\ "/>
    <numFmt numFmtId="177" formatCode="0.0%"/>
  </numFmts>
  <fonts count="4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Calibri"/>
      <family val="2"/>
    </font>
    <font>
      <b/>
      <sz val="11"/>
      <color rgb="FF00206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B050"/>
      <name val="맑은 고딕"/>
      <family val="2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1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B0F0"/>
      <name val="맑은 고딕"/>
      <family val="2"/>
      <charset val="129"/>
      <scheme val="minor"/>
    </font>
    <font>
      <b/>
      <sz val="11"/>
      <color rgb="FF00B0F0"/>
      <name val="맑은 고딕"/>
      <family val="3"/>
      <charset val="129"/>
      <scheme val="minor"/>
    </font>
    <font>
      <sz val="9"/>
      <color indexed="81"/>
      <name val="Tahoma"/>
      <family val="2"/>
    </font>
    <font>
      <sz val="10"/>
      <color theme="1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b/>
      <sz val="10"/>
      <color rgb="FF0B527E"/>
      <name val="맑은 고딕"/>
      <family val="3"/>
      <charset val="129"/>
    </font>
    <font>
      <sz val="9"/>
      <name val="맑은 고딕"/>
      <family val="3"/>
      <charset val="129"/>
    </font>
    <font>
      <sz val="11"/>
      <color indexed="8"/>
      <name val="맑은 고딕"/>
      <family val="2"/>
      <scheme val="minor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rgb="FF00B05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indexed="12"/>
      <name val="맑은 고딕"/>
      <family val="2"/>
      <charset val="129"/>
      <scheme val="minor"/>
    </font>
    <font>
      <b/>
      <sz val="10"/>
      <color rgb="FF0B527E"/>
      <name val="Malgun Gothic"/>
      <family val="3"/>
      <charset val="129"/>
    </font>
    <font>
      <sz val="9"/>
      <color rgb="FF333333"/>
      <name val="Dotum"/>
      <family val="3"/>
    </font>
    <font>
      <sz val="11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8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8" fillId="0" borderId="0"/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0" fillId="0" borderId="0">
      <alignment vertical="center"/>
    </xf>
  </cellStyleXfs>
  <cellXfs count="138">
    <xf numFmtId="0" fontId="0" fillId="0" borderId="0" xfId="0">
      <alignment vertical="center"/>
    </xf>
    <xf numFmtId="0" fontId="0" fillId="0" borderId="0" xfId="0" applyAlignment="1"/>
    <xf numFmtId="0" fontId="0" fillId="0" borderId="1" xfId="0" applyBorder="1">
      <alignment vertical="center"/>
    </xf>
    <xf numFmtId="0" fontId="3" fillId="0" borderId="0" xfId="0" applyFont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/>
    </xf>
    <xf numFmtId="0" fontId="6" fillId="4" borderId="0" xfId="0" applyFont="1" applyFill="1">
      <alignment vertical="center"/>
    </xf>
    <xf numFmtId="0" fontId="7" fillId="4" borderId="0" xfId="0" applyFont="1" applyFill="1">
      <alignment vertical="center"/>
    </xf>
    <xf numFmtId="0" fontId="0" fillId="0" borderId="1" xfId="0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9" fillId="5" borderId="0" xfId="0" applyFont="1" applyFill="1">
      <alignment vertical="center"/>
    </xf>
    <xf numFmtId="0" fontId="0" fillId="5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0" xfId="0" applyFont="1">
      <alignment vertical="center"/>
    </xf>
    <xf numFmtId="0" fontId="5" fillId="0" borderId="1" xfId="0" applyFont="1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7" borderId="0" xfId="0" applyFill="1">
      <alignment vertical="center"/>
    </xf>
    <xf numFmtId="0" fontId="0" fillId="3" borderId="0" xfId="0" applyFill="1" applyAlignment="1"/>
    <xf numFmtId="0" fontId="10" fillId="8" borderId="1" xfId="0" applyFont="1" applyFill="1" applyBorder="1">
      <alignment vertical="center"/>
    </xf>
    <xf numFmtId="0" fontId="11" fillId="8" borderId="1" xfId="0" applyFont="1" applyFill="1" applyBorder="1" applyAlignment="1"/>
    <xf numFmtId="0" fontId="11" fillId="8" borderId="1" xfId="0" applyFont="1" applyFill="1" applyBorder="1">
      <alignment vertical="center"/>
    </xf>
    <xf numFmtId="0" fontId="12" fillId="5" borderId="1" xfId="0" applyFont="1" applyFill="1" applyBorder="1" applyAlignment="1"/>
    <xf numFmtId="0" fontId="12" fillId="5" borderId="1" xfId="0" applyFont="1" applyFill="1" applyBorder="1">
      <alignment vertical="center"/>
    </xf>
    <xf numFmtId="0" fontId="0" fillId="0" borderId="0" xfId="0" applyBorder="1">
      <alignment vertical="center"/>
    </xf>
    <xf numFmtId="0" fontId="0" fillId="0" borderId="2" xfId="0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9" borderId="1" xfId="0" applyFill="1" applyBorder="1">
      <alignment vertical="center"/>
    </xf>
    <xf numFmtId="0" fontId="0" fillId="6" borderId="1" xfId="0" applyFill="1" applyBorder="1">
      <alignment vertical="center"/>
    </xf>
    <xf numFmtId="0" fontId="4" fillId="6" borderId="1" xfId="0" applyFont="1" applyFill="1" applyBorder="1">
      <alignment vertical="center"/>
    </xf>
    <xf numFmtId="0" fontId="4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>
      <alignment vertical="center"/>
    </xf>
    <xf numFmtId="0" fontId="16" fillId="0" borderId="0" xfId="0" applyFont="1" applyAlignment="1">
      <alignment horizontal="left" vertical="center"/>
    </xf>
    <xf numFmtId="0" fontId="4" fillId="6" borderId="3" xfId="0" applyFont="1" applyFill="1" applyBorder="1">
      <alignment vertical="center"/>
    </xf>
    <xf numFmtId="0" fontId="16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16" fillId="0" borderId="6" xfId="0" applyFont="1" applyBorder="1" applyAlignment="1">
      <alignment horizontal="left" vertical="center"/>
    </xf>
    <xf numFmtId="0" fontId="16" fillId="0" borderId="7" xfId="0" applyFont="1" applyBorder="1" applyAlignment="1">
      <alignment horizontal="left" vertical="center"/>
    </xf>
    <xf numFmtId="0" fontId="0" fillId="0" borderId="7" xfId="0" applyBorder="1">
      <alignment vertical="center"/>
    </xf>
    <xf numFmtId="0" fontId="16" fillId="0" borderId="7" xfId="0" applyFont="1" applyFill="1" applyBorder="1" applyAlignment="1">
      <alignment horizontal="left" vertical="center"/>
    </xf>
    <xf numFmtId="9" fontId="0" fillId="0" borderId="0" xfId="0" applyNumberFormat="1">
      <alignment vertical="center"/>
    </xf>
    <xf numFmtId="0" fontId="18" fillId="11" borderId="1" xfId="0" applyFont="1" applyFill="1" applyBorder="1">
      <alignment vertical="center"/>
    </xf>
    <xf numFmtId="0" fontId="18" fillId="11" borderId="1" xfId="0" applyFont="1" applyFill="1" applyBorder="1" applyAlignment="1"/>
    <xf numFmtId="9" fontId="18" fillId="11" borderId="1" xfId="6" applyFont="1" applyFill="1" applyBorder="1" applyAlignment="1"/>
    <xf numFmtId="0" fontId="19" fillId="11" borderId="1" xfId="0" applyFont="1" applyFill="1" applyBorder="1">
      <alignment vertical="center"/>
    </xf>
    <xf numFmtId="0" fontId="20" fillId="11" borderId="1" xfId="0" applyFont="1" applyFill="1" applyBorder="1">
      <alignment vertical="center"/>
    </xf>
    <xf numFmtId="0" fontId="18" fillId="0" borderId="0" xfId="0" applyFont="1">
      <alignment vertical="center"/>
    </xf>
    <xf numFmtId="0" fontId="18" fillId="9" borderId="1" xfId="0" applyFont="1" applyFill="1" applyBorder="1">
      <alignment vertical="center"/>
    </xf>
    <xf numFmtId="0" fontId="18" fillId="0" borderId="2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>
      <alignment vertical="center"/>
    </xf>
    <xf numFmtId="0" fontId="0" fillId="9" borderId="1" xfId="0" applyFill="1" applyBorder="1" applyAlignment="1"/>
    <xf numFmtId="176" fontId="21" fillId="9" borderId="1" xfId="0" applyNumberFormat="1" applyFont="1" applyFill="1" applyBorder="1" applyAlignment="1"/>
    <xf numFmtId="0" fontId="23" fillId="0" borderId="0" xfId="0" applyFont="1">
      <alignment vertical="center"/>
    </xf>
    <xf numFmtId="0" fontId="24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/>
    <xf numFmtId="0" fontId="0" fillId="0" borderId="1" xfId="0" applyBorder="1" applyAlignment="1">
      <alignment horizontal="center"/>
    </xf>
    <xf numFmtId="0" fontId="10" fillId="0" borderId="1" xfId="0" applyFont="1" applyBorder="1">
      <alignment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/>
    <xf numFmtId="10" fontId="11" fillId="0" borderId="1" xfId="0" applyNumberFormat="1" applyFont="1" applyBorder="1">
      <alignment vertical="center"/>
    </xf>
    <xf numFmtId="0" fontId="11" fillId="0" borderId="1" xfId="0" applyFont="1" applyBorder="1">
      <alignment vertical="center"/>
    </xf>
    <xf numFmtId="0" fontId="11" fillId="0" borderId="0" xfId="0" applyFont="1" applyAlignment="1"/>
    <xf numFmtId="10" fontId="26" fillId="0" borderId="1" xfId="0" applyNumberFormat="1" applyFont="1" applyFill="1" applyBorder="1" applyAlignment="1">
      <alignment horizontal="center" vertical="center" shrinkToFit="1"/>
    </xf>
    <xf numFmtId="0" fontId="0" fillId="0" borderId="0" xfId="0" quotePrefix="1">
      <alignment vertical="center"/>
    </xf>
    <xf numFmtId="0" fontId="0" fillId="0" borderId="1" xfId="0" applyBorder="1" applyAlignment="1">
      <alignment horizontal="center" vertical="center"/>
    </xf>
    <xf numFmtId="0" fontId="28" fillId="0" borderId="1" xfId="4" applyFont="1" applyBorder="1" applyAlignment="1">
      <alignment horizontal="center" vertical="center"/>
    </xf>
    <xf numFmtId="0" fontId="29" fillId="0" borderId="1" xfId="4" applyFont="1" applyBorder="1" applyAlignment="1">
      <alignment horizontal="left" vertical="center"/>
    </xf>
    <xf numFmtId="0" fontId="0" fillId="0" borderId="0" xfId="0" applyFill="1" applyBorder="1">
      <alignment vertical="center"/>
    </xf>
    <xf numFmtId="0" fontId="0" fillId="0" borderId="0" xfId="0" applyAlignment="1">
      <alignment horizontal="left" vertical="center"/>
    </xf>
    <xf numFmtId="0" fontId="0" fillId="0" borderId="7" xfId="0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9" fontId="11" fillId="0" borderId="1" xfId="0" applyNumberFormat="1" applyFont="1" applyBorder="1" applyAlignment="1">
      <alignment horizontal="center" vertical="center"/>
    </xf>
    <xf numFmtId="0" fontId="18" fillId="9" borderId="0" xfId="0" applyFont="1" applyFill="1" applyBorder="1">
      <alignment vertical="center"/>
    </xf>
    <xf numFmtId="0" fontId="31" fillId="0" borderId="1" xfId="7" applyFont="1" applyBorder="1" applyAlignment="1">
      <alignment horizontal="left" vertical="center"/>
    </xf>
    <xf numFmtId="0" fontId="29" fillId="0" borderId="1" xfId="7" quotePrefix="1" applyFont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0" xfId="0" applyFill="1" applyAlignment="1">
      <alignment horizontal="left" vertical="center"/>
    </xf>
    <xf numFmtId="0" fontId="32" fillId="0" borderId="0" xfId="0" applyFont="1">
      <alignment vertical="center"/>
    </xf>
    <xf numFmtId="0" fontId="16" fillId="12" borderId="7" xfId="0" applyFont="1" applyFill="1" applyBorder="1" applyAlignment="1">
      <alignment horizontal="left" vertical="center"/>
    </xf>
    <xf numFmtId="0" fontId="16" fillId="12" borderId="6" xfId="0" applyFont="1" applyFill="1" applyBorder="1" applyAlignment="1">
      <alignment horizontal="left" vertical="center"/>
    </xf>
    <xf numFmtId="0" fontId="36" fillId="0" borderId="1" xfId="0" applyFont="1" applyBorder="1">
      <alignment vertical="center"/>
    </xf>
    <xf numFmtId="0" fontId="36" fillId="9" borderId="1" xfId="0" applyFont="1" applyFill="1" applyBorder="1">
      <alignment vertical="center"/>
    </xf>
    <xf numFmtId="0" fontId="36" fillId="0" borderId="1" xfId="0" applyFont="1" applyFill="1" applyBorder="1">
      <alignment vertical="center"/>
    </xf>
    <xf numFmtId="0" fontId="36" fillId="0" borderId="5" xfId="0" applyFont="1" applyBorder="1">
      <alignment vertical="center"/>
    </xf>
    <xf numFmtId="0" fontId="37" fillId="0" borderId="1" xfId="0" applyFont="1" applyBorder="1" applyAlignment="1">
      <alignment horizontal="center" vertical="center"/>
    </xf>
    <xf numFmtId="0" fontId="37" fillId="0" borderId="1" xfId="0" applyFont="1" applyBorder="1">
      <alignment vertical="center"/>
    </xf>
    <xf numFmtId="0" fontId="38" fillId="0" borderId="5" xfId="0" applyFont="1" applyBorder="1">
      <alignment vertical="center"/>
    </xf>
    <xf numFmtId="0" fontId="29" fillId="0" borderId="1" xfId="7" applyFont="1" applyBorder="1" applyAlignment="1">
      <alignment horizontal="left" vertical="center"/>
    </xf>
    <xf numFmtId="0" fontId="29" fillId="0" borderId="1" xfId="7" applyFont="1" applyBorder="1" applyAlignment="1">
      <alignment horizontal="center" vertical="center"/>
    </xf>
    <xf numFmtId="0" fontId="38" fillId="0" borderId="1" xfId="0" applyFont="1" applyBorder="1">
      <alignment vertical="center"/>
    </xf>
    <xf numFmtId="0" fontId="36" fillId="0" borderId="8" xfId="0" applyFont="1" applyBorder="1" applyAlignment="1">
      <alignment horizontal="center" vertical="center"/>
    </xf>
    <xf numFmtId="0" fontId="38" fillId="0" borderId="5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0" borderId="8" xfId="0" applyFont="1" applyBorder="1" applyAlignment="1">
      <alignment horizontal="left" vertical="center"/>
    </xf>
    <xf numFmtId="0" fontId="38" fillId="0" borderId="5" xfId="0" applyFont="1" applyBorder="1" applyAlignment="1">
      <alignment horizontal="left" vertical="center"/>
    </xf>
    <xf numFmtId="0" fontId="38" fillId="0" borderId="9" xfId="0" applyFont="1" applyBorder="1" applyAlignment="1">
      <alignment horizontal="center" vertical="center" wrapText="1"/>
    </xf>
    <xf numFmtId="0" fontId="38" fillId="0" borderId="10" xfId="0" applyFont="1" applyBorder="1" applyAlignment="1">
      <alignment horizontal="center" vertical="center" wrapText="1"/>
    </xf>
    <xf numFmtId="0" fontId="38" fillId="0" borderId="3" xfId="0" applyFont="1" applyBorder="1" applyAlignment="1">
      <alignment horizontal="center" vertical="center" wrapText="1"/>
    </xf>
    <xf numFmtId="0" fontId="38" fillId="0" borderId="11" xfId="0" applyFont="1" applyBorder="1" applyAlignment="1">
      <alignment horizontal="center" vertical="center" wrapText="1"/>
    </xf>
    <xf numFmtId="0" fontId="38" fillId="0" borderId="12" xfId="0" applyFont="1" applyBorder="1" applyAlignment="1">
      <alignment horizontal="center" vertical="center" wrapText="1"/>
    </xf>
    <xf numFmtId="0" fontId="38" fillId="0" borderId="4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left" vertical="center" wrapText="1"/>
    </xf>
    <xf numFmtId="0" fontId="37" fillId="9" borderId="1" xfId="0" applyFont="1" applyFill="1" applyBorder="1">
      <alignment vertical="center"/>
    </xf>
    <xf numFmtId="0" fontId="38" fillId="9" borderId="1" xfId="0" applyFont="1" applyFill="1" applyBorder="1">
      <alignment vertical="center"/>
    </xf>
    <xf numFmtId="0" fontId="36" fillId="9" borderId="1" xfId="0" applyFont="1" applyFill="1" applyBorder="1" applyAlignment="1">
      <alignment horizontal="right" vertical="center"/>
    </xf>
    <xf numFmtId="0" fontId="10" fillId="0" borderId="1" xfId="0" applyFont="1" applyFill="1" applyBorder="1">
      <alignment vertical="center"/>
    </xf>
    <xf numFmtId="0" fontId="0" fillId="0" borderId="9" xfId="0" applyBorder="1">
      <alignment vertical="center"/>
    </xf>
    <xf numFmtId="0" fontId="36" fillId="9" borderId="6" xfId="0" applyFont="1" applyFill="1" applyBorder="1" applyAlignment="1">
      <alignment horizontal="right" vertical="center"/>
    </xf>
    <xf numFmtId="0" fontId="0" fillId="0" borderId="8" xfId="0" applyFill="1" applyBorder="1">
      <alignment vertical="center"/>
    </xf>
    <xf numFmtId="9" fontId="0" fillId="0" borderId="1" xfId="0" applyNumberFormat="1" applyBorder="1">
      <alignment vertical="center"/>
    </xf>
    <xf numFmtId="9" fontId="0" fillId="0" borderId="0" xfId="6" applyFont="1">
      <alignment vertical="center"/>
    </xf>
    <xf numFmtId="9" fontId="0" fillId="13" borderId="1" xfId="0" applyNumberFormat="1" applyFill="1" applyBorder="1">
      <alignment vertical="center"/>
    </xf>
    <xf numFmtId="0" fontId="0" fillId="9" borderId="0" xfId="0" applyFill="1" applyBorder="1">
      <alignment vertical="center"/>
    </xf>
    <xf numFmtId="0" fontId="28" fillId="0" borderId="1" xfId="7" applyFont="1" applyBorder="1" applyAlignment="1">
      <alignment horizontal="center" vertical="center"/>
    </xf>
    <xf numFmtId="3" fontId="29" fillId="0" borderId="1" xfId="7" applyNumberFormat="1" applyFont="1" applyBorder="1" applyAlignment="1">
      <alignment horizontal="right" vertical="center"/>
    </xf>
    <xf numFmtId="0" fontId="40" fillId="0" borderId="0" xfId="0" applyFont="1">
      <alignment vertical="center"/>
    </xf>
    <xf numFmtId="177" fontId="0" fillId="13" borderId="1" xfId="0" applyNumberFormat="1" applyFill="1" applyBorder="1">
      <alignment vertical="center"/>
    </xf>
    <xf numFmtId="49" fontId="41" fillId="0" borderId="13" xfId="0" applyNumberFormat="1" applyFont="1" applyBorder="1" applyAlignment="1">
      <alignment horizontal="center" vertical="center" wrapText="1"/>
    </xf>
    <xf numFmtId="49" fontId="42" fillId="14" borderId="14" xfId="0" applyNumberFormat="1" applyFont="1" applyFill="1" applyBorder="1" applyAlignment="1">
      <alignment horizontal="center" vertical="center" wrapText="1"/>
    </xf>
    <xf numFmtId="49" fontId="42" fillId="14" borderId="14" xfId="0" applyNumberFormat="1" applyFont="1" applyFill="1" applyBorder="1" applyAlignment="1">
      <alignment horizontal="left" vertical="center" wrapText="1"/>
    </xf>
    <xf numFmtId="49" fontId="42" fillId="14" borderId="15" xfId="0" applyNumberFormat="1" applyFont="1" applyFill="1" applyBorder="1" applyAlignment="1">
      <alignment horizontal="center" vertical="center" wrapText="1"/>
    </xf>
    <xf numFmtId="49" fontId="42" fillId="14" borderId="15" xfId="0" applyNumberFormat="1" applyFont="1" applyFill="1" applyBorder="1" applyAlignment="1">
      <alignment horizontal="left" vertical="center" wrapText="1"/>
    </xf>
    <xf numFmtId="0" fontId="36" fillId="0" borderId="0" xfId="0" applyFont="1" applyFill="1" applyBorder="1">
      <alignment vertical="center"/>
    </xf>
    <xf numFmtId="0" fontId="29" fillId="0" borderId="1" xfId="0" applyFont="1" applyBorder="1" applyAlignment="1">
      <alignment horizontal="left" vertical="center"/>
    </xf>
    <xf numFmtId="0" fontId="29" fillId="0" borderId="1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0" borderId="3" xfId="0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/>
    </xf>
  </cellXfs>
  <cellStyles count="8">
    <cellStyle name="백분율" xfId="6" builtinId="5"/>
    <cellStyle name="백분율 2" xfId="5" xr:uid="{00000000-0005-0000-0000-000001000000}"/>
    <cellStyle name="쉼표 [0] 2 3" xfId="2" xr:uid="{00000000-0005-0000-0000-000002000000}"/>
    <cellStyle name="표준" xfId="0" builtinId="0"/>
    <cellStyle name="표준 118" xfId="1" xr:uid="{00000000-0005-0000-0000-000004000000}"/>
    <cellStyle name="표준 2" xfId="4" xr:uid="{00000000-0005-0000-0000-000005000000}"/>
    <cellStyle name="표준 2 2" xfId="7" xr:uid="{00000000-0005-0000-0000-000006000000}"/>
    <cellStyle name="표준 4" xfId="3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11</xdr:row>
          <xdr:rowOff>175260</xdr:rowOff>
        </xdr:from>
        <xdr:to>
          <xdr:col>12</xdr:col>
          <xdr:colOff>99060</xdr:colOff>
          <xdr:row>14</xdr:row>
          <xdr:rowOff>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525780</xdr:colOff>
          <xdr:row>85</xdr:row>
          <xdr:rowOff>144780</xdr:rowOff>
        </xdr:from>
        <xdr:to>
          <xdr:col>8</xdr:col>
          <xdr:colOff>182880</xdr:colOff>
          <xdr:row>87</xdr:row>
          <xdr:rowOff>137160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파일명 탐색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3</xdr:row>
          <xdr:rowOff>144780</xdr:rowOff>
        </xdr:from>
        <xdr:to>
          <xdr:col>4</xdr:col>
          <xdr:colOff>647700</xdr:colOff>
          <xdr:row>5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시트명 변경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1089660</xdr:colOff>
          <xdr:row>7</xdr:row>
          <xdr:rowOff>22860</xdr:rowOff>
        </xdr:from>
        <xdr:to>
          <xdr:col>5</xdr:col>
          <xdr:colOff>518160</xdr:colOff>
          <xdr:row>9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불필요 컬럼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7</xdr:row>
          <xdr:rowOff>22860</xdr:rowOff>
        </xdr:from>
        <xdr:to>
          <xdr:col>2</xdr:col>
          <xdr:colOff>899160</xdr:colOff>
          <xdr:row>9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조건데이터 가져오기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(From 지정파일)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99060</xdr:colOff>
          <xdr:row>7</xdr:row>
          <xdr:rowOff>22860</xdr:rowOff>
        </xdr:from>
        <xdr:to>
          <xdr:col>7</xdr:col>
          <xdr:colOff>685800</xdr:colOff>
          <xdr:row>9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지정컬럼만 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9</xdr:row>
          <xdr:rowOff>137160</xdr:rowOff>
        </xdr:from>
        <xdr:to>
          <xdr:col>2</xdr:col>
          <xdr:colOff>876300</xdr:colOff>
          <xdr:row>11</xdr:row>
          <xdr:rowOff>213360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조건데이터 가져오기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(From 목록)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33"/>
  <sheetViews>
    <sheetView topLeftCell="A7" workbookViewId="0">
      <selection activeCell="A7" sqref="A7"/>
    </sheetView>
  </sheetViews>
  <sheetFormatPr defaultRowHeight="17.399999999999999"/>
  <cols>
    <col min="1" max="1" width="37.5" bestFit="1" customWidth="1"/>
    <col min="2" max="2" width="13" bestFit="1" customWidth="1"/>
    <col min="3" max="3" width="130.69921875" bestFit="1" customWidth="1"/>
  </cols>
  <sheetData>
    <row r="1" spans="1:3">
      <c r="A1" t="s">
        <v>109</v>
      </c>
      <c r="B1" t="s">
        <v>45</v>
      </c>
      <c r="C1" t="s">
        <v>141</v>
      </c>
    </row>
    <row r="2" spans="1:3">
      <c r="A2" s="35" t="s">
        <v>110</v>
      </c>
      <c r="B2" t="s">
        <v>111</v>
      </c>
      <c r="C2" t="s">
        <v>135</v>
      </c>
    </row>
    <row r="3" spans="1:3">
      <c r="A3" s="35"/>
      <c r="B3" t="s">
        <v>136</v>
      </c>
      <c r="C3" t="s">
        <v>134</v>
      </c>
    </row>
    <row r="4" spans="1:3">
      <c r="A4" s="35"/>
      <c r="B4" t="s">
        <v>112</v>
      </c>
      <c r="C4" s="32" t="s">
        <v>214</v>
      </c>
    </row>
    <row r="5" spans="1:3">
      <c r="A5" s="33" t="s">
        <v>118</v>
      </c>
      <c r="B5" t="s">
        <v>111</v>
      </c>
      <c r="C5" t="s">
        <v>138</v>
      </c>
    </row>
    <row r="6" spans="1:3">
      <c r="A6" s="33"/>
      <c r="B6" t="s">
        <v>136</v>
      </c>
      <c r="C6" t="s">
        <v>226</v>
      </c>
    </row>
    <row r="7" spans="1:3">
      <c r="A7" s="35"/>
      <c r="B7" t="s">
        <v>116</v>
      </c>
      <c r="C7" t="s">
        <v>117</v>
      </c>
    </row>
    <row r="8" spans="1:3">
      <c r="A8" s="35"/>
      <c r="B8" t="s">
        <v>112</v>
      </c>
      <c r="C8" t="s">
        <v>129</v>
      </c>
    </row>
    <row r="9" spans="1:3">
      <c r="A9" s="33" t="s">
        <v>119</v>
      </c>
      <c r="B9" t="s">
        <v>111</v>
      </c>
      <c r="C9" t="s">
        <v>139</v>
      </c>
    </row>
    <row r="10" spans="1:3">
      <c r="A10" s="33"/>
      <c r="B10" t="s">
        <v>136</v>
      </c>
      <c r="C10" t="s">
        <v>137</v>
      </c>
    </row>
    <row r="11" spans="1:3">
      <c r="A11" s="35"/>
      <c r="B11" t="s">
        <v>116</v>
      </c>
      <c r="C11" t="s">
        <v>117</v>
      </c>
    </row>
    <row r="12" spans="1:3">
      <c r="A12" s="35"/>
      <c r="B12" t="s">
        <v>112</v>
      </c>
      <c r="C12" t="s">
        <v>129</v>
      </c>
    </row>
    <row r="13" spans="1:3">
      <c r="A13" s="33" t="s">
        <v>66</v>
      </c>
      <c r="B13" t="s">
        <v>111</v>
      </c>
      <c r="C13" t="s">
        <v>140</v>
      </c>
    </row>
    <row r="14" spans="1:3">
      <c r="A14" s="33"/>
      <c r="B14" t="s">
        <v>136</v>
      </c>
      <c r="C14" t="s">
        <v>215</v>
      </c>
    </row>
    <row r="15" spans="1:3">
      <c r="A15" s="33"/>
      <c r="B15" t="s">
        <v>112</v>
      </c>
      <c r="C15" t="s">
        <v>216</v>
      </c>
    </row>
    <row r="16" spans="1:3">
      <c r="A16" s="33" t="s">
        <v>79</v>
      </c>
      <c r="B16" t="s">
        <v>111</v>
      </c>
      <c r="C16" t="s">
        <v>133</v>
      </c>
    </row>
    <row r="17" spans="1:3">
      <c r="A17" s="33"/>
      <c r="B17" t="s">
        <v>136</v>
      </c>
      <c r="C17" t="s">
        <v>219</v>
      </c>
    </row>
    <row r="18" spans="1:3">
      <c r="A18" s="33"/>
      <c r="C18" t="s">
        <v>217</v>
      </c>
    </row>
    <row r="19" spans="1:3">
      <c r="A19" s="33"/>
      <c r="C19" t="s">
        <v>218</v>
      </c>
    </row>
    <row r="20" spans="1:3">
      <c r="A20" s="35"/>
      <c r="B20" t="s">
        <v>112</v>
      </c>
      <c r="C20" t="s">
        <v>129</v>
      </c>
    </row>
    <row r="21" spans="1:3">
      <c r="A21" s="33" t="s">
        <v>167</v>
      </c>
      <c r="B21" t="s">
        <v>111</v>
      </c>
      <c r="C21" t="s">
        <v>168</v>
      </c>
    </row>
    <row r="22" spans="1:3">
      <c r="A22" s="33"/>
      <c r="B22" t="s">
        <v>136</v>
      </c>
      <c r="C22" t="s">
        <v>169</v>
      </c>
    </row>
    <row r="23" spans="1:3">
      <c r="A23" s="35"/>
      <c r="B23" t="s">
        <v>112</v>
      </c>
      <c r="C23" t="s">
        <v>129</v>
      </c>
    </row>
    <row r="24" spans="1:3">
      <c r="A24" t="s">
        <v>210</v>
      </c>
      <c r="B24" t="s">
        <v>211</v>
      </c>
      <c r="C24" t="s">
        <v>212</v>
      </c>
    </row>
    <row r="25" spans="1:3">
      <c r="A25" s="42" t="s">
        <v>194</v>
      </c>
      <c r="B25" t="s">
        <v>211</v>
      </c>
      <c r="C25" s="69" t="s">
        <v>213</v>
      </c>
    </row>
    <row r="31" spans="1:3" ht="15" customHeight="1"/>
    <row r="32" spans="1:3">
      <c r="A32" s="32" t="s">
        <v>132</v>
      </c>
    </row>
    <row r="33" spans="1:1">
      <c r="A33" s="49" t="s">
        <v>145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BJ95"/>
  <sheetViews>
    <sheetView tabSelected="1" topLeftCell="A4" zoomScale="90" zoomScaleNormal="90" workbookViewId="0">
      <selection activeCell="L17" sqref="L17"/>
    </sheetView>
  </sheetViews>
  <sheetFormatPr defaultRowHeight="17.399999999999999"/>
  <cols>
    <col min="1" max="1" width="16.69921875" customWidth="1"/>
    <col min="2" max="2" width="17.3984375" customWidth="1"/>
    <col min="3" max="3" width="15.19921875" bestFit="1" customWidth="1"/>
    <col min="5" max="5" width="35.69921875" customWidth="1"/>
    <col min="6" max="6" width="10.69921875" customWidth="1"/>
    <col min="7" max="8" width="9" hidden="1" customWidth="1"/>
    <col min="9" max="9" width="9" style="74" customWidth="1"/>
    <col min="11" max="11" width="12" customWidth="1"/>
    <col min="12" max="12" width="15.19921875" customWidth="1"/>
    <col min="15" max="15" width="18.69921875" customWidth="1"/>
    <col min="17" max="17" width="13" bestFit="1" customWidth="1"/>
    <col min="20" max="20" width="12.5" customWidth="1"/>
    <col min="21" max="21" width="5.19921875" customWidth="1"/>
    <col min="23" max="23" width="4.09765625" customWidth="1"/>
    <col min="24" max="24" width="16.5" customWidth="1"/>
    <col min="26" max="26" width="5.19921875" customWidth="1"/>
    <col min="27" max="27" width="18" customWidth="1"/>
    <col min="28" max="28" width="8.69921875" customWidth="1"/>
    <col min="30" max="30" width="10.69921875" customWidth="1"/>
    <col min="31" max="31" width="11.5" customWidth="1"/>
    <col min="43" max="43" width="15" bestFit="1" customWidth="1"/>
    <col min="49" max="49" width="13.69921875" bestFit="1" customWidth="1"/>
    <col min="50" max="50" width="9.19921875" bestFit="1" customWidth="1"/>
    <col min="53" max="61" width="7.5" bestFit="1" customWidth="1"/>
  </cols>
  <sheetData>
    <row r="1" spans="1:62" ht="19.2">
      <c r="A1" s="31" t="s">
        <v>91</v>
      </c>
      <c r="E1" s="49" t="s">
        <v>144</v>
      </c>
      <c r="J1" s="30" t="s">
        <v>98</v>
      </c>
    </row>
    <row r="2" spans="1:62">
      <c r="A2" s="32" t="s">
        <v>97</v>
      </c>
      <c r="J2" t="s">
        <v>99</v>
      </c>
      <c r="O2" s="30" t="s">
        <v>102</v>
      </c>
      <c r="S2" s="30" t="s">
        <v>92</v>
      </c>
    </row>
    <row r="3" spans="1:62">
      <c r="A3" s="134" t="s">
        <v>80</v>
      </c>
      <c r="B3" s="2"/>
      <c r="C3" s="135" t="s">
        <v>74</v>
      </c>
      <c r="D3" s="135"/>
      <c r="E3" s="135" t="s">
        <v>73</v>
      </c>
      <c r="F3" s="135"/>
      <c r="J3" t="s">
        <v>100</v>
      </c>
      <c r="O3" t="s">
        <v>101</v>
      </c>
      <c r="S3" t="s">
        <v>103</v>
      </c>
    </row>
    <row r="4" spans="1:62">
      <c r="A4" s="134"/>
      <c r="B4" s="2" t="s">
        <v>77</v>
      </c>
      <c r="C4" s="26" t="s">
        <v>56</v>
      </c>
      <c r="D4" s="26" t="s">
        <v>57</v>
      </c>
      <c r="E4" s="26" t="s">
        <v>55</v>
      </c>
      <c r="F4" s="26" t="s">
        <v>2</v>
      </c>
      <c r="O4" s="29" t="s">
        <v>72</v>
      </c>
      <c r="P4" s="28" t="s">
        <v>93</v>
      </c>
      <c r="Q4" s="28" t="s">
        <v>409</v>
      </c>
      <c r="S4" s="30" t="s">
        <v>90</v>
      </c>
      <c r="V4" s="30" t="s">
        <v>87</v>
      </c>
      <c r="X4" s="30" t="s">
        <v>89</v>
      </c>
      <c r="AA4" s="30" t="s">
        <v>130</v>
      </c>
      <c r="AE4" s="30" t="s">
        <v>131</v>
      </c>
      <c r="AG4" s="32" t="s">
        <v>332</v>
      </c>
      <c r="AP4" s="30" t="s">
        <v>184</v>
      </c>
      <c r="AU4" t="s">
        <v>195</v>
      </c>
      <c r="BA4" t="s">
        <v>199</v>
      </c>
    </row>
    <row r="5" spans="1:62">
      <c r="A5" s="85" t="s">
        <v>173</v>
      </c>
      <c r="B5" s="37" t="str">
        <f>A5</f>
        <v>강동지점OR수수료</v>
      </c>
      <c r="C5" s="51">
        <f>$K$5</f>
        <v>202111</v>
      </c>
      <c r="D5" s="25" t="s">
        <v>54</v>
      </c>
      <c r="E5" s="53" t="str">
        <f>C5&amp;"_"&amp;A5</f>
        <v>202111_강동지점OR수수료</v>
      </c>
      <c r="F5" s="25" t="s">
        <v>54</v>
      </c>
      <c r="G5" s="2" t="s">
        <v>364</v>
      </c>
      <c r="H5" s="2" t="s">
        <v>370</v>
      </c>
      <c r="I5" s="75" t="s">
        <v>534</v>
      </c>
      <c r="J5" s="29" t="s">
        <v>94</v>
      </c>
      <c r="K5" s="136">
        <v>202111</v>
      </c>
      <c r="L5" s="136"/>
      <c r="M5" t="s">
        <v>161</v>
      </c>
      <c r="O5" s="87" t="s">
        <v>422</v>
      </c>
      <c r="P5" s="108" t="s">
        <v>58</v>
      </c>
      <c r="Q5" s="87" t="s">
        <v>89</v>
      </c>
      <c r="S5" s="29" t="s">
        <v>28</v>
      </c>
      <c r="T5" s="29" t="s">
        <v>45</v>
      </c>
      <c r="U5" s="24"/>
      <c r="V5" s="29" t="s">
        <v>28</v>
      </c>
      <c r="W5" s="24"/>
      <c r="X5" s="29" t="s">
        <v>28</v>
      </c>
      <c r="Y5" s="29" t="s">
        <v>45</v>
      </c>
      <c r="AA5" s="1" t="s">
        <v>0</v>
      </c>
      <c r="AB5" s="29" t="s">
        <v>28</v>
      </c>
      <c r="AC5" s="29" t="s">
        <v>48</v>
      </c>
      <c r="AE5" s="34" t="s">
        <v>104</v>
      </c>
      <c r="AP5" s="29" t="s">
        <v>28</v>
      </c>
      <c r="AQ5" s="29" t="s">
        <v>182</v>
      </c>
      <c r="AR5" s="29" t="s">
        <v>159</v>
      </c>
      <c r="AU5" s="29" t="s">
        <v>202</v>
      </c>
      <c r="AV5" s="29" t="s">
        <v>191</v>
      </c>
      <c r="AW5" s="29" t="s">
        <v>192</v>
      </c>
      <c r="AX5" s="29" t="s">
        <v>203</v>
      </c>
      <c r="AY5" s="29" t="s">
        <v>193</v>
      </c>
      <c r="BA5" s="62" t="s">
        <v>206</v>
      </c>
      <c r="BB5" s="63">
        <v>7</v>
      </c>
      <c r="BC5" s="63">
        <v>8</v>
      </c>
      <c r="BD5" s="63">
        <v>9</v>
      </c>
      <c r="BE5" s="63">
        <v>10</v>
      </c>
      <c r="BF5" s="63">
        <v>11</v>
      </c>
      <c r="BG5" s="63">
        <v>12</v>
      </c>
      <c r="BH5" s="63">
        <v>13</v>
      </c>
      <c r="BI5" s="63">
        <v>14</v>
      </c>
      <c r="BJ5" s="63">
        <v>18</v>
      </c>
    </row>
    <row r="6" spans="1:62">
      <c r="A6" s="40"/>
      <c r="B6" s="38" t="str">
        <f t="shared" ref="B6:B34" si="0">IF(A6="",B5,A6)</f>
        <v>강동지점OR수수료</v>
      </c>
      <c r="C6" s="52">
        <f t="shared" ref="C6:C40" si="1">IF(B6&lt;&gt;"",$K$5,"")</f>
        <v>202111</v>
      </c>
      <c r="D6" s="2" t="s">
        <v>30</v>
      </c>
      <c r="E6" s="53"/>
      <c r="F6" s="2" t="s">
        <v>30</v>
      </c>
      <c r="G6" s="2" t="s">
        <v>371</v>
      </c>
      <c r="H6" s="2" t="s">
        <v>370</v>
      </c>
      <c r="I6" s="76"/>
      <c r="J6" s="29" t="s">
        <v>95</v>
      </c>
      <c r="K6" s="136" t="s">
        <v>1520</v>
      </c>
      <c r="L6" s="136"/>
      <c r="M6" t="s">
        <v>162</v>
      </c>
      <c r="O6" s="87" t="s">
        <v>423</v>
      </c>
      <c r="P6" s="87" t="s">
        <v>424</v>
      </c>
      <c r="Q6" s="87" t="s">
        <v>325</v>
      </c>
      <c r="S6" s="50" t="str">
        <f>VLOOKUP(대상작업,작업정보,2,0)</f>
        <v>글래드프라임</v>
      </c>
      <c r="T6" s="27" t="s">
        <v>69</v>
      </c>
      <c r="U6" s="24"/>
      <c r="V6" s="50" t="str">
        <f>IF(V8="글래드","=글래드",V8)</f>
        <v>글래드프라임</v>
      </c>
      <c r="W6" s="24"/>
      <c r="X6" s="27" t="s">
        <v>1346</v>
      </c>
      <c r="Y6" s="27" t="s">
        <v>69</v>
      </c>
      <c r="AA6" s="1" t="s">
        <v>392</v>
      </c>
      <c r="AB6" s="27"/>
      <c r="AC6" s="50" t="str">
        <f>IF(AA6&lt;&gt;"","&lt;&gt;0","")</f>
        <v>&lt;&gt;0</v>
      </c>
      <c r="AE6" s="44">
        <v>201801</v>
      </c>
      <c r="AF6" s="44"/>
      <c r="AG6" t="s">
        <v>78</v>
      </c>
      <c r="AH6">
        <v>201801</v>
      </c>
      <c r="AI6" t="s">
        <v>53</v>
      </c>
      <c r="AJ6" t="s">
        <v>414</v>
      </c>
      <c r="AK6" t="s">
        <v>67</v>
      </c>
      <c r="AL6" t="s">
        <v>287</v>
      </c>
      <c r="AM6" t="s">
        <v>275</v>
      </c>
      <c r="AP6" s="60" t="s">
        <v>1346</v>
      </c>
      <c r="AQ6" s="60" t="s">
        <v>177</v>
      </c>
      <c r="AR6" s="2" t="s">
        <v>183</v>
      </c>
      <c r="AU6" s="60" t="s">
        <v>200</v>
      </c>
      <c r="AV6" s="60" t="s">
        <v>190</v>
      </c>
      <c r="AW6" s="60">
        <v>320171141605</v>
      </c>
      <c r="AX6" s="61" t="s">
        <v>204</v>
      </c>
      <c r="AY6" s="59" t="s">
        <v>189</v>
      </c>
      <c r="BA6" s="64" t="s">
        <v>196</v>
      </c>
      <c r="BB6" s="68">
        <v>0.2898</v>
      </c>
      <c r="BC6" s="68">
        <v>0.2898</v>
      </c>
      <c r="BD6" s="68">
        <v>0.2898</v>
      </c>
      <c r="BE6" s="68">
        <v>0.2898</v>
      </c>
      <c r="BF6" s="68">
        <v>0.2898</v>
      </c>
      <c r="BG6" s="68">
        <v>0.2898</v>
      </c>
      <c r="BH6" s="65">
        <v>0.1188</v>
      </c>
      <c r="BI6" s="65">
        <v>0.1188</v>
      </c>
      <c r="BJ6" s="66">
        <v>0</v>
      </c>
    </row>
    <row r="7" spans="1:62">
      <c r="A7" s="40"/>
      <c r="B7" s="38" t="str">
        <f t="shared" si="0"/>
        <v>강동지점OR수수료</v>
      </c>
      <c r="C7" s="52">
        <f t="shared" si="1"/>
        <v>202111</v>
      </c>
      <c r="D7" s="2" t="s">
        <v>59</v>
      </c>
      <c r="E7" s="53"/>
      <c r="F7" s="2" t="s">
        <v>59</v>
      </c>
      <c r="G7" s="2" t="s">
        <v>372</v>
      </c>
      <c r="H7" s="2" t="s">
        <v>370</v>
      </c>
      <c r="I7" s="76"/>
      <c r="J7" s="29" t="s">
        <v>96</v>
      </c>
      <c r="K7" s="133" t="str">
        <f>VLOOKUP(대상작업,작업정보,3,0)</f>
        <v>지점필터</v>
      </c>
      <c r="L7" s="133"/>
      <c r="O7" s="87" t="s">
        <v>406</v>
      </c>
      <c r="P7" s="87" t="s">
        <v>411</v>
      </c>
      <c r="Q7" s="87" t="s">
        <v>408</v>
      </c>
      <c r="S7" s="50" t="str">
        <f>VLOOKUP(대상작업,작업정보,2,0)</f>
        <v>글래드프라임</v>
      </c>
      <c r="T7" s="27" t="s">
        <v>70</v>
      </c>
      <c r="U7" s="24"/>
      <c r="W7" s="24"/>
      <c r="X7" s="27" t="s">
        <v>1346</v>
      </c>
      <c r="Y7" s="27" t="s">
        <v>70</v>
      </c>
      <c r="AA7" s="1" t="s">
        <v>393</v>
      </c>
      <c r="AB7" s="27"/>
      <c r="AC7" s="50" t="str">
        <f t="shared" ref="AC7:AC38" si="2">IF(AA7&lt;&gt;"","&lt;&gt;0","")</f>
        <v>&lt;&gt;0</v>
      </c>
      <c r="AE7" s="44">
        <v>201712</v>
      </c>
      <c r="AF7" s="44"/>
      <c r="AG7" t="s">
        <v>78</v>
      </c>
      <c r="AH7">
        <v>201712</v>
      </c>
      <c r="AI7" t="s">
        <v>53</v>
      </c>
      <c r="AK7" t="s">
        <v>67</v>
      </c>
      <c r="AL7" t="s">
        <v>288</v>
      </c>
      <c r="AM7" t="s">
        <v>275</v>
      </c>
      <c r="AP7" s="60" t="s">
        <v>1346</v>
      </c>
      <c r="AQ7" s="60" t="s">
        <v>178</v>
      </c>
      <c r="AR7" s="2" t="s">
        <v>183</v>
      </c>
      <c r="AU7" s="60" t="s">
        <v>200</v>
      </c>
      <c r="AV7" s="60" t="s">
        <v>190</v>
      </c>
      <c r="AW7" s="60">
        <v>320171137492</v>
      </c>
      <c r="AX7" s="61" t="s">
        <v>204</v>
      </c>
      <c r="AY7" s="59" t="s">
        <v>189</v>
      </c>
      <c r="BA7" s="67" t="s">
        <v>200</v>
      </c>
      <c r="BB7" s="65">
        <v>0.23749999999999999</v>
      </c>
      <c r="BC7" s="65">
        <v>0.23749999999999999</v>
      </c>
      <c r="BD7" s="65">
        <v>0.23749999999999999</v>
      </c>
      <c r="BE7" s="65">
        <v>0.23749999999999999</v>
      </c>
      <c r="BF7" s="65">
        <v>0.23749999999999999</v>
      </c>
      <c r="BG7" s="65">
        <v>0.23749999999999999</v>
      </c>
      <c r="BH7" s="65">
        <v>0.35149999999999998</v>
      </c>
      <c r="BI7" s="66">
        <v>0</v>
      </c>
      <c r="BJ7" s="66">
        <v>0</v>
      </c>
    </row>
    <row r="8" spans="1:62">
      <c r="A8" s="40"/>
      <c r="B8" s="38" t="str">
        <f t="shared" si="0"/>
        <v>강동지점OR수수료</v>
      </c>
      <c r="C8" s="52">
        <f t="shared" si="1"/>
        <v>202111</v>
      </c>
      <c r="D8" s="2" t="s">
        <v>60</v>
      </c>
      <c r="E8" s="53"/>
      <c r="F8" s="2" t="s">
        <v>60</v>
      </c>
      <c r="G8" s="2" t="s">
        <v>373</v>
      </c>
      <c r="H8" s="2" t="s">
        <v>370</v>
      </c>
      <c r="I8" s="76"/>
      <c r="J8" t="s">
        <v>142</v>
      </c>
      <c r="O8" s="87" t="s">
        <v>1343</v>
      </c>
      <c r="P8" s="87" t="s">
        <v>1363</v>
      </c>
      <c r="Q8" s="87" t="s">
        <v>87</v>
      </c>
      <c r="S8" s="50" t="str">
        <f>VLOOKUP(대상작업,작업정보,2,0)</f>
        <v>글래드프라임</v>
      </c>
      <c r="T8" s="27" t="s">
        <v>71</v>
      </c>
      <c r="U8" s="24"/>
      <c r="V8" t="str">
        <f>VLOOKUP(대상작업,작업정보,2,0)</f>
        <v>글래드프라임</v>
      </c>
      <c r="W8" s="24"/>
      <c r="X8" s="27" t="s">
        <v>1346</v>
      </c>
      <c r="Y8" s="27" t="s">
        <v>71</v>
      </c>
      <c r="AA8" s="1" t="s">
        <v>377</v>
      </c>
      <c r="AB8" s="27"/>
      <c r="AC8" s="50" t="str">
        <f t="shared" si="2"/>
        <v>&lt;&gt;0</v>
      </c>
      <c r="AE8" s="44">
        <v>201711</v>
      </c>
      <c r="AF8" s="44"/>
      <c r="AG8" t="s">
        <v>78</v>
      </c>
      <c r="AH8">
        <v>201711</v>
      </c>
      <c r="AI8" t="s">
        <v>53</v>
      </c>
      <c r="AK8" t="s">
        <v>67</v>
      </c>
      <c r="AL8" t="s">
        <v>289</v>
      </c>
      <c r="AM8" t="s">
        <v>275</v>
      </c>
      <c r="AP8" s="60" t="s">
        <v>1346</v>
      </c>
      <c r="AQ8" s="60" t="s">
        <v>179</v>
      </c>
      <c r="AR8" s="2" t="s">
        <v>183</v>
      </c>
      <c r="AU8" s="60" t="s">
        <v>200</v>
      </c>
      <c r="AV8" s="60" t="s">
        <v>190</v>
      </c>
      <c r="AW8" s="60">
        <v>320171096564</v>
      </c>
      <c r="AX8" s="61" t="s">
        <v>204</v>
      </c>
      <c r="AY8" s="59" t="s">
        <v>189</v>
      </c>
      <c r="BA8" s="64" t="s">
        <v>197</v>
      </c>
      <c r="BB8" s="65">
        <v>0.27310000000000001</v>
      </c>
      <c r="BC8" s="65">
        <v>0.27310000000000001</v>
      </c>
      <c r="BD8" s="65">
        <v>0.27310000000000001</v>
      </c>
      <c r="BE8" s="65">
        <v>0.27310000000000001</v>
      </c>
      <c r="BF8" s="65">
        <v>0.27310000000000001</v>
      </c>
      <c r="BG8" s="65">
        <v>0.27310000000000001</v>
      </c>
      <c r="BH8" s="65">
        <v>0.26129999999999998</v>
      </c>
      <c r="BI8" s="66">
        <v>0</v>
      </c>
      <c r="BJ8" s="66">
        <v>0</v>
      </c>
    </row>
    <row r="9" spans="1:62">
      <c r="A9" s="39" t="s">
        <v>406</v>
      </c>
      <c r="B9" s="37" t="str">
        <f>A9</f>
        <v>여주레전드지점OR수수료</v>
      </c>
      <c r="C9" s="51">
        <f>$K$5</f>
        <v>202111</v>
      </c>
      <c r="D9" s="25" t="s">
        <v>54</v>
      </c>
      <c r="E9" s="53" t="str">
        <f>C9&amp;"_"&amp;A9</f>
        <v>202111_여주레전드지점OR수수료</v>
      </c>
      <c r="F9" s="25" t="s">
        <v>54</v>
      </c>
      <c r="G9" s="2" t="s">
        <v>1494</v>
      </c>
      <c r="H9" s="2" t="s">
        <v>1490</v>
      </c>
      <c r="I9" s="75" t="s">
        <v>250</v>
      </c>
      <c r="J9" t="s">
        <v>143</v>
      </c>
      <c r="O9" s="87" t="s">
        <v>1344</v>
      </c>
      <c r="P9" s="87" t="s">
        <v>1364</v>
      </c>
      <c r="Q9" s="87" t="s">
        <v>87</v>
      </c>
      <c r="X9" s="27" t="s">
        <v>1347</v>
      </c>
      <c r="Y9" s="27" t="s">
        <v>69</v>
      </c>
      <c r="AA9" s="1" t="s">
        <v>378</v>
      </c>
      <c r="AB9" s="27"/>
      <c r="AC9" s="50" t="str">
        <f t="shared" si="2"/>
        <v>&lt;&gt;0</v>
      </c>
      <c r="AE9" s="44">
        <v>201710</v>
      </c>
      <c r="AF9" s="44"/>
      <c r="AG9" t="s">
        <v>78</v>
      </c>
      <c r="AH9">
        <v>201710</v>
      </c>
      <c r="AI9" t="s">
        <v>53</v>
      </c>
      <c r="AK9" t="s">
        <v>67</v>
      </c>
      <c r="AL9" t="s">
        <v>290</v>
      </c>
      <c r="AM9" t="s">
        <v>275</v>
      </c>
      <c r="AP9" s="60" t="s">
        <v>1346</v>
      </c>
      <c r="AQ9" s="60" t="s">
        <v>180</v>
      </c>
      <c r="AR9" s="2" t="s">
        <v>183</v>
      </c>
      <c r="AU9" s="60" t="s">
        <v>200</v>
      </c>
      <c r="AV9" s="60" t="s">
        <v>190</v>
      </c>
      <c r="AW9" s="60">
        <v>320171060870</v>
      </c>
      <c r="AX9" s="61" t="s">
        <v>204</v>
      </c>
      <c r="AY9" s="59" t="s">
        <v>189</v>
      </c>
      <c r="BA9" s="64" t="s">
        <v>198</v>
      </c>
      <c r="BB9" s="65">
        <v>0.28499999999999998</v>
      </c>
      <c r="BC9" s="65">
        <v>0.28499999999999998</v>
      </c>
      <c r="BD9" s="65">
        <v>0.28499999999999998</v>
      </c>
      <c r="BE9" s="65">
        <v>0.28499999999999998</v>
      </c>
      <c r="BF9" s="65">
        <v>0.28499999999999998</v>
      </c>
      <c r="BG9" s="65">
        <v>0.28499999999999998</v>
      </c>
      <c r="BH9" s="65">
        <v>0.20899999999999999</v>
      </c>
      <c r="BI9" s="66">
        <v>0</v>
      </c>
      <c r="BJ9" s="65">
        <v>0.17100000000000001</v>
      </c>
    </row>
    <row r="10" spans="1:62">
      <c r="A10" s="40"/>
      <c r="B10" s="38" t="str">
        <f>IF(A10="",B9,A10)</f>
        <v>여주레전드지점OR수수료</v>
      </c>
      <c r="C10" s="52">
        <f>IF(B10&lt;&gt;"",$K$5,"")</f>
        <v>202111</v>
      </c>
      <c r="D10" s="2" t="s">
        <v>30</v>
      </c>
      <c r="E10" s="53"/>
      <c r="F10" s="2" t="s">
        <v>30</v>
      </c>
      <c r="G10" s="2" t="s">
        <v>1495</v>
      </c>
      <c r="H10" s="2" t="s">
        <v>370</v>
      </c>
      <c r="I10" s="76"/>
      <c r="O10" s="87" t="s">
        <v>1345</v>
      </c>
      <c r="P10" s="87" t="s">
        <v>1347</v>
      </c>
      <c r="Q10" s="87" t="s">
        <v>87</v>
      </c>
      <c r="X10" s="27" t="s">
        <v>1347</v>
      </c>
      <c r="Y10" s="27" t="s">
        <v>70</v>
      </c>
      <c r="AA10" s="1" t="s">
        <v>379</v>
      </c>
      <c r="AB10" s="27"/>
      <c r="AC10" s="50" t="str">
        <f t="shared" si="2"/>
        <v>&lt;&gt;0</v>
      </c>
      <c r="AE10" s="44">
        <v>201709</v>
      </c>
      <c r="AF10" s="44"/>
      <c r="AG10" t="s">
        <v>78</v>
      </c>
      <c r="AH10">
        <v>201709</v>
      </c>
      <c r="AI10" t="s">
        <v>53</v>
      </c>
      <c r="AK10" t="s">
        <v>67</v>
      </c>
      <c r="AL10" t="s">
        <v>291</v>
      </c>
      <c r="AM10" t="s">
        <v>275</v>
      </c>
      <c r="AP10" s="60" t="s">
        <v>1346</v>
      </c>
      <c r="AQ10" s="60" t="s">
        <v>181</v>
      </c>
      <c r="AR10" s="2" t="s">
        <v>183</v>
      </c>
      <c r="AU10" s="60" t="s">
        <v>200</v>
      </c>
      <c r="AV10" s="60" t="s">
        <v>190</v>
      </c>
      <c r="AW10" s="60">
        <v>320171055564</v>
      </c>
      <c r="AX10" s="61" t="s">
        <v>204</v>
      </c>
      <c r="AY10" s="59" t="s">
        <v>189</v>
      </c>
    </row>
    <row r="11" spans="1:62">
      <c r="A11" s="40"/>
      <c r="B11" s="38" t="str">
        <f>IF(A11="",B10,A11)</f>
        <v>여주레전드지점OR수수료</v>
      </c>
      <c r="C11" s="52">
        <f>IF(B11&lt;&gt;"",$K$5,"")</f>
        <v>202111</v>
      </c>
      <c r="D11" s="2" t="s">
        <v>59</v>
      </c>
      <c r="E11" s="53"/>
      <c r="F11" s="2" t="s">
        <v>59</v>
      </c>
      <c r="G11" s="2" t="s">
        <v>1496</v>
      </c>
      <c r="H11" s="2" t="s">
        <v>370</v>
      </c>
      <c r="I11" s="76"/>
      <c r="M11" t="s">
        <v>470</v>
      </c>
      <c r="O11" s="87" t="s">
        <v>1478</v>
      </c>
      <c r="P11" s="87" t="s">
        <v>1348</v>
      </c>
      <c r="Q11" s="87" t="s">
        <v>541</v>
      </c>
      <c r="V11" s="30" t="s">
        <v>113</v>
      </c>
      <c r="X11" s="27" t="s">
        <v>1347</v>
      </c>
      <c r="Y11" s="27" t="s">
        <v>71</v>
      </c>
      <c r="AA11" s="1" t="s">
        <v>380</v>
      </c>
      <c r="AB11" s="27"/>
      <c r="AC11" s="50" t="str">
        <f t="shared" si="2"/>
        <v>&lt;&gt;0</v>
      </c>
      <c r="AE11" s="44">
        <v>201708</v>
      </c>
      <c r="AF11" s="44"/>
      <c r="AG11" t="s">
        <v>78</v>
      </c>
      <c r="AH11">
        <v>201708</v>
      </c>
      <c r="AI11" t="s">
        <v>53</v>
      </c>
      <c r="AK11" t="s">
        <v>67</v>
      </c>
      <c r="AL11" t="s">
        <v>292</v>
      </c>
      <c r="AM11" t="s">
        <v>275</v>
      </c>
      <c r="AU11" s="60" t="s">
        <v>200</v>
      </c>
      <c r="AV11" s="60" t="s">
        <v>190</v>
      </c>
      <c r="AW11" s="60">
        <v>320171054095</v>
      </c>
      <c r="AX11" s="61" t="s">
        <v>204</v>
      </c>
      <c r="AY11" s="59" t="s">
        <v>189</v>
      </c>
    </row>
    <row r="12" spans="1:62">
      <c r="A12" s="40"/>
      <c r="B12" s="38" t="str">
        <f>IF(A12="",B11,A12)</f>
        <v>여주레전드지점OR수수료</v>
      </c>
      <c r="C12" s="52">
        <f>IF(B12&lt;&gt;"",$K$5,"")</f>
        <v>202111</v>
      </c>
      <c r="D12" s="2" t="s">
        <v>60</v>
      </c>
      <c r="E12" s="53"/>
      <c r="F12" s="2" t="s">
        <v>60</v>
      </c>
      <c r="G12" s="2" t="s">
        <v>1497</v>
      </c>
      <c r="H12" s="2" t="s">
        <v>1498</v>
      </c>
      <c r="I12" s="76"/>
      <c r="O12" s="87" t="s">
        <v>1370</v>
      </c>
      <c r="P12" s="87" t="s">
        <v>1393</v>
      </c>
      <c r="Q12" s="87" t="s">
        <v>1395</v>
      </c>
      <c r="S12" t="s">
        <v>326</v>
      </c>
      <c r="V12" s="29" t="s">
        <v>114</v>
      </c>
      <c r="X12" s="27" t="s">
        <v>1348</v>
      </c>
      <c r="Y12" s="27" t="s">
        <v>69</v>
      </c>
      <c r="AA12" s="1" t="s">
        <v>365</v>
      </c>
      <c r="AB12" s="27"/>
      <c r="AC12" s="50" t="str">
        <f t="shared" si="2"/>
        <v>&lt;&gt;0</v>
      </c>
      <c r="AE12" s="44">
        <v>201707</v>
      </c>
      <c r="AF12" s="44"/>
      <c r="AG12" t="s">
        <v>78</v>
      </c>
      <c r="AH12">
        <v>201707</v>
      </c>
      <c r="AI12" t="s">
        <v>53</v>
      </c>
      <c r="AK12" t="s">
        <v>67</v>
      </c>
      <c r="AL12" t="s">
        <v>293</v>
      </c>
      <c r="AM12" t="s">
        <v>275</v>
      </c>
      <c r="AU12" s="60" t="s">
        <v>196</v>
      </c>
      <c r="AV12" s="60" t="s">
        <v>190</v>
      </c>
      <c r="AW12" s="60">
        <v>20173991129</v>
      </c>
      <c r="AX12" s="61" t="s">
        <v>204</v>
      </c>
      <c r="AY12" s="59" t="s">
        <v>201</v>
      </c>
    </row>
    <row r="13" spans="1:62">
      <c r="A13" s="40" t="s">
        <v>1343</v>
      </c>
      <c r="B13" s="38" t="str">
        <f>IF(A13="",B8,A13)</f>
        <v>글래드상동_수입원장정산</v>
      </c>
      <c r="C13" s="52">
        <f t="shared" si="1"/>
        <v>202111</v>
      </c>
      <c r="D13" s="2" t="s">
        <v>54</v>
      </c>
      <c r="E13" s="53" t="str">
        <f>C13&amp;"_"&amp;A13</f>
        <v>202111_글래드상동_수입원장정산</v>
      </c>
      <c r="F13" s="2" t="s">
        <v>61</v>
      </c>
      <c r="G13" s="2" t="s">
        <v>1507</v>
      </c>
      <c r="H13" s="2" t="s">
        <v>370</v>
      </c>
      <c r="I13" s="76"/>
      <c r="O13" s="87" t="s">
        <v>167</v>
      </c>
      <c r="P13" t="s">
        <v>1349</v>
      </c>
      <c r="Q13" s="87" t="s">
        <v>404</v>
      </c>
      <c r="S13" s="29" t="s">
        <v>28</v>
      </c>
      <c r="T13" s="29" t="s">
        <v>45</v>
      </c>
      <c r="V13" s="27" t="s">
        <v>115</v>
      </c>
      <c r="X13" s="27" t="s">
        <v>1348</v>
      </c>
      <c r="Y13" s="27" t="s">
        <v>70</v>
      </c>
      <c r="AA13" s="1" t="s">
        <v>366</v>
      </c>
      <c r="AB13" s="27"/>
      <c r="AC13" s="50" t="str">
        <f t="shared" si="2"/>
        <v>&lt;&gt;0</v>
      </c>
      <c r="AE13" s="44">
        <v>201706</v>
      </c>
      <c r="AF13" s="44"/>
      <c r="AG13" t="s">
        <v>78</v>
      </c>
      <c r="AH13">
        <v>201706</v>
      </c>
      <c r="AI13" t="s">
        <v>53</v>
      </c>
      <c r="AK13" t="s">
        <v>67</v>
      </c>
      <c r="AL13" t="s">
        <v>294</v>
      </c>
      <c r="AM13" t="s">
        <v>275</v>
      </c>
      <c r="AU13" s="60" t="s">
        <v>198</v>
      </c>
      <c r="AV13" s="60" t="s">
        <v>190</v>
      </c>
      <c r="AW13" s="60">
        <v>6095033199</v>
      </c>
      <c r="AX13" s="61" t="s">
        <v>204</v>
      </c>
      <c r="AY13" s="70" t="s">
        <v>227</v>
      </c>
    </row>
    <row r="14" spans="1:62">
      <c r="A14" s="40"/>
      <c r="B14" s="38" t="str">
        <f t="shared" si="0"/>
        <v>글래드상동_수입원장정산</v>
      </c>
      <c r="C14" s="52">
        <f t="shared" si="1"/>
        <v>202111</v>
      </c>
      <c r="D14" s="2" t="s">
        <v>30</v>
      </c>
      <c r="E14" s="53"/>
      <c r="F14" s="2" t="s">
        <v>62</v>
      </c>
      <c r="G14" s="2" t="s">
        <v>1488</v>
      </c>
      <c r="H14" s="2" t="s">
        <v>370</v>
      </c>
      <c r="I14" s="76"/>
      <c r="O14" s="87" t="s">
        <v>489</v>
      </c>
      <c r="P14" s="108"/>
      <c r="Q14" s="87" t="s">
        <v>490</v>
      </c>
      <c r="S14" s="50" t="s">
        <v>1350</v>
      </c>
      <c r="T14" s="27" t="s">
        <v>69</v>
      </c>
      <c r="X14" s="27" t="s">
        <v>1348</v>
      </c>
      <c r="Y14" s="27" t="s">
        <v>71</v>
      </c>
      <c r="AA14" s="1" t="s">
        <v>367</v>
      </c>
      <c r="AB14" s="27"/>
      <c r="AC14" s="50" t="str">
        <f t="shared" si="2"/>
        <v>&lt;&gt;0</v>
      </c>
      <c r="AE14" s="44">
        <v>201705</v>
      </c>
      <c r="AF14" s="44"/>
      <c r="AG14" t="s">
        <v>78</v>
      </c>
      <c r="AH14">
        <v>201705</v>
      </c>
      <c r="AI14" t="s">
        <v>53</v>
      </c>
      <c r="AK14" t="s">
        <v>67</v>
      </c>
      <c r="AL14" t="s">
        <v>295</v>
      </c>
      <c r="AM14" t="s">
        <v>275</v>
      </c>
      <c r="AP14" t="s">
        <v>224</v>
      </c>
      <c r="AU14" s="60" t="s">
        <v>198</v>
      </c>
      <c r="AV14" s="60" t="s">
        <v>190</v>
      </c>
      <c r="AW14" s="60">
        <v>6095030033</v>
      </c>
      <c r="AX14" s="61" t="s">
        <v>204</v>
      </c>
      <c r="AY14" s="70" t="s">
        <v>227</v>
      </c>
    </row>
    <row r="15" spans="1:62">
      <c r="A15" s="40"/>
      <c r="B15" s="38" t="str">
        <f t="shared" si="0"/>
        <v>글래드상동_수입원장정산</v>
      </c>
      <c r="C15" s="52">
        <f t="shared" si="1"/>
        <v>202111</v>
      </c>
      <c r="D15" s="2" t="s">
        <v>59</v>
      </c>
      <c r="E15" s="53"/>
      <c r="F15" s="2" t="s">
        <v>63</v>
      </c>
      <c r="G15" s="2" t="s">
        <v>1496</v>
      </c>
      <c r="H15" s="2" t="s">
        <v>370</v>
      </c>
      <c r="I15" s="76"/>
      <c r="O15" s="87" t="s">
        <v>1373</v>
      </c>
      <c r="P15" s="87" t="s">
        <v>1372</v>
      </c>
      <c r="Q15" s="87" t="s">
        <v>490</v>
      </c>
      <c r="S15" s="50" t="s">
        <v>1350</v>
      </c>
      <c r="T15" s="27" t="s">
        <v>70</v>
      </c>
      <c r="X15" s="27" t="s">
        <v>1349</v>
      </c>
      <c r="Y15" s="27" t="s">
        <v>120</v>
      </c>
      <c r="AA15" s="1" t="s">
        <v>351</v>
      </c>
      <c r="AB15" s="27"/>
      <c r="AC15" s="50" t="str">
        <f t="shared" si="2"/>
        <v>&lt;&gt;0</v>
      </c>
      <c r="AE15" s="44">
        <v>201704</v>
      </c>
      <c r="AF15" s="44"/>
      <c r="AG15" t="s">
        <v>78</v>
      </c>
      <c r="AH15">
        <v>201704</v>
      </c>
      <c r="AI15" t="s">
        <v>53</v>
      </c>
      <c r="AK15" t="s">
        <v>67</v>
      </c>
      <c r="AL15" t="s">
        <v>296</v>
      </c>
      <c r="AM15" t="s">
        <v>275</v>
      </c>
      <c r="AP15" s="71" t="s">
        <v>4</v>
      </c>
      <c r="AQ15" s="2" t="s">
        <v>220</v>
      </c>
      <c r="AU15" s="60" t="s">
        <v>198</v>
      </c>
      <c r="AV15" s="60" t="s">
        <v>190</v>
      </c>
      <c r="AW15" s="60">
        <v>6095028144</v>
      </c>
      <c r="AX15" s="61" t="s">
        <v>204</v>
      </c>
      <c r="AY15" s="70" t="s">
        <v>227</v>
      </c>
    </row>
    <row r="16" spans="1:62" ht="19.5" customHeight="1">
      <c r="A16" s="40"/>
      <c r="B16" s="38" t="str">
        <f t="shared" si="0"/>
        <v>글래드상동_수입원장정산</v>
      </c>
      <c r="C16" s="52">
        <f t="shared" si="1"/>
        <v>202111</v>
      </c>
      <c r="D16" s="2" t="s">
        <v>60</v>
      </c>
      <c r="E16" s="53"/>
      <c r="F16" s="2" t="s">
        <v>64</v>
      </c>
      <c r="G16" s="2" t="s">
        <v>1508</v>
      </c>
      <c r="H16" s="2" t="s">
        <v>1509</v>
      </c>
      <c r="I16" s="76"/>
      <c r="O16" s="87" t="s">
        <v>1333</v>
      </c>
      <c r="P16" s="108" t="s">
        <v>1337</v>
      </c>
      <c r="Q16" s="109" t="s">
        <v>518</v>
      </c>
      <c r="S16" s="50" t="s">
        <v>1350</v>
      </c>
      <c r="T16" s="27" t="s">
        <v>71</v>
      </c>
      <c r="V16" s="30" t="s">
        <v>225</v>
      </c>
      <c r="X16" s="27" t="s">
        <v>1349</v>
      </c>
      <c r="Y16" s="27" t="s">
        <v>121</v>
      </c>
      <c r="AA16" s="1" t="s">
        <v>368</v>
      </c>
      <c r="AB16" s="27"/>
      <c r="AC16" s="50" t="str">
        <f t="shared" si="2"/>
        <v>&lt;&gt;0</v>
      </c>
      <c r="AE16" s="44">
        <v>201703</v>
      </c>
      <c r="AF16" s="44"/>
      <c r="AG16" t="s">
        <v>78</v>
      </c>
      <c r="AH16">
        <v>201703</v>
      </c>
      <c r="AI16" t="s">
        <v>53</v>
      </c>
      <c r="AK16" t="s">
        <v>67</v>
      </c>
      <c r="AL16" t="s">
        <v>297</v>
      </c>
      <c r="AM16" t="s">
        <v>275</v>
      </c>
      <c r="AP16" s="72" t="s">
        <v>1346</v>
      </c>
      <c r="AQ16" s="72" t="s">
        <v>1346</v>
      </c>
      <c r="AU16" s="60" t="s">
        <v>198</v>
      </c>
      <c r="AV16" s="60" t="s">
        <v>190</v>
      </c>
      <c r="AW16" s="60">
        <v>6095022844</v>
      </c>
      <c r="AX16" s="61" t="s">
        <v>204</v>
      </c>
      <c r="AY16" s="70" t="s">
        <v>227</v>
      </c>
    </row>
    <row r="17" spans="1:51" ht="19.5" customHeight="1">
      <c r="A17" s="40" t="s">
        <v>1344</v>
      </c>
      <c r="B17" s="38" t="str">
        <f t="shared" si="0"/>
        <v>글래드조은_수입원장정산</v>
      </c>
      <c r="C17" s="52">
        <f t="shared" si="1"/>
        <v>202111</v>
      </c>
      <c r="D17" s="2" t="s">
        <v>54</v>
      </c>
      <c r="E17" s="53" t="str">
        <f>C17&amp;"_"&amp;A17</f>
        <v>202111_글래드조은_수입원장정산</v>
      </c>
      <c r="F17" s="2" t="s">
        <v>61</v>
      </c>
      <c r="G17" s="2" t="s">
        <v>1489</v>
      </c>
      <c r="H17" s="2" t="s">
        <v>1510</v>
      </c>
      <c r="I17" s="76"/>
      <c r="O17" s="87" t="s">
        <v>1334</v>
      </c>
      <c r="P17" s="108" t="s">
        <v>1337</v>
      </c>
      <c r="Q17" s="109" t="s">
        <v>518</v>
      </c>
      <c r="S17" s="50" t="s">
        <v>1351</v>
      </c>
      <c r="T17" s="27" t="s">
        <v>69</v>
      </c>
      <c r="V17" s="29" t="str">
        <f>IF(대상작업="글래드씨티엠_수입원장정산","직할지점","지점")</f>
        <v>지점</v>
      </c>
      <c r="X17" s="27" t="s">
        <v>1349</v>
      </c>
      <c r="Y17" s="27" t="s">
        <v>71</v>
      </c>
      <c r="AA17" s="1" t="s">
        <v>369</v>
      </c>
      <c r="AB17" s="27"/>
      <c r="AC17" s="50" t="str">
        <f t="shared" si="2"/>
        <v>&lt;&gt;0</v>
      </c>
      <c r="AE17" s="44">
        <v>201702</v>
      </c>
      <c r="AF17" s="44"/>
      <c r="AG17" t="s">
        <v>78</v>
      </c>
      <c r="AH17">
        <v>201702</v>
      </c>
      <c r="AI17" t="s">
        <v>53</v>
      </c>
      <c r="AK17" t="s">
        <v>67</v>
      </c>
      <c r="AL17" t="s">
        <v>298</v>
      </c>
      <c r="AM17" t="s">
        <v>275</v>
      </c>
      <c r="AP17" s="72" t="s">
        <v>221</v>
      </c>
      <c r="AQ17" s="72" t="s">
        <v>1365</v>
      </c>
      <c r="AU17" s="60" t="s">
        <v>198</v>
      </c>
      <c r="AV17" s="60" t="s">
        <v>190</v>
      </c>
      <c r="AW17" s="60">
        <v>6095215934</v>
      </c>
      <c r="AX17" s="61" t="s">
        <v>204</v>
      </c>
      <c r="AY17" s="70" t="s">
        <v>227</v>
      </c>
    </row>
    <row r="18" spans="1:51">
      <c r="A18" s="40"/>
      <c r="B18" s="38" t="str">
        <f t="shared" si="0"/>
        <v>글래드조은_수입원장정산</v>
      </c>
      <c r="C18" s="52">
        <f t="shared" si="1"/>
        <v>202111</v>
      </c>
      <c r="D18" s="2" t="s">
        <v>30</v>
      </c>
      <c r="E18" s="53"/>
      <c r="F18" s="2" t="s">
        <v>62</v>
      </c>
      <c r="G18" s="2" t="s">
        <v>1511</v>
      </c>
      <c r="H18" s="2" t="s">
        <v>1512</v>
      </c>
      <c r="I18" s="76"/>
      <c r="J18" s="88" t="s">
        <v>533</v>
      </c>
      <c r="O18" s="87" t="s">
        <v>1487</v>
      </c>
      <c r="P18" s="87" t="s">
        <v>1346</v>
      </c>
      <c r="Q18" s="87" t="s">
        <v>1505</v>
      </c>
      <c r="S18" s="50" t="s">
        <v>1351</v>
      </c>
      <c r="T18" s="27" t="s">
        <v>70</v>
      </c>
      <c r="V18" s="50" t="e">
        <f>SUBSTITUTE(VLOOKUP(V6,$AP$16:$AQ$26,2,0),"글래드","글래드")</f>
        <v>#N/A</v>
      </c>
      <c r="X18" s="27" t="s">
        <v>1349</v>
      </c>
      <c r="Y18" s="27" t="s">
        <v>69</v>
      </c>
      <c r="AA18" s="1" t="s">
        <v>345</v>
      </c>
      <c r="AB18" s="27"/>
      <c r="AC18" s="50" t="str">
        <f t="shared" si="2"/>
        <v>&lt;&gt;0</v>
      </c>
      <c r="AE18" s="44">
        <v>201701</v>
      </c>
      <c r="AF18" s="44"/>
      <c r="AG18" t="s">
        <v>78</v>
      </c>
      <c r="AH18">
        <v>201701</v>
      </c>
      <c r="AI18" t="s">
        <v>53</v>
      </c>
      <c r="AK18" t="s">
        <v>67</v>
      </c>
      <c r="AL18" t="s">
        <v>299</v>
      </c>
      <c r="AM18" t="s">
        <v>275</v>
      </c>
      <c r="AP18" s="72" t="s">
        <v>1363</v>
      </c>
      <c r="AQ18" s="72" t="s">
        <v>1363</v>
      </c>
      <c r="AU18" s="60" t="s">
        <v>197</v>
      </c>
      <c r="AV18" s="60" t="s">
        <v>190</v>
      </c>
      <c r="AW18" s="60" t="s">
        <v>185</v>
      </c>
      <c r="AX18" s="61" t="s">
        <v>204</v>
      </c>
      <c r="AY18" s="59" t="s">
        <v>189</v>
      </c>
    </row>
    <row r="19" spans="1:51">
      <c r="A19" s="40"/>
      <c r="B19" s="38" t="str">
        <f t="shared" si="0"/>
        <v>글래드조은_수입원장정산</v>
      </c>
      <c r="C19" s="52">
        <f t="shared" si="1"/>
        <v>202111</v>
      </c>
      <c r="D19" s="2" t="s">
        <v>60</v>
      </c>
      <c r="E19" s="53"/>
      <c r="F19" s="2" t="s">
        <v>64</v>
      </c>
      <c r="G19" s="2" t="s">
        <v>1497</v>
      </c>
      <c r="H19" s="2" t="s">
        <v>1512</v>
      </c>
      <c r="I19" s="76"/>
      <c r="J19" s="14" t="str">
        <f ca="1">VLOOKUP(대상년월,파일1정보,3,0)</f>
        <v>d:\글로벌백업(180329)\04.수수료작업\202111수수료\</v>
      </c>
      <c r="K19" s="43"/>
      <c r="O19" s="87" t="s">
        <v>564</v>
      </c>
      <c r="P19" s="87" t="s">
        <v>1346</v>
      </c>
      <c r="Q19" s="87" t="s">
        <v>570</v>
      </c>
      <c r="S19" s="50" t="s">
        <v>1351</v>
      </c>
      <c r="T19" s="27" t="s">
        <v>71</v>
      </c>
      <c r="X19" s="27" t="s">
        <v>1350</v>
      </c>
      <c r="Y19" s="27" t="s">
        <v>70</v>
      </c>
      <c r="AA19" s="1" t="s">
        <v>346</v>
      </c>
      <c r="AB19" s="27"/>
      <c r="AC19" s="50" t="str">
        <f t="shared" si="2"/>
        <v>&lt;&gt;0</v>
      </c>
      <c r="AP19" s="72" t="s">
        <v>1356</v>
      </c>
      <c r="AQ19" s="72" t="s">
        <v>1393</v>
      </c>
      <c r="AU19" s="60" t="s">
        <v>197</v>
      </c>
      <c r="AV19" s="60" t="s">
        <v>190</v>
      </c>
      <c r="AW19" s="60" t="s">
        <v>186</v>
      </c>
      <c r="AX19" s="61" t="s">
        <v>204</v>
      </c>
      <c r="AY19" s="59" t="s">
        <v>189</v>
      </c>
    </row>
    <row r="20" spans="1:51">
      <c r="A20" s="40" t="s">
        <v>1345</v>
      </c>
      <c r="B20" s="38" t="str">
        <f>IF(A20="",B11,A20)</f>
        <v>글래드경기_수입원장정산</v>
      </c>
      <c r="C20" s="52">
        <f t="shared" si="1"/>
        <v>202111</v>
      </c>
      <c r="D20" s="2" t="s">
        <v>54</v>
      </c>
      <c r="E20" s="53" t="str">
        <f>C20&amp;"_"&amp;A20</f>
        <v>202111_글래드경기_수입원장정산</v>
      </c>
      <c r="F20" s="2" t="s">
        <v>61</v>
      </c>
      <c r="G20" s="2" t="s">
        <v>1489</v>
      </c>
      <c r="H20" s="2" t="s">
        <v>1509</v>
      </c>
      <c r="I20" s="76"/>
      <c r="J20" s="73"/>
      <c r="O20" s="56" t="s">
        <v>165</v>
      </c>
      <c r="S20" s="50" t="s">
        <v>1355</v>
      </c>
      <c r="T20" s="27" t="s">
        <v>69</v>
      </c>
      <c r="X20" s="27" t="s">
        <v>1350</v>
      </c>
      <c r="Y20" s="27" t="s">
        <v>71</v>
      </c>
      <c r="AA20" s="1" t="s">
        <v>347</v>
      </c>
      <c r="AB20" s="27"/>
      <c r="AC20" s="50" t="str">
        <f t="shared" si="2"/>
        <v>&lt;&gt;0</v>
      </c>
      <c r="AE20" t="s">
        <v>108</v>
      </c>
      <c r="AP20" s="72" t="s">
        <v>222</v>
      </c>
      <c r="AQ20" s="72" t="s">
        <v>1397</v>
      </c>
      <c r="AU20" s="60" t="s">
        <v>197</v>
      </c>
      <c r="AV20" s="60" t="s">
        <v>190</v>
      </c>
      <c r="AW20" s="60" t="s">
        <v>187</v>
      </c>
      <c r="AX20" s="61" t="s">
        <v>204</v>
      </c>
      <c r="AY20" s="59" t="s">
        <v>189</v>
      </c>
    </row>
    <row r="21" spans="1:51">
      <c r="A21" s="40"/>
      <c r="B21" s="38" t="str">
        <f t="shared" ref="B21:B23" si="3">IF(A21="",B20,A21)</f>
        <v>글래드경기_수입원장정산</v>
      </c>
      <c r="C21" s="52">
        <f t="shared" si="1"/>
        <v>202111</v>
      </c>
      <c r="D21" s="2" t="s">
        <v>30</v>
      </c>
      <c r="E21" s="53"/>
      <c r="F21" s="2" t="s">
        <v>62</v>
      </c>
      <c r="G21" s="2" t="s">
        <v>1491</v>
      </c>
      <c r="H21" s="2" t="s">
        <v>1509</v>
      </c>
      <c r="I21" s="76"/>
      <c r="J21" s="111" t="s">
        <v>543</v>
      </c>
      <c r="L21" s="116">
        <f>IFERROR(VLOOKUP(대상작업,K22:L26,2,0),0)</f>
        <v>0</v>
      </c>
      <c r="O21" s="56" t="s">
        <v>328</v>
      </c>
      <c r="P21" t="s">
        <v>222</v>
      </c>
      <c r="S21" s="50" t="s">
        <v>1355</v>
      </c>
      <c r="T21" s="27" t="s">
        <v>70</v>
      </c>
      <c r="X21" s="27" t="s">
        <v>1351</v>
      </c>
      <c r="Y21" s="27" t="s">
        <v>69</v>
      </c>
      <c r="AA21" s="1" t="s">
        <v>348</v>
      </c>
      <c r="AB21" s="27"/>
      <c r="AC21" s="50" t="str">
        <f t="shared" si="2"/>
        <v>&lt;&gt;0</v>
      </c>
      <c r="AE21" t="s">
        <v>106</v>
      </c>
      <c r="AF21" s="15" t="s">
        <v>105</v>
      </c>
      <c r="AP21" s="72" t="s">
        <v>223</v>
      </c>
      <c r="AQ21" s="72" t="s">
        <v>1366</v>
      </c>
      <c r="AU21" s="60" t="s">
        <v>197</v>
      </c>
      <c r="AV21" s="60" t="s">
        <v>190</v>
      </c>
      <c r="AW21" s="60" t="s">
        <v>188</v>
      </c>
      <c r="AX21" s="61" t="s">
        <v>204</v>
      </c>
      <c r="AY21" s="59" t="s">
        <v>189</v>
      </c>
    </row>
    <row r="22" spans="1:51">
      <c r="A22" s="40"/>
      <c r="B22" s="38" t="str">
        <f t="shared" si="3"/>
        <v>글래드경기_수입원장정산</v>
      </c>
      <c r="C22" s="52">
        <f t="shared" si="1"/>
        <v>202111</v>
      </c>
      <c r="D22" s="2" t="s">
        <v>59</v>
      </c>
      <c r="E22" s="53"/>
      <c r="F22" s="2" t="s">
        <v>63</v>
      </c>
      <c r="G22" s="2" t="s">
        <v>1513</v>
      </c>
      <c r="H22" s="2" t="s">
        <v>1514</v>
      </c>
      <c r="I22" s="76"/>
      <c r="J22" s="112"/>
      <c r="K22" s="113" t="s">
        <v>1357</v>
      </c>
      <c r="L22" s="122">
        <v>0.96499999999999997</v>
      </c>
      <c r="M22" s="132" t="s">
        <v>544</v>
      </c>
      <c r="P22" t="s">
        <v>1356</v>
      </c>
      <c r="S22" s="50" t="s">
        <v>1355</v>
      </c>
      <c r="T22" s="27" t="s">
        <v>71</v>
      </c>
      <c r="V22" t="s">
        <v>394</v>
      </c>
      <c r="X22" s="27" t="s">
        <v>1351</v>
      </c>
      <c r="Y22" s="27" t="s">
        <v>70</v>
      </c>
      <c r="AA22" s="1" t="s">
        <v>349</v>
      </c>
      <c r="AB22" s="27"/>
      <c r="AC22" s="50" t="str">
        <f>IF(AA22&lt;&gt;"","&lt;&gt;0","")</f>
        <v>&lt;&gt;0</v>
      </c>
      <c r="AF22" s="15"/>
      <c r="AP22" s="72" t="s">
        <v>1364</v>
      </c>
      <c r="AQ22" s="72" t="s">
        <v>1364</v>
      </c>
    </row>
    <row r="23" spans="1:51">
      <c r="A23" s="40"/>
      <c r="B23" s="38" t="str">
        <f t="shared" si="3"/>
        <v>글래드경기_수입원장정산</v>
      </c>
      <c r="C23" s="52">
        <f t="shared" si="1"/>
        <v>202111</v>
      </c>
      <c r="D23" s="2" t="s">
        <v>60</v>
      </c>
      <c r="E23" s="53"/>
      <c r="F23" s="2" t="s">
        <v>64</v>
      </c>
      <c r="G23" s="2" t="s">
        <v>1515</v>
      </c>
      <c r="H23" s="2" t="s">
        <v>370</v>
      </c>
      <c r="I23" s="76"/>
      <c r="J23" s="114"/>
      <c r="K23" s="110" t="s">
        <v>1358</v>
      </c>
      <c r="L23" s="117">
        <v>0.95</v>
      </c>
      <c r="M23" s="132"/>
      <c r="P23" s="1" t="s">
        <v>455</v>
      </c>
      <c r="S23" s="50" t="s">
        <v>1355</v>
      </c>
      <c r="T23" s="27" t="s">
        <v>448</v>
      </c>
      <c r="V23" s="29" t="s">
        <v>395</v>
      </c>
      <c r="X23" s="27" t="s">
        <v>1351</v>
      </c>
      <c r="Y23" s="27" t="s">
        <v>71</v>
      </c>
      <c r="AA23" s="1" t="s">
        <v>350</v>
      </c>
      <c r="AB23" s="27"/>
      <c r="AC23" s="50" t="str">
        <f>IF(AA23&lt;&gt;"","&lt;&gt;0","")</f>
        <v>&lt;&gt;0</v>
      </c>
      <c r="AF23" t="str">
        <f>AF21&amp;대상년월&amp;"수수료\"&amp;E33</f>
        <v>C:\Users\Administrator\Documents\04.수수료작업\202111수수료\202111_피스토스환수</v>
      </c>
      <c r="AP23" s="72" t="s">
        <v>1367</v>
      </c>
      <c r="AQ23" s="72" t="s">
        <v>1367</v>
      </c>
    </row>
    <row r="24" spans="1:51">
      <c r="A24" s="40" t="s">
        <v>1470</v>
      </c>
      <c r="B24" s="38" t="str">
        <f>IF(A24="",B15,A24)</f>
        <v>글래드제이엔제이_수입원장정산</v>
      </c>
      <c r="C24" s="52">
        <f t="shared" ref="C24:C27" si="4">IF(B24&lt;&gt;"",$K$5,"")</f>
        <v>202111</v>
      </c>
      <c r="D24" s="2" t="s">
        <v>54</v>
      </c>
      <c r="E24" s="53" t="str">
        <f>C24&amp;"_"&amp;A24</f>
        <v>202111_글래드제이엔제이_수입원장정산</v>
      </c>
      <c r="F24" s="2" t="s">
        <v>61</v>
      </c>
      <c r="G24" s="2" t="s">
        <v>1489</v>
      </c>
      <c r="H24" s="2" t="s">
        <v>370</v>
      </c>
      <c r="I24" s="76"/>
      <c r="J24" s="114"/>
      <c r="K24" s="110" t="s">
        <v>1359</v>
      </c>
      <c r="L24" s="115">
        <v>0.95</v>
      </c>
      <c r="P24" s="1" t="s">
        <v>1371</v>
      </c>
      <c r="S24" s="50" t="str">
        <f>"=글래드"</f>
        <v>=글래드</v>
      </c>
      <c r="T24" s="27" t="s">
        <v>69</v>
      </c>
      <c r="V24" s="50" t="str">
        <f>VLOOKUP(대상작업,작업정보,2,0)</f>
        <v>글래드프라임</v>
      </c>
      <c r="X24" s="27" t="s">
        <v>1352</v>
      </c>
      <c r="Y24" s="27" t="s">
        <v>69</v>
      </c>
      <c r="AA24" s="1" t="s">
        <v>351</v>
      </c>
      <c r="AB24" s="27"/>
      <c r="AC24" s="50" t="str">
        <f t="shared" si="2"/>
        <v>&lt;&gt;0</v>
      </c>
      <c r="AE24" t="s">
        <v>107</v>
      </c>
      <c r="AF24" t="str">
        <f>E33</f>
        <v>202111_피스토스환수</v>
      </c>
      <c r="AP24" s="2" t="s">
        <v>1347</v>
      </c>
      <c r="AQ24" s="2" t="s">
        <v>1347</v>
      </c>
    </row>
    <row r="25" spans="1:51">
      <c r="A25" s="40"/>
      <c r="B25" s="38" t="str">
        <f t="shared" ref="B25:B27" si="5">IF(A25="",B24,A25)</f>
        <v>글래드제이엔제이_수입원장정산</v>
      </c>
      <c r="C25" s="52">
        <f t="shared" si="4"/>
        <v>202111</v>
      </c>
      <c r="D25" s="2" t="s">
        <v>30</v>
      </c>
      <c r="E25" s="53"/>
      <c r="F25" s="2" t="s">
        <v>62</v>
      </c>
      <c r="G25" s="2" t="s">
        <v>1491</v>
      </c>
      <c r="H25" s="2" t="s">
        <v>1516</v>
      </c>
      <c r="J25" s="114"/>
      <c r="K25" s="110" t="s">
        <v>1360</v>
      </c>
      <c r="L25" s="115">
        <v>0.95</v>
      </c>
      <c r="P25" s="1" t="s">
        <v>1354</v>
      </c>
      <c r="S25" s="50" t="str">
        <f>"=글래드"</f>
        <v>=글래드</v>
      </c>
      <c r="T25" s="27" t="s">
        <v>70</v>
      </c>
      <c r="X25" s="27" t="s">
        <v>1352</v>
      </c>
      <c r="Y25" s="27" t="s">
        <v>70</v>
      </c>
      <c r="AA25" s="1" t="s">
        <v>352</v>
      </c>
      <c r="AB25" s="27"/>
      <c r="AC25" s="50" t="str">
        <f t="shared" si="2"/>
        <v>&lt;&gt;0</v>
      </c>
      <c r="AP25" s="2" t="s">
        <v>1371</v>
      </c>
      <c r="AQ25" s="2" t="s">
        <v>1371</v>
      </c>
    </row>
    <row r="26" spans="1:51">
      <c r="A26" s="40"/>
      <c r="B26" s="38" t="str">
        <f t="shared" si="5"/>
        <v>글래드제이엔제이_수입원장정산</v>
      </c>
      <c r="C26" s="52">
        <f t="shared" si="4"/>
        <v>202111</v>
      </c>
      <c r="D26" s="2" t="s">
        <v>59</v>
      </c>
      <c r="E26" s="53"/>
      <c r="F26" s="2" t="s">
        <v>63</v>
      </c>
      <c r="G26" s="2" t="s">
        <v>1517</v>
      </c>
      <c r="H26" s="2" t="s">
        <v>1516</v>
      </c>
      <c r="J26" s="114"/>
      <c r="K26" s="110" t="s">
        <v>1361</v>
      </c>
      <c r="L26" s="115">
        <v>0.95</v>
      </c>
      <c r="P26" t="s">
        <v>1352</v>
      </c>
      <c r="S26" s="50" t="str">
        <f>"=글래드"</f>
        <v>=글래드</v>
      </c>
      <c r="T26" s="27" t="s">
        <v>71</v>
      </c>
      <c r="X26" s="27" t="s">
        <v>1352</v>
      </c>
      <c r="Y26" s="27" t="s">
        <v>71</v>
      </c>
      <c r="AA26" s="1" t="s">
        <v>353</v>
      </c>
      <c r="AB26" s="27"/>
      <c r="AC26" s="50" t="str">
        <f t="shared" si="2"/>
        <v>&lt;&gt;0</v>
      </c>
      <c r="AH26" t="s">
        <v>207</v>
      </c>
      <c r="AL26" t="s">
        <v>329</v>
      </c>
      <c r="AP26" s="2" t="s">
        <v>1348</v>
      </c>
      <c r="AQ26" s="2" t="s">
        <v>1348</v>
      </c>
    </row>
    <row r="27" spans="1:51">
      <c r="A27" s="40"/>
      <c r="B27" s="38" t="str">
        <f t="shared" si="5"/>
        <v>글래드제이엔제이_수입원장정산</v>
      </c>
      <c r="C27" s="52">
        <f t="shared" si="4"/>
        <v>202111</v>
      </c>
      <c r="D27" s="2" t="s">
        <v>60</v>
      </c>
      <c r="E27" s="53"/>
      <c r="F27" s="2" t="s">
        <v>64</v>
      </c>
      <c r="G27" s="2" t="s">
        <v>1518</v>
      </c>
      <c r="H27" s="2" t="s">
        <v>370</v>
      </c>
      <c r="P27" t="s">
        <v>1355</v>
      </c>
      <c r="S27" s="50"/>
      <c r="T27" s="27"/>
      <c r="X27" s="27" t="s">
        <v>1353</v>
      </c>
      <c r="Y27" s="27" t="s">
        <v>69</v>
      </c>
      <c r="AA27" s="1" t="s">
        <v>306</v>
      </c>
      <c r="AB27" s="27"/>
      <c r="AC27" s="50" t="str">
        <f t="shared" si="2"/>
        <v>&lt;&gt;0</v>
      </c>
      <c r="AH27" s="45">
        <v>1</v>
      </c>
      <c r="AI27" s="46">
        <v>1</v>
      </c>
      <c r="AL27" s="45">
        <v>1</v>
      </c>
      <c r="AM27" s="77">
        <v>1</v>
      </c>
    </row>
    <row r="28" spans="1:51">
      <c r="A28" s="40" t="s">
        <v>1370</v>
      </c>
      <c r="B28" s="38" t="str">
        <f>IF(A28="",B19,A28)</f>
        <v>글래드씨티엠_수입원장정산</v>
      </c>
      <c r="C28" s="52">
        <f t="shared" ref="C28:C31" si="6">IF(B28&lt;&gt;"",$K$5,"")</f>
        <v>202111</v>
      </c>
      <c r="D28" s="2" t="s">
        <v>54</v>
      </c>
      <c r="E28" s="53" t="str">
        <f>C28&amp;"_"&amp;A28</f>
        <v>202111_글래드씨티엠_수입원장정산</v>
      </c>
      <c r="F28" s="2" t="s">
        <v>61</v>
      </c>
      <c r="G28" s="2" t="s">
        <v>1489</v>
      </c>
      <c r="H28" s="2" t="s">
        <v>370</v>
      </c>
      <c r="I28" s="76"/>
      <c r="J28" t="s">
        <v>234</v>
      </c>
      <c r="P28" t="s">
        <v>1348</v>
      </c>
      <c r="X28" s="27" t="s">
        <v>1353</v>
      </c>
      <c r="Y28" s="27" t="s">
        <v>70</v>
      </c>
      <c r="AA28" s="1" t="s">
        <v>307</v>
      </c>
      <c r="AB28" s="27"/>
      <c r="AC28" s="50" t="str">
        <f t="shared" si="2"/>
        <v>&lt;&gt;0</v>
      </c>
      <c r="AH28" s="45">
        <v>2</v>
      </c>
      <c r="AI28" s="46">
        <v>1</v>
      </c>
      <c r="AL28" s="45">
        <v>2</v>
      </c>
      <c r="AM28" s="77">
        <v>1</v>
      </c>
    </row>
    <row r="29" spans="1:51" ht="16.5" customHeight="1">
      <c r="A29" s="40"/>
      <c r="B29" s="38" t="str">
        <f t="shared" ref="B29:B31" si="7">IF(A29="",B28,A29)</f>
        <v>글래드씨티엠_수입원장정산</v>
      </c>
      <c r="C29" s="52">
        <f t="shared" si="6"/>
        <v>202111</v>
      </c>
      <c r="D29" s="2" t="s">
        <v>30</v>
      </c>
      <c r="E29" s="53"/>
      <c r="F29" s="2" t="s">
        <v>62</v>
      </c>
      <c r="G29" s="2" t="s">
        <v>1493</v>
      </c>
      <c r="H29" s="2" t="s">
        <v>1498</v>
      </c>
      <c r="J29" s="96" t="s">
        <v>251</v>
      </c>
      <c r="K29" s="97"/>
      <c r="L29" s="98" t="s">
        <v>235</v>
      </c>
      <c r="M29" s="98" t="s">
        <v>236</v>
      </c>
      <c r="N29" s="98"/>
      <c r="P29" t="s">
        <v>1526</v>
      </c>
      <c r="X29" s="27" t="s">
        <v>1353</v>
      </c>
      <c r="Y29" s="27" t="s">
        <v>71</v>
      </c>
      <c r="AA29" s="1" t="s">
        <v>308</v>
      </c>
      <c r="AB29" s="27"/>
      <c r="AC29" s="50"/>
      <c r="AF29" s="36"/>
      <c r="AH29" s="45">
        <v>3</v>
      </c>
      <c r="AI29" s="46">
        <v>0.95</v>
      </c>
      <c r="AL29" s="45">
        <v>3</v>
      </c>
      <c r="AM29" s="77">
        <v>0.9</v>
      </c>
    </row>
    <row r="30" spans="1:51" ht="19.5" customHeight="1">
      <c r="A30" s="40"/>
      <c r="B30" s="38" t="str">
        <f t="shared" si="7"/>
        <v>글래드씨티엠_수입원장정산</v>
      </c>
      <c r="C30" s="52">
        <f t="shared" si="6"/>
        <v>202111</v>
      </c>
      <c r="D30" s="2" t="s">
        <v>59</v>
      </c>
      <c r="E30" s="53"/>
      <c r="F30" s="2" t="s">
        <v>63</v>
      </c>
      <c r="G30" s="2" t="s">
        <v>1513</v>
      </c>
      <c r="H30" s="2" t="s">
        <v>1490</v>
      </c>
      <c r="J30" s="99" t="s">
        <v>230</v>
      </c>
      <c r="K30" s="100"/>
      <c r="L30" s="95" t="s">
        <v>239</v>
      </c>
      <c r="M30" s="101" t="s">
        <v>252</v>
      </c>
      <c r="N30" s="102"/>
      <c r="O30" t="s">
        <v>488</v>
      </c>
      <c r="X30" s="27" t="s">
        <v>1354</v>
      </c>
      <c r="Y30" s="27" t="s">
        <v>69</v>
      </c>
      <c r="AA30" s="1" t="s">
        <v>309</v>
      </c>
      <c r="AB30" s="27"/>
      <c r="AC30" s="50" t="str">
        <f t="shared" si="2"/>
        <v>&lt;&gt;0</v>
      </c>
      <c r="AH30" s="45">
        <v>4</v>
      </c>
      <c r="AI30" s="46">
        <v>0.9</v>
      </c>
      <c r="AL30" s="45">
        <v>4</v>
      </c>
      <c r="AM30" s="77">
        <v>0.8</v>
      </c>
    </row>
    <row r="31" spans="1:51">
      <c r="A31" s="40"/>
      <c r="B31" s="38" t="str">
        <f t="shared" si="7"/>
        <v>글래드씨티엠_수입원장정산</v>
      </c>
      <c r="C31" s="52">
        <f t="shared" si="6"/>
        <v>202111</v>
      </c>
      <c r="D31" s="2" t="s">
        <v>60</v>
      </c>
      <c r="E31" s="53"/>
      <c r="F31" s="2" t="s">
        <v>64</v>
      </c>
      <c r="G31" s="2" t="s">
        <v>1519</v>
      </c>
      <c r="H31" s="2" t="s">
        <v>1498</v>
      </c>
      <c r="J31" s="99" t="s">
        <v>78</v>
      </c>
      <c r="K31" s="100"/>
      <c r="L31" s="95" t="s">
        <v>237</v>
      </c>
      <c r="M31" s="103"/>
      <c r="N31" s="104"/>
      <c r="O31" s="27" t="s">
        <v>173</v>
      </c>
      <c r="P31" s="27" t="s">
        <v>164</v>
      </c>
      <c r="Q31" s="27" t="s">
        <v>90</v>
      </c>
      <c r="S31" s="30" t="s">
        <v>408</v>
      </c>
      <c r="X31" s="27" t="s">
        <v>1354</v>
      </c>
      <c r="Y31" s="27" t="s">
        <v>70</v>
      </c>
      <c r="AA31" s="1" t="s">
        <v>310</v>
      </c>
      <c r="AB31" s="27"/>
      <c r="AC31" s="50"/>
      <c r="AH31" s="45">
        <v>5</v>
      </c>
      <c r="AI31" s="46">
        <v>0.85</v>
      </c>
      <c r="AL31" s="45">
        <v>5</v>
      </c>
      <c r="AM31" s="77">
        <v>0.7</v>
      </c>
    </row>
    <row r="32" spans="1:51">
      <c r="A32" s="40" t="s">
        <v>422</v>
      </c>
      <c r="B32" s="38" t="str">
        <f>IF(A32="",B19,A32)</f>
        <v>피스토스&amp;직영지점사원지급율</v>
      </c>
      <c r="C32" s="52">
        <f t="shared" si="1"/>
        <v>202111</v>
      </c>
      <c r="D32" s="2" t="s">
        <v>54</v>
      </c>
      <c r="E32" s="53" t="str">
        <f>C32&amp;"_"&amp;A32</f>
        <v>202111_피스토스&amp;직영지점사원지급율</v>
      </c>
      <c r="F32" s="2" t="s">
        <v>68</v>
      </c>
      <c r="G32" s="2" t="s">
        <v>1481</v>
      </c>
      <c r="H32" s="2" t="s">
        <v>1480</v>
      </c>
      <c r="J32" s="99" t="s">
        <v>233</v>
      </c>
      <c r="K32" s="100"/>
      <c r="L32" s="95" t="s">
        <v>239</v>
      </c>
      <c r="M32" s="103"/>
      <c r="N32" s="104"/>
      <c r="O32" s="27" t="s">
        <v>79</v>
      </c>
      <c r="P32" s="50" t="s">
        <v>1346</v>
      </c>
      <c r="Q32" s="27" t="s">
        <v>88</v>
      </c>
      <c r="S32" s="29" t="s">
        <v>28</v>
      </c>
      <c r="T32" s="29" t="s">
        <v>45</v>
      </c>
      <c r="U32" s="29" t="s">
        <v>412</v>
      </c>
      <c r="X32" s="27" t="s">
        <v>1354</v>
      </c>
      <c r="Y32" s="27" t="s">
        <v>71</v>
      </c>
      <c r="AA32" s="1" t="s">
        <v>311</v>
      </c>
      <c r="AB32" s="27"/>
      <c r="AC32" s="50"/>
      <c r="AH32" s="45">
        <v>6</v>
      </c>
      <c r="AI32" s="46">
        <v>0.75</v>
      </c>
      <c r="AL32" s="45">
        <v>6</v>
      </c>
      <c r="AM32" s="77">
        <v>0.6</v>
      </c>
    </row>
    <row r="33" spans="1:44">
      <c r="A33" s="84" t="s">
        <v>79</v>
      </c>
      <c r="B33" s="38" t="str">
        <f t="shared" si="0"/>
        <v>피스토스환수</v>
      </c>
      <c r="C33" s="52">
        <f t="shared" si="1"/>
        <v>202111</v>
      </c>
      <c r="D33" s="2" t="s">
        <v>54</v>
      </c>
      <c r="E33" s="53" t="str">
        <f>C33&amp;"_"&amp;A33</f>
        <v>202111_피스토스환수</v>
      </c>
      <c r="F33" s="2" t="s">
        <v>128</v>
      </c>
      <c r="G33" s="2" t="s">
        <v>431</v>
      </c>
      <c r="H33" s="2" t="s">
        <v>430</v>
      </c>
      <c r="I33" s="76" t="s">
        <v>403</v>
      </c>
      <c r="J33" s="99" t="s">
        <v>228</v>
      </c>
      <c r="K33" s="100"/>
      <c r="L33" s="95" t="s">
        <v>239</v>
      </c>
      <c r="M33" s="103"/>
      <c r="N33" s="104"/>
      <c r="O33" s="27" t="s">
        <v>175</v>
      </c>
      <c r="P33" s="50" t="s">
        <v>1346</v>
      </c>
      <c r="Q33" s="27" t="s">
        <v>176</v>
      </c>
      <c r="S33" s="50" t="s">
        <v>1352</v>
      </c>
      <c r="T33" s="27" t="s">
        <v>69</v>
      </c>
      <c r="U33" s="27"/>
      <c r="X33" s="27" t="s">
        <v>1355</v>
      </c>
      <c r="Y33" s="27" t="s">
        <v>69</v>
      </c>
      <c r="AA33" s="1" t="s">
        <v>312</v>
      </c>
      <c r="AB33" s="27"/>
      <c r="AC33" s="50" t="str">
        <f t="shared" si="2"/>
        <v>&lt;&gt;0</v>
      </c>
      <c r="AH33" s="45">
        <v>7</v>
      </c>
      <c r="AI33" s="46">
        <v>0.6</v>
      </c>
      <c r="AL33" s="45">
        <v>7</v>
      </c>
      <c r="AM33" s="77">
        <v>0.5</v>
      </c>
    </row>
    <row r="34" spans="1:44">
      <c r="A34" s="41" t="s">
        <v>405</v>
      </c>
      <c r="B34" s="38" t="str">
        <f t="shared" si="0"/>
        <v>수수료명세</v>
      </c>
      <c r="C34" s="52">
        <f t="shared" si="1"/>
        <v>202111</v>
      </c>
      <c r="D34" s="2" t="s">
        <v>163</v>
      </c>
      <c r="E34" s="53" t="str">
        <f>C34&amp;"_"&amp;VLOOKUP(A34,작업정보,2,0)&amp;A34</f>
        <v>202111_글래드프라임수수료명세</v>
      </c>
      <c r="F34" s="2" t="s">
        <v>163</v>
      </c>
      <c r="G34" s="2" t="s">
        <v>1522</v>
      </c>
      <c r="H34" s="2" t="s">
        <v>7</v>
      </c>
      <c r="I34" s="76"/>
      <c r="J34" s="99" t="s">
        <v>327</v>
      </c>
      <c r="K34" s="100"/>
      <c r="L34" s="98" t="s">
        <v>331</v>
      </c>
      <c r="M34" s="105"/>
      <c r="N34" s="106"/>
      <c r="O34" s="27" t="s">
        <v>194</v>
      </c>
      <c r="P34" s="50" t="s">
        <v>205</v>
      </c>
      <c r="Q34" s="27" t="s">
        <v>195</v>
      </c>
      <c r="S34" s="50" t="s">
        <v>1352</v>
      </c>
      <c r="T34" s="27" t="s">
        <v>70</v>
      </c>
      <c r="U34" s="27"/>
      <c r="X34" s="27" t="s">
        <v>1355</v>
      </c>
      <c r="Y34" s="27" t="s">
        <v>70</v>
      </c>
      <c r="AA34" s="1" t="s">
        <v>313</v>
      </c>
      <c r="AB34" s="27"/>
      <c r="AC34" s="50"/>
      <c r="AH34" s="45">
        <v>8</v>
      </c>
      <c r="AI34" s="46">
        <v>0.5</v>
      </c>
      <c r="AL34" s="45">
        <v>8</v>
      </c>
      <c r="AM34" s="77">
        <v>0.4</v>
      </c>
    </row>
    <row r="35" spans="1:44" ht="16.5" customHeight="1">
      <c r="A35" s="41"/>
      <c r="B35" s="38" t="str">
        <f>IF(A35="",B34,A35)</f>
        <v>수수료명세</v>
      </c>
      <c r="C35" s="52">
        <f t="shared" si="1"/>
        <v>202111</v>
      </c>
      <c r="D35" s="2" t="s">
        <v>30</v>
      </c>
      <c r="E35" s="53"/>
      <c r="F35" s="2" t="s">
        <v>30</v>
      </c>
      <c r="G35" s="2" t="s">
        <v>1523</v>
      </c>
      <c r="H35" s="2" t="s">
        <v>7</v>
      </c>
      <c r="I35" s="76"/>
      <c r="J35" s="99" t="s">
        <v>229</v>
      </c>
      <c r="K35" s="100"/>
      <c r="L35" s="95" t="s">
        <v>239</v>
      </c>
      <c r="M35" s="107"/>
      <c r="N35" s="107"/>
      <c r="S35" s="50" t="s">
        <v>1352</v>
      </c>
      <c r="T35" s="27" t="s">
        <v>71</v>
      </c>
      <c r="U35" s="27"/>
      <c r="X35" s="27" t="s">
        <v>1355</v>
      </c>
      <c r="Y35" s="27" t="s">
        <v>71</v>
      </c>
      <c r="AA35" s="1" t="s">
        <v>314</v>
      </c>
      <c r="AB35" s="27"/>
      <c r="AC35" s="50"/>
      <c r="AH35" s="45">
        <v>9</v>
      </c>
      <c r="AI35" s="46">
        <v>0.4</v>
      </c>
      <c r="AL35" s="45">
        <v>9</v>
      </c>
      <c r="AM35" s="77">
        <v>0.3</v>
      </c>
    </row>
    <row r="36" spans="1:44" ht="26.4">
      <c r="A36" s="42"/>
      <c r="B36" s="38" t="str">
        <f>IF(A36="",B35,A36)</f>
        <v>수수료명세</v>
      </c>
      <c r="C36" s="52">
        <f t="shared" si="1"/>
        <v>202111</v>
      </c>
      <c r="D36" s="2" t="s">
        <v>59</v>
      </c>
      <c r="E36" s="53"/>
      <c r="F36" s="2" t="s">
        <v>59</v>
      </c>
      <c r="G36" s="2" t="s">
        <v>1524</v>
      </c>
      <c r="H36" s="2" t="s">
        <v>7</v>
      </c>
      <c r="I36" s="76"/>
      <c r="J36" s="99" t="s">
        <v>65</v>
      </c>
      <c r="K36" s="100"/>
      <c r="L36" s="95" t="s">
        <v>238</v>
      </c>
      <c r="M36" s="107" t="s">
        <v>240</v>
      </c>
      <c r="N36" s="107"/>
      <c r="S36" s="50" t="s">
        <v>1354</v>
      </c>
      <c r="T36" s="27" t="s">
        <v>69</v>
      </c>
      <c r="U36" s="27"/>
      <c r="X36" s="27" t="s">
        <v>1472</v>
      </c>
      <c r="Y36" s="27" t="s">
        <v>69</v>
      </c>
      <c r="AA36" s="1" t="s">
        <v>315</v>
      </c>
      <c r="AB36" s="27"/>
      <c r="AC36" s="50" t="str">
        <f t="shared" si="2"/>
        <v>&lt;&gt;0</v>
      </c>
      <c r="AH36" s="45">
        <v>10</v>
      </c>
      <c r="AI36" s="46">
        <v>0.3</v>
      </c>
      <c r="AL36" s="45">
        <v>10</v>
      </c>
      <c r="AM36" s="77">
        <v>0.2</v>
      </c>
    </row>
    <row r="37" spans="1:44">
      <c r="A37" s="42"/>
      <c r="B37" s="38" t="str">
        <f>IF(A37="",B36,A37)</f>
        <v>수수료명세</v>
      </c>
      <c r="C37" s="52">
        <f t="shared" si="1"/>
        <v>202111</v>
      </c>
      <c r="D37" s="2" t="s">
        <v>60</v>
      </c>
      <c r="E37" s="53"/>
      <c r="F37" s="2" t="s">
        <v>60</v>
      </c>
      <c r="G37" s="2" t="s">
        <v>1525</v>
      </c>
      <c r="H37" s="2" t="s">
        <v>7</v>
      </c>
      <c r="I37" s="76" t="s">
        <v>534</v>
      </c>
      <c r="J37" s="99" t="s">
        <v>231</v>
      </c>
      <c r="K37" s="100"/>
      <c r="L37" s="95" t="s">
        <v>237</v>
      </c>
      <c r="M37" s="107"/>
      <c r="N37" s="107"/>
      <c r="S37" s="50" t="s">
        <v>1354</v>
      </c>
      <c r="T37" s="27" t="s">
        <v>70</v>
      </c>
      <c r="U37" s="27"/>
      <c r="X37" s="27" t="s">
        <v>1472</v>
      </c>
      <c r="Y37" s="27" t="s">
        <v>70</v>
      </c>
      <c r="AA37" s="1" t="s">
        <v>316</v>
      </c>
      <c r="AB37" s="27"/>
      <c r="AC37" s="50"/>
      <c r="AH37" s="45">
        <v>11</v>
      </c>
      <c r="AI37" s="46">
        <v>0.15</v>
      </c>
      <c r="AL37" s="45">
        <v>11</v>
      </c>
      <c r="AM37" s="77">
        <v>0.1</v>
      </c>
    </row>
    <row r="38" spans="1:44">
      <c r="A38" s="84" t="s">
        <v>467</v>
      </c>
      <c r="B38" s="38" t="str">
        <f>IF(A38="",B37,A38)</f>
        <v>피스토스 재물정산</v>
      </c>
      <c r="C38" s="52">
        <f t="shared" si="1"/>
        <v>202111</v>
      </c>
      <c r="D38" s="2" t="s">
        <v>174</v>
      </c>
      <c r="E38" s="53" t="str">
        <f>C38&amp;"_"&amp;A38</f>
        <v>202111_피스토스 재물정산</v>
      </c>
      <c r="F38" s="2" t="s">
        <v>174</v>
      </c>
      <c r="G38" s="2"/>
      <c r="H38" s="2"/>
      <c r="I38" s="76" t="s">
        <v>534</v>
      </c>
      <c r="J38" s="99" t="s">
        <v>232</v>
      </c>
      <c r="K38" s="100"/>
      <c r="L38" s="95" t="s">
        <v>237</v>
      </c>
      <c r="M38" s="107"/>
      <c r="N38" s="107"/>
      <c r="S38" s="50" t="s">
        <v>1354</v>
      </c>
      <c r="T38" s="27" t="s">
        <v>71</v>
      </c>
      <c r="U38" s="27"/>
      <c r="X38" s="27" t="s">
        <v>1472</v>
      </c>
      <c r="Y38" s="27" t="s">
        <v>71</v>
      </c>
      <c r="AA38" s="1" t="s">
        <v>317</v>
      </c>
      <c r="AB38" s="27"/>
      <c r="AC38" s="50" t="str">
        <f t="shared" si="2"/>
        <v>&lt;&gt;0</v>
      </c>
      <c r="AH38" s="45">
        <v>12</v>
      </c>
      <c r="AI38" s="46">
        <v>0.1</v>
      </c>
      <c r="AL38" s="45">
        <v>12</v>
      </c>
      <c r="AM38" s="77">
        <v>0.1</v>
      </c>
    </row>
    <row r="39" spans="1:44">
      <c r="A39" s="84" t="s">
        <v>468</v>
      </c>
      <c r="B39" s="38" t="str">
        <f>IF(A39="",B38,A39)</f>
        <v>라온지점 박종철정산</v>
      </c>
      <c r="C39" s="52">
        <f t="shared" si="1"/>
        <v>202111</v>
      </c>
      <c r="D39" s="2" t="s">
        <v>174</v>
      </c>
      <c r="E39" s="53" t="str">
        <f>C39&amp;"_"&amp;A39</f>
        <v>202111_라온지점 박종철정산</v>
      </c>
      <c r="F39" s="2" t="s">
        <v>174</v>
      </c>
      <c r="I39" s="76" t="s">
        <v>250</v>
      </c>
      <c r="J39" s="99" t="s">
        <v>1368</v>
      </c>
      <c r="K39" s="100"/>
      <c r="L39" s="95" t="s">
        <v>531</v>
      </c>
      <c r="M39" s="107" t="s">
        <v>532</v>
      </c>
      <c r="N39" s="107"/>
      <c r="S39" s="50" t="s">
        <v>1352</v>
      </c>
      <c r="T39" s="27" t="s">
        <v>122</v>
      </c>
      <c r="U39" s="27" t="s">
        <v>413</v>
      </c>
      <c r="X39" s="27" t="s">
        <v>1479</v>
      </c>
      <c r="Y39" s="27" t="s">
        <v>69</v>
      </c>
      <c r="AA39" s="1" t="s">
        <v>318</v>
      </c>
      <c r="AB39" s="27"/>
      <c r="AC39" s="50"/>
      <c r="AH39" s="45">
        <v>13</v>
      </c>
      <c r="AI39" s="46">
        <v>0</v>
      </c>
    </row>
    <row r="40" spans="1:44">
      <c r="A40" s="42" t="s">
        <v>423</v>
      </c>
      <c r="B40" s="38" t="str">
        <f>IF(A40="",B38,A40)</f>
        <v>송내_성공_의정부_관리수수료</v>
      </c>
      <c r="C40" s="52">
        <f t="shared" si="1"/>
        <v>202111</v>
      </c>
      <c r="D40" s="2" t="s">
        <v>174</v>
      </c>
      <c r="E40" s="53" t="str">
        <f>C40&amp;"_"&amp;A40</f>
        <v>202111_송내_성공_의정부_관리수수료</v>
      </c>
      <c r="F40" s="2" t="s">
        <v>174</v>
      </c>
      <c r="G40" t="s">
        <v>1489</v>
      </c>
      <c r="H40" t="s">
        <v>1492</v>
      </c>
      <c r="I40" s="76" t="s">
        <v>250</v>
      </c>
      <c r="J40" s="99" t="s">
        <v>1369</v>
      </c>
      <c r="K40" s="100"/>
      <c r="L40" s="95"/>
      <c r="M40" s="107" t="s">
        <v>532</v>
      </c>
      <c r="N40" s="107"/>
      <c r="S40" s="50" t="s">
        <v>1352</v>
      </c>
      <c r="T40" s="27" t="s">
        <v>123</v>
      </c>
      <c r="U40" s="27" t="s">
        <v>413</v>
      </c>
      <c r="X40" s="27" t="s">
        <v>1479</v>
      </c>
      <c r="Y40" s="27" t="s">
        <v>70</v>
      </c>
      <c r="AA40" s="1" t="s">
        <v>261</v>
      </c>
      <c r="AG40" s="30" t="s">
        <v>156</v>
      </c>
      <c r="AP40" t="s">
        <v>565</v>
      </c>
    </row>
    <row r="41" spans="1:44">
      <c r="A41" s="42"/>
      <c r="B41" s="38" t="str">
        <f>B40</f>
        <v>송내_성공_의정부_관리수수료</v>
      </c>
      <c r="C41" s="52">
        <f>IF(B41&lt;&gt;"",$K$5,"")</f>
        <v>202111</v>
      </c>
      <c r="D41" s="2" t="s">
        <v>324</v>
      </c>
      <c r="E41" s="53"/>
      <c r="F41" s="2" t="s">
        <v>324</v>
      </c>
      <c r="G41" t="s">
        <v>1493</v>
      </c>
      <c r="H41" t="s">
        <v>1490</v>
      </c>
      <c r="I41" s="76" t="s">
        <v>250</v>
      </c>
      <c r="S41" s="50" t="s">
        <v>1354</v>
      </c>
      <c r="T41" s="27" t="s">
        <v>122</v>
      </c>
      <c r="U41" s="27" t="s">
        <v>413</v>
      </c>
      <c r="X41" s="27" t="s">
        <v>1479</v>
      </c>
      <c r="Y41" s="27" t="s">
        <v>71</v>
      </c>
      <c r="AA41" s="1" t="s">
        <v>262</v>
      </c>
      <c r="AG41" s="29" t="s">
        <v>28</v>
      </c>
      <c r="AH41" s="29" t="s">
        <v>45</v>
      </c>
      <c r="AI41" s="29" t="s">
        <v>127</v>
      </c>
      <c r="AJ41" s="29" t="s">
        <v>26</v>
      </c>
      <c r="AK41" s="29" t="s">
        <v>26</v>
      </c>
      <c r="AP41" s="119" t="s">
        <v>4</v>
      </c>
      <c r="AQ41" s="119" t="s">
        <v>567</v>
      </c>
      <c r="AR41" s="119" t="s">
        <v>155</v>
      </c>
    </row>
    <row r="42" spans="1:44">
      <c r="A42" s="42" t="s">
        <v>1335</v>
      </c>
      <c r="B42" s="89" t="s">
        <v>1335</v>
      </c>
      <c r="C42" s="90">
        <f>IF(B42&lt;&gt;"",$K$5,"")</f>
        <v>202111</v>
      </c>
      <c r="D42" s="95" t="str">
        <f ca="1">J19</f>
        <v>d:\글로벌백업(180329)\04.수수료작업\202111수수료\</v>
      </c>
      <c r="E42" s="91" t="str">
        <f>C42&amp;"_"&amp;A42</f>
        <v>202111_글래드가온 수금정산</v>
      </c>
      <c r="F42" s="2"/>
      <c r="G42" t="s">
        <v>519</v>
      </c>
      <c r="S42" s="50" t="s">
        <v>1354</v>
      </c>
      <c r="T42" s="27" t="s">
        <v>123</v>
      </c>
      <c r="U42" s="27" t="s">
        <v>413</v>
      </c>
      <c r="X42" s="27"/>
      <c r="Y42" s="27"/>
      <c r="AA42" s="1" t="s">
        <v>263</v>
      </c>
      <c r="AG42" s="47" t="s">
        <v>1346</v>
      </c>
      <c r="AH42" s="48" t="s">
        <v>122</v>
      </c>
      <c r="AI42" s="48" t="s">
        <v>124</v>
      </c>
      <c r="AJ42" s="48" t="s">
        <v>126</v>
      </c>
      <c r="AK42" s="48" t="s">
        <v>125</v>
      </c>
      <c r="AP42" s="93" t="s">
        <v>1346</v>
      </c>
      <c r="AQ42" s="94" t="s">
        <v>568</v>
      </c>
      <c r="AR42" s="120">
        <v>24</v>
      </c>
    </row>
    <row r="43" spans="1:44">
      <c r="A43" s="42" t="s">
        <v>1332</v>
      </c>
      <c r="B43" s="92" t="s">
        <v>1336</v>
      </c>
      <c r="C43" s="90">
        <f>IF(B43&lt;&gt;"",$K$5,"")</f>
        <v>202111</v>
      </c>
      <c r="D43" s="95" t="str">
        <f ca="1">J19</f>
        <v>d:\글로벌백업(180329)\04.수수료작업\202111수수료\</v>
      </c>
      <c r="E43" s="91" t="str">
        <f>C43&amp;"_"&amp;A43</f>
        <v>202111_글래드가온(피스토스) 수금정산</v>
      </c>
      <c r="F43" s="2"/>
      <c r="X43" s="118"/>
      <c r="Y43" s="118"/>
      <c r="AA43" s="1"/>
      <c r="AG43" s="47"/>
      <c r="AH43" s="48"/>
      <c r="AI43" s="48"/>
      <c r="AJ43" s="48"/>
      <c r="AK43" s="48"/>
    </row>
    <row r="44" spans="1:44">
      <c r="A44" s="42" t="s">
        <v>1486</v>
      </c>
      <c r="B44" s="92" t="s">
        <v>1486</v>
      </c>
      <c r="C44" s="90">
        <f>IF(B44&lt;&gt;"",$K$5,"")</f>
        <v>202111</v>
      </c>
      <c r="D44" s="95" t="str">
        <f ca="1">J19</f>
        <v>d:\글로벌백업(180329)\04.수수료작업\202111수수료\</v>
      </c>
      <c r="E44" s="91" t="str">
        <f>C44&amp;"_"&amp;A44</f>
        <v>202111_글래드피스토스2팀 수금정산</v>
      </c>
      <c r="F44" s="2"/>
      <c r="AA44" s="1" t="s">
        <v>264</v>
      </c>
      <c r="AG44" s="48" t="s">
        <v>1346</v>
      </c>
      <c r="AH44" s="48" t="s">
        <v>123</v>
      </c>
      <c r="AI44" s="48" t="s">
        <v>124</v>
      </c>
      <c r="AJ44" s="48" t="s">
        <v>126</v>
      </c>
      <c r="AK44" s="48" t="s">
        <v>125</v>
      </c>
    </row>
    <row r="45" spans="1:44">
      <c r="A45" s="42" t="s">
        <v>564</v>
      </c>
      <c r="B45" s="92" t="s">
        <v>563</v>
      </c>
      <c r="C45" s="90">
        <f>IF(B45&lt;&gt;"",$K$5,"")</f>
        <v>202111</v>
      </c>
      <c r="D45" s="95" t="str">
        <f ca="1">J19</f>
        <v>d:\글로벌백업(180329)\04.수수료작업\202111수수료\</v>
      </c>
      <c r="E45" s="91" t="str">
        <f>C45&amp;"_"&amp;A45</f>
        <v>202111_피스토스 실손정산</v>
      </c>
      <c r="F45" s="2"/>
      <c r="AA45" s="1" t="s">
        <v>265</v>
      </c>
    </row>
    <row r="46" spans="1:44">
      <c r="A46" s="57" t="s">
        <v>166</v>
      </c>
      <c r="AA46" s="1" t="s">
        <v>266</v>
      </c>
      <c r="AG46" s="30" t="s">
        <v>157</v>
      </c>
    </row>
    <row r="47" spans="1:44">
      <c r="AA47" s="1" t="s">
        <v>267</v>
      </c>
      <c r="AG47" s="54" t="s">
        <v>146</v>
      </c>
      <c r="AH47" s="54" t="s">
        <v>147</v>
      </c>
      <c r="AI47" s="54" t="s">
        <v>148</v>
      </c>
      <c r="AJ47" s="54" t="s">
        <v>5</v>
      </c>
      <c r="AK47" s="27"/>
    </row>
    <row r="48" spans="1:44">
      <c r="AG48" s="54" t="s">
        <v>149</v>
      </c>
      <c r="AH48" s="54" t="s">
        <v>150</v>
      </c>
      <c r="AI48" s="54" t="s">
        <v>151</v>
      </c>
      <c r="AJ48" s="54" t="s">
        <v>152</v>
      </c>
      <c r="AK48" s="27"/>
    </row>
    <row r="49" spans="19:37">
      <c r="AG49" s="55" t="s">
        <v>153</v>
      </c>
      <c r="AH49" s="54" t="s">
        <v>154</v>
      </c>
      <c r="AI49" s="54" t="s">
        <v>6</v>
      </c>
      <c r="AJ49" s="54" t="s">
        <v>155</v>
      </c>
      <c r="AK49" s="54" t="s">
        <v>0</v>
      </c>
    </row>
    <row r="50" spans="19:37">
      <c r="AG50" s="54"/>
      <c r="AH50" s="27"/>
      <c r="AI50" s="27"/>
      <c r="AJ50" s="27"/>
      <c r="AK50" s="27"/>
    </row>
    <row r="51" spans="19:37">
      <c r="X51" s="78" t="s">
        <v>435</v>
      </c>
      <c r="AA51" t="s">
        <v>454</v>
      </c>
    </row>
    <row r="52" spans="19:37">
      <c r="X52" s="29" t="s">
        <v>432</v>
      </c>
      <c r="Y52" s="29" t="s">
        <v>442</v>
      </c>
      <c r="Z52" s="29" t="s">
        <v>434</v>
      </c>
      <c r="AA52" s="29" t="s">
        <v>433</v>
      </c>
      <c r="AG52" s="30" t="s">
        <v>160</v>
      </c>
    </row>
    <row r="53" spans="19:37">
      <c r="S53" s="78" t="s">
        <v>407</v>
      </c>
      <c r="X53" s="79" t="s">
        <v>1347</v>
      </c>
      <c r="Y53" s="79" t="s">
        <v>59</v>
      </c>
      <c r="Z53" s="80"/>
      <c r="AA53" s="80"/>
      <c r="AB53" t="s">
        <v>443</v>
      </c>
      <c r="AG53" s="54" t="s">
        <v>159</v>
      </c>
    </row>
    <row r="54" spans="19:37">
      <c r="S54" s="29" t="s">
        <v>28</v>
      </c>
      <c r="X54" s="79" t="s">
        <v>1347</v>
      </c>
      <c r="Y54" s="79" t="s">
        <v>60</v>
      </c>
      <c r="Z54" s="80"/>
      <c r="AA54" s="80"/>
      <c r="AB54" s="12" t="s">
        <v>444</v>
      </c>
    </row>
    <row r="55" spans="19:37">
      <c r="S55" s="50" t="s">
        <v>1352</v>
      </c>
      <c r="X55" s="79" t="s">
        <v>1347</v>
      </c>
      <c r="Y55" s="60" t="s">
        <v>54</v>
      </c>
      <c r="Z55" s="80"/>
      <c r="AA55" s="80" t="str">
        <f>"&gt;="&amp;"'20190601"</f>
        <v>&gt;='20190601</v>
      </c>
    </row>
    <row r="56" spans="19:37">
      <c r="S56" s="50" t="s">
        <v>1354</v>
      </c>
      <c r="X56" s="79" t="s">
        <v>1347</v>
      </c>
      <c r="Y56" s="79" t="s">
        <v>30</v>
      </c>
      <c r="Z56" s="80"/>
      <c r="AA56" s="80" t="str">
        <f>"&gt;="&amp;"'20190601"</f>
        <v>&gt;='20190601</v>
      </c>
    </row>
    <row r="57" spans="19:37">
      <c r="X57" s="79" t="s">
        <v>1347</v>
      </c>
      <c r="Y57" s="60" t="s">
        <v>54</v>
      </c>
      <c r="Z57" s="80" t="str">
        <f>"&lt;="&amp;$AB$62</f>
        <v>&lt;=30</v>
      </c>
      <c r="AA57" s="80"/>
      <c r="AB57" t="s">
        <v>452</v>
      </c>
    </row>
    <row r="58" spans="19:37">
      <c r="S58" t="s">
        <v>410</v>
      </c>
      <c r="X58" s="79" t="s">
        <v>1347</v>
      </c>
      <c r="Y58" s="79" t="s">
        <v>30</v>
      </c>
      <c r="Z58" s="80" t="str">
        <f>"&lt;="&amp;$AB$62</f>
        <v>&lt;=30</v>
      </c>
      <c r="AA58" s="80"/>
      <c r="AB58" t="s">
        <v>452</v>
      </c>
    </row>
    <row r="59" spans="19:37">
      <c r="S59" s="50" t="str">
        <f>IF(대상작업="여주레전드지점OR수수료","여주레전드필터","지점필터")</f>
        <v>지점필터</v>
      </c>
    </row>
    <row r="61" spans="19:37">
      <c r="X61" s="81"/>
      <c r="Y61" s="81" t="s">
        <v>436</v>
      </c>
      <c r="Z61" s="81" t="s">
        <v>437</v>
      </c>
      <c r="AA61" s="81" t="s">
        <v>438</v>
      </c>
      <c r="AB61" s="82" t="s">
        <v>439</v>
      </c>
    </row>
    <row r="62" spans="19:37">
      <c r="X62" s="81" t="s">
        <v>441</v>
      </c>
      <c r="Y62" s="81">
        <v>201906</v>
      </c>
      <c r="Z62" s="81">
        <f>LEFT(대상년월,4)-LEFT(Y62,4)</f>
        <v>2</v>
      </c>
      <c r="AA62" s="81">
        <f>RIGHT(대상년월,2)-RIGHT(Y62,2)</f>
        <v>5</v>
      </c>
      <c r="AB62" s="81">
        <f>Z62*12+AA62+1</f>
        <v>30</v>
      </c>
      <c r="AC62" s="83" t="s">
        <v>440</v>
      </c>
    </row>
    <row r="65" spans="18:37">
      <c r="X65" s="81"/>
      <c r="Y65" s="81" t="s">
        <v>497</v>
      </c>
      <c r="Z65" s="81" t="s">
        <v>498</v>
      </c>
      <c r="AA65" s="81" t="s">
        <v>499</v>
      </c>
      <c r="AB65" s="82" t="s">
        <v>500</v>
      </c>
    </row>
    <row r="66" spans="18:37">
      <c r="X66" s="81" t="s">
        <v>501</v>
      </c>
      <c r="Y66" s="81">
        <v>201811</v>
      </c>
      <c r="Z66" s="81">
        <f>LEFT(대상년월,4)-LEFT(Y66,4)</f>
        <v>3</v>
      </c>
      <c r="AA66" s="81">
        <f>RIGHT(대상년월,2)-RIGHT(Y66,2)</f>
        <v>0</v>
      </c>
      <c r="AB66" s="81">
        <f>Z66*12+AA66+1</f>
        <v>37</v>
      </c>
      <c r="AC66" s="83" t="s">
        <v>440</v>
      </c>
    </row>
    <row r="68" spans="18:37">
      <c r="R68" t="s">
        <v>1394</v>
      </c>
      <c r="Y68" t="s">
        <v>517</v>
      </c>
      <c r="AE68" t="s">
        <v>528</v>
      </c>
      <c r="AH68" t="s">
        <v>1499</v>
      </c>
    </row>
    <row r="69" spans="18:37">
      <c r="R69" s="2" t="s">
        <v>1392</v>
      </c>
      <c r="S69" s="2" t="s">
        <v>1390</v>
      </c>
      <c r="T69" s="2" t="s">
        <v>1391</v>
      </c>
      <c r="Y69" s="2" t="s">
        <v>502</v>
      </c>
      <c r="Z69" s="2" t="s">
        <v>4</v>
      </c>
      <c r="AA69" s="2" t="s">
        <v>503</v>
      </c>
      <c r="AB69" s="2" t="s">
        <v>504</v>
      </c>
      <c r="AC69" s="2" t="s">
        <v>155</v>
      </c>
      <c r="AE69" s="86" t="s">
        <v>521</v>
      </c>
      <c r="AH69" s="2" t="s">
        <v>502</v>
      </c>
      <c r="AI69" s="2" t="s">
        <v>4</v>
      </c>
      <c r="AJ69" s="2" t="s">
        <v>503</v>
      </c>
      <c r="AK69" s="2" t="s">
        <v>504</v>
      </c>
    </row>
    <row r="70" spans="18:37">
      <c r="R70" s="2" t="s">
        <v>1393</v>
      </c>
      <c r="S70" s="130" t="s">
        <v>1379</v>
      </c>
      <c r="T70" s="2"/>
      <c r="Y70" s="86" t="s">
        <v>505</v>
      </c>
      <c r="Z70" s="86" t="s">
        <v>1331</v>
      </c>
      <c r="AA70" s="86" t="s">
        <v>1398</v>
      </c>
      <c r="AB70" s="86" t="s">
        <v>507</v>
      </c>
      <c r="AC70" s="86"/>
      <c r="AE70" s="88" t="s">
        <v>200</v>
      </c>
      <c r="AH70" s="86" t="s">
        <v>1500</v>
      </c>
      <c r="AI70" s="86" t="s">
        <v>1502</v>
      </c>
      <c r="AJ70" s="129" t="s">
        <v>1503</v>
      </c>
      <c r="AK70" s="86" t="s">
        <v>1506</v>
      </c>
    </row>
    <row r="71" spans="18:37">
      <c r="R71" s="2" t="s">
        <v>1393</v>
      </c>
      <c r="S71" s="130" t="s">
        <v>1381</v>
      </c>
      <c r="T71" s="2"/>
      <c r="Y71" s="86" t="s">
        <v>508</v>
      </c>
      <c r="Z71" s="86" t="s">
        <v>1331</v>
      </c>
      <c r="AA71" s="86" t="s">
        <v>1399</v>
      </c>
      <c r="AB71" s="86" t="s">
        <v>507</v>
      </c>
      <c r="AC71" s="86"/>
      <c r="AE71" s="2" t="s">
        <v>522</v>
      </c>
      <c r="AH71" s="86" t="s">
        <v>1501</v>
      </c>
      <c r="AI71" s="86" t="s">
        <v>1502</v>
      </c>
      <c r="AJ71" s="129" t="s">
        <v>1504</v>
      </c>
      <c r="AK71" s="86" t="s">
        <v>1506</v>
      </c>
    </row>
    <row r="72" spans="18:37">
      <c r="R72" s="2" t="s">
        <v>1393</v>
      </c>
      <c r="S72" s="2" t="s">
        <v>1383</v>
      </c>
      <c r="T72" s="2"/>
      <c r="Y72" s="94" t="s">
        <v>520</v>
      </c>
      <c r="Z72" s="86" t="s">
        <v>1331</v>
      </c>
      <c r="AA72" s="93" t="s">
        <v>1400</v>
      </c>
      <c r="AB72" s="86" t="s">
        <v>507</v>
      </c>
      <c r="AC72" s="86"/>
      <c r="AE72" s="2" t="s">
        <v>523</v>
      </c>
    </row>
    <row r="73" spans="18:37">
      <c r="R73" s="2" t="s">
        <v>1393</v>
      </c>
      <c r="S73" s="2" t="s">
        <v>1388</v>
      </c>
      <c r="T73" s="2"/>
      <c r="Y73" s="86" t="s">
        <v>510</v>
      </c>
      <c r="Z73" s="86" t="s">
        <v>1331</v>
      </c>
      <c r="AA73" s="86" t="s">
        <v>1401</v>
      </c>
      <c r="AB73" s="86" t="s">
        <v>507</v>
      </c>
      <c r="AC73" s="86"/>
      <c r="AE73" s="2" t="s">
        <v>197</v>
      </c>
    </row>
    <row r="74" spans="18:37">
      <c r="R74" s="2" t="s">
        <v>1393</v>
      </c>
      <c r="S74" s="2" t="s">
        <v>1385</v>
      </c>
      <c r="T74" s="2"/>
      <c r="Y74" s="86" t="s">
        <v>512</v>
      </c>
      <c r="Z74" s="86" t="s">
        <v>1331</v>
      </c>
      <c r="AA74" s="86" t="s">
        <v>1402</v>
      </c>
      <c r="AB74" s="86" t="s">
        <v>507</v>
      </c>
      <c r="AC74" s="86"/>
      <c r="AE74" s="2" t="s">
        <v>524</v>
      </c>
    </row>
    <row r="75" spans="18:37">
      <c r="R75" s="2" t="s">
        <v>1393</v>
      </c>
      <c r="S75" s="2" t="s">
        <v>1387</v>
      </c>
      <c r="T75" s="2"/>
      <c r="Y75" s="86" t="s">
        <v>514</v>
      </c>
      <c r="Z75" s="86" t="s">
        <v>1331</v>
      </c>
      <c r="AA75" s="86" t="s">
        <v>1403</v>
      </c>
      <c r="AB75" s="86" t="s">
        <v>507</v>
      </c>
      <c r="AC75" s="86"/>
      <c r="AE75" s="2" t="s">
        <v>196</v>
      </c>
    </row>
    <row r="76" spans="18:37">
      <c r="R76" s="2" t="s">
        <v>1393</v>
      </c>
      <c r="S76" s="2"/>
      <c r="T76" s="129" t="s">
        <v>1396</v>
      </c>
      <c r="Y76" s="86" t="s">
        <v>516</v>
      </c>
      <c r="Z76" s="86" t="s">
        <v>1331</v>
      </c>
      <c r="AA76" s="86" t="s">
        <v>1404</v>
      </c>
      <c r="AB76" s="86" t="s">
        <v>507</v>
      </c>
      <c r="AC76" s="86"/>
      <c r="AE76" s="2" t="s">
        <v>525</v>
      </c>
    </row>
    <row r="77" spans="18:37">
      <c r="R77" s="2" t="s">
        <v>1393</v>
      </c>
      <c r="S77" s="2"/>
      <c r="T77" s="129" t="s">
        <v>1380</v>
      </c>
      <c r="Y77" s="86" t="s">
        <v>505</v>
      </c>
      <c r="Z77" s="86" t="s">
        <v>1331</v>
      </c>
      <c r="AA77" s="86" t="s">
        <v>1398</v>
      </c>
      <c r="AB77" s="86"/>
      <c r="AC77" s="80" t="str">
        <f>"&gt;"&amp;$AB$66</f>
        <v>&gt;37</v>
      </c>
      <c r="AE77" s="2" t="s">
        <v>198</v>
      </c>
    </row>
    <row r="78" spans="18:37">
      <c r="R78" s="2" t="s">
        <v>1393</v>
      </c>
      <c r="S78" s="2"/>
      <c r="T78" s="2" t="s">
        <v>1382</v>
      </c>
      <c r="Y78" s="94" t="s">
        <v>520</v>
      </c>
      <c r="Z78" s="86" t="s">
        <v>1331</v>
      </c>
      <c r="AA78" s="93" t="s">
        <v>1400</v>
      </c>
      <c r="AB78" s="86"/>
      <c r="AC78" s="80" t="str">
        <f>"&gt;"&amp;$AB$66</f>
        <v>&gt;37</v>
      </c>
      <c r="AE78" s="2" t="s">
        <v>526</v>
      </c>
    </row>
    <row r="79" spans="18:37">
      <c r="R79" s="2" t="s">
        <v>1393</v>
      </c>
      <c r="S79" s="2"/>
      <c r="T79" s="2" t="s">
        <v>1389</v>
      </c>
      <c r="Y79" s="86" t="s">
        <v>508</v>
      </c>
      <c r="Z79" s="86" t="s">
        <v>1331</v>
      </c>
      <c r="AA79" s="86" t="s">
        <v>1399</v>
      </c>
      <c r="AB79" s="86"/>
      <c r="AC79" s="80" t="str">
        <f t="shared" ref="AC79:AC83" si="8">"&gt;"&amp;$AB$66</f>
        <v>&gt;37</v>
      </c>
      <c r="AE79" s="2" t="s">
        <v>527</v>
      </c>
    </row>
    <row r="80" spans="18:37">
      <c r="R80" s="2" t="s">
        <v>1393</v>
      </c>
      <c r="S80" s="2"/>
      <c r="T80" s="2" t="s">
        <v>1384</v>
      </c>
      <c r="Y80" s="86" t="s">
        <v>510</v>
      </c>
      <c r="Z80" s="86" t="s">
        <v>1331</v>
      </c>
      <c r="AA80" s="86" t="s">
        <v>1401</v>
      </c>
      <c r="AB80" s="86"/>
      <c r="AC80" s="80" t="str">
        <f t="shared" si="8"/>
        <v>&gt;37</v>
      </c>
      <c r="AE80" s="2" t="s">
        <v>530</v>
      </c>
    </row>
    <row r="81" spans="18:31">
      <c r="R81" s="2" t="s">
        <v>1393</v>
      </c>
      <c r="S81" s="2"/>
      <c r="T81" s="2" t="s">
        <v>1386</v>
      </c>
      <c r="Y81" s="86" t="s">
        <v>512</v>
      </c>
      <c r="Z81" s="86" t="s">
        <v>1331</v>
      </c>
      <c r="AA81" s="86" t="s">
        <v>1402</v>
      </c>
      <c r="AB81" s="86"/>
      <c r="AC81" s="80" t="str">
        <f t="shared" si="8"/>
        <v>&gt;37</v>
      </c>
      <c r="AE81" s="2" t="s">
        <v>529</v>
      </c>
    </row>
    <row r="82" spans="18:31">
      <c r="Y82" s="86" t="s">
        <v>514</v>
      </c>
      <c r="Z82" s="86" t="s">
        <v>1331</v>
      </c>
      <c r="AA82" s="86" t="s">
        <v>1403</v>
      </c>
      <c r="AB82" s="86"/>
      <c r="AC82" s="80" t="str">
        <f t="shared" si="8"/>
        <v>&gt;37</v>
      </c>
    </row>
    <row r="83" spans="18:31">
      <c r="Y83" s="86" t="s">
        <v>516</v>
      </c>
      <c r="Z83" s="86" t="s">
        <v>1331</v>
      </c>
      <c r="AA83" s="86" t="s">
        <v>1404</v>
      </c>
      <c r="AB83" s="86"/>
      <c r="AC83" s="80" t="str">
        <f t="shared" si="8"/>
        <v>&gt;37</v>
      </c>
    </row>
    <row r="86" spans="18:31">
      <c r="X86" t="s">
        <v>1324</v>
      </c>
      <c r="AA86" s="128" t="s">
        <v>1325</v>
      </c>
    </row>
    <row r="87" spans="18:31">
      <c r="X87" s="123" t="s">
        <v>574</v>
      </c>
      <c r="Y87" s="123" t="s">
        <v>4</v>
      </c>
      <c r="AA87" t="str">
        <f ca="1">J19&amp;"goms.xlsx"</f>
        <v>d:\글로벌백업(180329)\04.수수료작업\202111수수료\goms.xlsx</v>
      </c>
    </row>
    <row r="88" spans="18:31">
      <c r="X88" s="124" t="s">
        <v>1323</v>
      </c>
      <c r="Y88" s="125" t="s">
        <v>1327</v>
      </c>
    </row>
    <row r="89" spans="18:31">
      <c r="X89" s="124" t="s">
        <v>1323</v>
      </c>
      <c r="Y89" s="125" t="s">
        <v>1328</v>
      </c>
    </row>
    <row r="90" spans="18:31" ht="21.6">
      <c r="X90" s="124" t="s">
        <v>1323</v>
      </c>
      <c r="Y90" s="125" t="s">
        <v>1329</v>
      </c>
    </row>
    <row r="91" spans="18:31">
      <c r="X91" s="126" t="s">
        <v>1323</v>
      </c>
      <c r="Y91" s="127" t="s">
        <v>1330</v>
      </c>
    </row>
    <row r="92" spans="18:31">
      <c r="X92" s="2"/>
      <c r="Y92" s="2"/>
    </row>
    <row r="93" spans="18:31">
      <c r="X93" s="2"/>
      <c r="Y93" s="2"/>
    </row>
    <row r="94" spans="18:31">
      <c r="X94" s="2"/>
      <c r="Y94" s="2"/>
    </row>
    <row r="95" spans="18:31">
      <c r="X95" s="2"/>
      <c r="Y95" s="2"/>
    </row>
  </sheetData>
  <sortState xmlns:xlrd2="http://schemas.microsoft.com/office/spreadsheetml/2017/richdata2" ref="AU6:AX22">
    <sortCondition ref="AU6:AU22"/>
  </sortState>
  <mergeCells count="7">
    <mergeCell ref="M22:M23"/>
    <mergeCell ref="K7:L7"/>
    <mergeCell ref="A3:A4"/>
    <mergeCell ref="C3:D3"/>
    <mergeCell ref="E3:F3"/>
    <mergeCell ref="K5:L5"/>
    <mergeCell ref="K6:L6"/>
  </mergeCells>
  <phoneticPr fontId="1" type="noConversion"/>
  <dataValidations count="2">
    <dataValidation type="list" allowBlank="1" showInputMessage="1" showErrorMessage="1" sqref="P13" xr:uid="{00000000-0002-0000-0100-000000000000}">
      <formula1>$P$21:$P$29</formula1>
    </dataValidation>
    <dataValidation type="list" allowBlank="1" showInputMessage="1" showErrorMessage="1" sqref="K6:L6" xr:uid="{00000000-0002-0000-0100-000001000000}">
      <formula1>$O$5:$O$19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7" r:id="rId4" name="Button 9">
              <controlPr defaultSize="0" print="0" autoFill="0" autoPict="0" macro="[0]!GetDataFromListFiles">
                <anchor moveWithCells="1" sizeWithCells="1">
                  <from>
                    <xdr:col>9</xdr:col>
                    <xdr:colOff>22860</xdr:colOff>
                    <xdr:row>11</xdr:row>
                    <xdr:rowOff>175260</xdr:rowOff>
                  </from>
                  <to>
                    <xdr:col>12</xdr:col>
                    <xdr:colOff>99060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P209"/>
  <sheetViews>
    <sheetView zoomScale="80" zoomScaleNormal="80" workbookViewId="0">
      <selection activeCell="C6" sqref="C6"/>
    </sheetView>
  </sheetViews>
  <sheetFormatPr defaultRowHeight="17.399999999999999"/>
  <cols>
    <col min="3" max="3" width="76.19921875" bestFit="1" customWidth="1"/>
    <col min="4" max="4" width="40.5" bestFit="1" customWidth="1"/>
    <col min="5" max="5" width="12.59765625" bestFit="1" customWidth="1"/>
    <col min="6" max="6" width="9" style="12"/>
    <col min="12" max="12" width="55.09765625" bestFit="1" customWidth="1"/>
    <col min="13" max="13" width="40.69921875" bestFit="1" customWidth="1"/>
  </cols>
  <sheetData>
    <row r="1" spans="1:6">
      <c r="A1" t="s">
        <v>52</v>
      </c>
    </row>
    <row r="2" spans="1:6">
      <c r="A2" s="4" t="s">
        <v>56</v>
      </c>
      <c r="B2" s="4" t="s">
        <v>75</v>
      </c>
      <c r="C2" s="4" t="s">
        <v>3</v>
      </c>
      <c r="D2" s="4" t="s">
        <v>1</v>
      </c>
      <c r="E2" s="4" t="s">
        <v>2</v>
      </c>
      <c r="F2" s="16" t="s">
        <v>170</v>
      </c>
    </row>
    <row r="3" spans="1:6">
      <c r="A3" s="4">
        <v>202111</v>
      </c>
      <c r="B3" s="4" t="s">
        <v>53</v>
      </c>
      <c r="C3" s="4" t="s">
        <v>1521</v>
      </c>
      <c r="D3" s="4" t="s">
        <v>1485</v>
      </c>
      <c r="E3" s="5" t="s">
        <v>7</v>
      </c>
      <c r="F3" s="16"/>
    </row>
    <row r="4" spans="1:6">
      <c r="A4" s="4">
        <v>202111</v>
      </c>
      <c r="B4" s="4" t="s">
        <v>209</v>
      </c>
      <c r="C4" s="4" t="s">
        <v>1521</v>
      </c>
      <c r="D4" s="4" t="s">
        <v>1484</v>
      </c>
      <c r="E4" s="5" t="s">
        <v>7</v>
      </c>
      <c r="F4" s="16"/>
    </row>
    <row r="5" spans="1:6">
      <c r="A5" s="4">
        <v>202111</v>
      </c>
      <c r="B5" s="4" t="s">
        <v>208</v>
      </c>
      <c r="C5" s="4" t="s">
        <v>1521</v>
      </c>
      <c r="D5" s="4" t="s">
        <v>1483</v>
      </c>
      <c r="E5" s="5" t="s">
        <v>7</v>
      </c>
      <c r="F5" s="16"/>
    </row>
    <row r="6" spans="1:6">
      <c r="A6" s="4">
        <v>202111</v>
      </c>
      <c r="B6" s="4" t="s">
        <v>1323</v>
      </c>
      <c r="C6" s="4" t="s">
        <v>1521</v>
      </c>
      <c r="D6" s="4" t="s">
        <v>1482</v>
      </c>
      <c r="E6" s="5" t="s">
        <v>7</v>
      </c>
      <c r="F6" s="16"/>
    </row>
    <row r="7" spans="1:6">
      <c r="A7" s="4">
        <v>202105</v>
      </c>
      <c r="B7" s="4" t="s">
        <v>53</v>
      </c>
      <c r="C7" s="4" t="s">
        <v>1471</v>
      </c>
      <c r="D7" s="4" t="s">
        <v>1477</v>
      </c>
      <c r="E7" s="5" t="s">
        <v>7</v>
      </c>
      <c r="F7" s="16"/>
    </row>
    <row r="8" spans="1:6">
      <c r="A8" s="4">
        <v>202105</v>
      </c>
      <c r="B8" s="4" t="s">
        <v>209</v>
      </c>
      <c r="C8" s="4" t="s">
        <v>1471</v>
      </c>
      <c r="D8" s="4" t="s">
        <v>1476</v>
      </c>
      <c r="E8" s="5" t="s">
        <v>7</v>
      </c>
      <c r="F8" s="16"/>
    </row>
    <row r="9" spans="1:6">
      <c r="A9" s="4">
        <v>202105</v>
      </c>
      <c r="B9" s="4" t="s">
        <v>208</v>
      </c>
      <c r="C9" s="4" t="s">
        <v>1471</v>
      </c>
      <c r="D9" s="4" t="s">
        <v>1475</v>
      </c>
      <c r="E9" s="5" t="s">
        <v>7</v>
      </c>
      <c r="F9" s="16"/>
    </row>
    <row r="10" spans="1:6">
      <c r="A10" s="4">
        <v>202105</v>
      </c>
      <c r="B10" s="4" t="s">
        <v>1474</v>
      </c>
      <c r="C10" s="4" t="s">
        <v>1471</v>
      </c>
      <c r="D10" s="4" t="s">
        <v>1473</v>
      </c>
      <c r="E10" s="5" t="s">
        <v>7</v>
      </c>
      <c r="F10" s="16"/>
    </row>
    <row r="11" spans="1:6">
      <c r="A11" s="4">
        <v>202104</v>
      </c>
      <c r="B11" s="4" t="s">
        <v>53</v>
      </c>
      <c r="C11" s="4" t="s">
        <v>1362</v>
      </c>
      <c r="D11" s="4" t="s">
        <v>1378</v>
      </c>
      <c r="E11" s="5" t="s">
        <v>7</v>
      </c>
      <c r="F11" s="16"/>
    </row>
    <row r="12" spans="1:6">
      <c r="A12" s="4">
        <v>202104</v>
      </c>
      <c r="B12" s="4" t="s">
        <v>209</v>
      </c>
      <c r="C12" s="4" t="s">
        <v>1362</v>
      </c>
      <c r="D12" s="4" t="s">
        <v>1377</v>
      </c>
      <c r="E12" s="5" t="s">
        <v>7</v>
      </c>
      <c r="F12" s="16"/>
    </row>
    <row r="13" spans="1:6">
      <c r="A13" s="4">
        <v>202104</v>
      </c>
      <c r="B13" s="4" t="s">
        <v>208</v>
      </c>
      <c r="C13" s="4" t="s">
        <v>1362</v>
      </c>
      <c r="D13" s="4" t="s">
        <v>1376</v>
      </c>
      <c r="E13" s="5" t="s">
        <v>7</v>
      </c>
      <c r="F13" s="16"/>
    </row>
    <row r="14" spans="1:6">
      <c r="A14" s="4">
        <v>202104</v>
      </c>
      <c r="B14" s="4" t="s">
        <v>1375</v>
      </c>
      <c r="C14" s="4" t="s">
        <v>1362</v>
      </c>
      <c r="D14" s="4" t="s">
        <v>1374</v>
      </c>
      <c r="E14" s="5" t="s">
        <v>7</v>
      </c>
      <c r="F14" s="16"/>
    </row>
    <row r="15" spans="1:6">
      <c r="A15" s="4">
        <v>202103</v>
      </c>
      <c r="B15" s="4" t="s">
        <v>53</v>
      </c>
      <c r="C15" s="4" t="s">
        <v>1326</v>
      </c>
      <c r="D15" s="4" t="s">
        <v>1342</v>
      </c>
      <c r="E15" s="5" t="s">
        <v>7</v>
      </c>
      <c r="F15" s="16"/>
    </row>
    <row r="16" spans="1:6">
      <c r="A16" s="4">
        <v>202103</v>
      </c>
      <c r="B16" s="4" t="s">
        <v>209</v>
      </c>
      <c r="C16" s="4" t="s">
        <v>1326</v>
      </c>
      <c r="D16" s="4" t="s">
        <v>1341</v>
      </c>
      <c r="E16" s="5" t="s">
        <v>7</v>
      </c>
      <c r="F16" s="16"/>
    </row>
    <row r="17" spans="1:6">
      <c r="A17" s="4">
        <v>202103</v>
      </c>
      <c r="B17" s="4" t="s">
        <v>208</v>
      </c>
      <c r="C17" s="4" t="s">
        <v>1326</v>
      </c>
      <c r="D17" s="4" t="s">
        <v>1340</v>
      </c>
      <c r="E17" s="5" t="s">
        <v>7</v>
      </c>
      <c r="F17" s="16"/>
    </row>
    <row r="18" spans="1:6">
      <c r="A18" s="4">
        <v>202103</v>
      </c>
      <c r="B18" s="4" t="s">
        <v>1339</v>
      </c>
      <c r="C18" s="4" t="s">
        <v>1326</v>
      </c>
      <c r="D18" s="4" t="s">
        <v>1338</v>
      </c>
      <c r="E18" s="5" t="s">
        <v>7</v>
      </c>
      <c r="F18" s="16"/>
    </row>
    <row r="19" spans="1:6">
      <c r="A19" s="4">
        <v>202102</v>
      </c>
      <c r="B19" s="4" t="s">
        <v>53</v>
      </c>
      <c r="C19" s="4" t="s">
        <v>1317</v>
      </c>
      <c r="D19" s="4" t="s">
        <v>1322</v>
      </c>
      <c r="E19" s="5" t="s">
        <v>7</v>
      </c>
      <c r="F19" s="16"/>
    </row>
    <row r="20" spans="1:6">
      <c r="A20" s="4">
        <v>202102</v>
      </c>
      <c r="B20" s="4" t="s">
        <v>209</v>
      </c>
      <c r="C20" s="4" t="s">
        <v>1317</v>
      </c>
      <c r="D20" s="4" t="s">
        <v>1321</v>
      </c>
      <c r="E20" s="5" t="s">
        <v>7</v>
      </c>
      <c r="F20" s="16"/>
    </row>
    <row r="21" spans="1:6">
      <c r="A21" s="4">
        <v>202102</v>
      </c>
      <c r="B21" s="4" t="s">
        <v>208</v>
      </c>
      <c r="C21" s="4" t="s">
        <v>1317</v>
      </c>
      <c r="D21" s="4" t="s">
        <v>1320</v>
      </c>
      <c r="E21" s="5" t="s">
        <v>7</v>
      </c>
      <c r="F21" s="16"/>
    </row>
    <row r="22" spans="1:6">
      <c r="A22" s="4">
        <v>202102</v>
      </c>
      <c r="B22" s="4" t="s">
        <v>1319</v>
      </c>
      <c r="C22" s="4" t="s">
        <v>1317</v>
      </c>
      <c r="D22" s="4" t="s">
        <v>1318</v>
      </c>
      <c r="E22" s="5" t="s">
        <v>7</v>
      </c>
      <c r="F22" s="16"/>
    </row>
    <row r="23" spans="1:6">
      <c r="A23" s="4">
        <v>202101</v>
      </c>
      <c r="B23" s="4" t="s">
        <v>53</v>
      </c>
      <c r="C23" s="4" t="s">
        <v>1311</v>
      </c>
      <c r="D23" s="4" t="s">
        <v>1316</v>
      </c>
      <c r="E23" s="5" t="s">
        <v>7</v>
      </c>
      <c r="F23" s="16"/>
    </row>
    <row r="24" spans="1:6">
      <c r="A24" s="4">
        <v>202101</v>
      </c>
      <c r="B24" s="4" t="s">
        <v>209</v>
      </c>
      <c r="C24" s="4" t="s">
        <v>1311</v>
      </c>
      <c r="D24" s="4" t="s">
        <v>1315</v>
      </c>
      <c r="E24" s="5" t="s">
        <v>7</v>
      </c>
      <c r="F24" s="16"/>
    </row>
    <row r="25" spans="1:6">
      <c r="A25" s="4">
        <v>202101</v>
      </c>
      <c r="B25" s="4" t="s">
        <v>208</v>
      </c>
      <c r="C25" s="4" t="s">
        <v>1311</v>
      </c>
      <c r="D25" s="4" t="s">
        <v>1314</v>
      </c>
      <c r="E25" s="5" t="s">
        <v>7</v>
      </c>
      <c r="F25" s="16"/>
    </row>
    <row r="26" spans="1:6">
      <c r="A26" s="4">
        <v>202101</v>
      </c>
      <c r="B26" s="4" t="s">
        <v>1313</v>
      </c>
      <c r="C26" s="4" t="s">
        <v>1311</v>
      </c>
      <c r="D26" s="4" t="s">
        <v>1312</v>
      </c>
      <c r="E26" s="5" t="s">
        <v>7</v>
      </c>
      <c r="F26" s="16"/>
    </row>
    <row r="27" spans="1:6">
      <c r="A27" s="4">
        <v>202012</v>
      </c>
      <c r="B27" s="4" t="s">
        <v>53</v>
      </c>
      <c r="C27" s="4" t="s">
        <v>1309</v>
      </c>
      <c r="D27" s="4" t="s">
        <v>1308</v>
      </c>
      <c r="E27" s="5" t="s">
        <v>7</v>
      </c>
      <c r="F27" s="16"/>
    </row>
    <row r="28" spans="1:6">
      <c r="A28" s="4">
        <v>202012</v>
      </c>
      <c r="B28" s="4" t="s">
        <v>209</v>
      </c>
      <c r="C28" s="4" t="s">
        <v>1309</v>
      </c>
      <c r="D28" s="4" t="s">
        <v>1306</v>
      </c>
      <c r="E28" s="5" t="s">
        <v>7</v>
      </c>
      <c r="F28" s="16"/>
    </row>
    <row r="29" spans="1:6">
      <c r="A29" s="4">
        <v>202012</v>
      </c>
      <c r="B29" s="4" t="s">
        <v>208</v>
      </c>
      <c r="C29" s="4" t="s">
        <v>1309</v>
      </c>
      <c r="D29" s="4" t="s">
        <v>1305</v>
      </c>
      <c r="E29" s="5" t="s">
        <v>7</v>
      </c>
      <c r="F29" s="16"/>
    </row>
    <row r="30" spans="1:6">
      <c r="A30" s="4">
        <v>202012</v>
      </c>
      <c r="B30" s="4" t="s">
        <v>1310</v>
      </c>
      <c r="C30" s="4" t="s">
        <v>1309</v>
      </c>
      <c r="D30" s="4" t="s">
        <v>1307</v>
      </c>
      <c r="E30" s="5" t="s">
        <v>7</v>
      </c>
      <c r="F30" s="16"/>
    </row>
    <row r="31" spans="1:6">
      <c r="A31" s="4">
        <v>202011</v>
      </c>
      <c r="B31" s="4" t="s">
        <v>208</v>
      </c>
      <c r="C31" s="4" t="s">
        <v>1299</v>
      </c>
      <c r="D31" s="4" t="s">
        <v>1303</v>
      </c>
      <c r="E31" s="5" t="s">
        <v>7</v>
      </c>
      <c r="F31" s="16"/>
    </row>
    <row r="32" spans="1:6">
      <c r="A32" s="4">
        <v>202011</v>
      </c>
      <c r="B32" s="4" t="s">
        <v>209</v>
      </c>
      <c r="C32" s="4" t="s">
        <v>1299</v>
      </c>
      <c r="D32" s="4" t="s">
        <v>1302</v>
      </c>
      <c r="E32" s="5" t="s">
        <v>7</v>
      </c>
      <c r="F32" s="16"/>
    </row>
    <row r="33" spans="1:6">
      <c r="A33" s="4">
        <v>202011</v>
      </c>
      <c r="B33" s="4" t="s">
        <v>1301</v>
      </c>
      <c r="C33" s="4" t="s">
        <v>1299</v>
      </c>
      <c r="D33" s="4" t="s">
        <v>1304</v>
      </c>
      <c r="E33" s="5" t="s">
        <v>7</v>
      </c>
      <c r="F33" s="16"/>
    </row>
    <row r="34" spans="1:6">
      <c r="A34" s="4">
        <v>202011</v>
      </c>
      <c r="B34" s="4" t="s">
        <v>53</v>
      </c>
      <c r="C34" s="4" t="s">
        <v>1299</v>
      </c>
      <c r="D34" s="4" t="s">
        <v>1300</v>
      </c>
      <c r="E34" s="5" t="s">
        <v>7</v>
      </c>
      <c r="F34" s="16"/>
    </row>
    <row r="35" spans="1:6">
      <c r="A35" s="4">
        <v>202010</v>
      </c>
      <c r="B35" s="4" t="s">
        <v>1296</v>
      </c>
      <c r="C35" s="4" t="s">
        <v>1293</v>
      </c>
      <c r="D35" s="4" t="s">
        <v>1297</v>
      </c>
      <c r="E35" s="5" t="s">
        <v>7</v>
      </c>
      <c r="F35" s="16"/>
    </row>
    <row r="36" spans="1:6">
      <c r="A36" s="4">
        <v>202010</v>
      </c>
      <c r="B36" s="4" t="s">
        <v>53</v>
      </c>
      <c r="C36" s="4" t="s">
        <v>1293</v>
      </c>
      <c r="D36" s="4" t="s">
        <v>1298</v>
      </c>
      <c r="E36" s="5" t="s">
        <v>7</v>
      </c>
      <c r="F36" s="16"/>
    </row>
    <row r="37" spans="1:6">
      <c r="A37" s="4">
        <v>202010</v>
      </c>
      <c r="B37" s="4" t="s">
        <v>209</v>
      </c>
      <c r="C37" s="4" t="s">
        <v>1293</v>
      </c>
      <c r="D37" s="4" t="s">
        <v>1295</v>
      </c>
      <c r="E37" s="5" t="s">
        <v>7</v>
      </c>
      <c r="F37" s="16"/>
    </row>
    <row r="38" spans="1:6">
      <c r="A38" s="4">
        <v>202010</v>
      </c>
      <c r="B38" s="4" t="s">
        <v>208</v>
      </c>
      <c r="C38" s="4" t="s">
        <v>1293</v>
      </c>
      <c r="D38" s="4" t="s">
        <v>1294</v>
      </c>
      <c r="E38" s="5" t="s">
        <v>7</v>
      </c>
      <c r="F38" s="16"/>
    </row>
    <row r="39" spans="1:6">
      <c r="A39" s="4">
        <v>202009</v>
      </c>
      <c r="B39" s="4" t="s">
        <v>1292</v>
      </c>
      <c r="C39" s="4" t="s">
        <v>1287</v>
      </c>
      <c r="D39" s="4" t="s">
        <v>1291</v>
      </c>
      <c r="E39" s="5" t="s">
        <v>7</v>
      </c>
      <c r="F39" s="16"/>
    </row>
    <row r="40" spans="1:6">
      <c r="A40" s="4">
        <v>202009</v>
      </c>
      <c r="B40" s="4" t="s">
        <v>209</v>
      </c>
      <c r="C40" s="4" t="s">
        <v>1287</v>
      </c>
      <c r="D40" s="4" t="s">
        <v>1290</v>
      </c>
      <c r="E40" s="5" t="s">
        <v>7</v>
      </c>
      <c r="F40" s="16"/>
    </row>
    <row r="41" spans="1:6">
      <c r="A41" s="4">
        <v>202009</v>
      </c>
      <c r="B41" s="4" t="s">
        <v>208</v>
      </c>
      <c r="C41" s="4" t="s">
        <v>1287</v>
      </c>
      <c r="D41" s="4" t="s">
        <v>1289</v>
      </c>
      <c r="E41" s="5" t="s">
        <v>7</v>
      </c>
      <c r="F41" s="16"/>
    </row>
    <row r="42" spans="1:6">
      <c r="A42" s="4">
        <v>202009</v>
      </c>
      <c r="B42" s="4" t="s">
        <v>53</v>
      </c>
      <c r="C42" s="4" t="s">
        <v>1287</v>
      </c>
      <c r="D42" s="4" t="s">
        <v>1288</v>
      </c>
      <c r="E42" s="5" t="s">
        <v>7</v>
      </c>
      <c r="F42" s="16"/>
    </row>
    <row r="43" spans="1:6">
      <c r="A43" s="4">
        <v>202008</v>
      </c>
      <c r="B43" s="4" t="s">
        <v>53</v>
      </c>
      <c r="C43" s="4" t="s">
        <v>1282</v>
      </c>
      <c r="D43" s="4" t="s">
        <v>1286</v>
      </c>
      <c r="E43" s="5" t="s">
        <v>7</v>
      </c>
      <c r="F43" s="16"/>
    </row>
    <row r="44" spans="1:6">
      <c r="A44" s="4">
        <v>202008</v>
      </c>
      <c r="B44" s="4" t="s">
        <v>209</v>
      </c>
      <c r="C44" s="4" t="s">
        <v>1282</v>
      </c>
      <c r="D44" s="4" t="s">
        <v>1285</v>
      </c>
      <c r="E44" s="5" t="s">
        <v>7</v>
      </c>
      <c r="F44" s="16"/>
    </row>
    <row r="45" spans="1:6">
      <c r="A45" s="4">
        <v>202008</v>
      </c>
      <c r="B45" s="4" t="s">
        <v>208</v>
      </c>
      <c r="C45" s="4" t="s">
        <v>1282</v>
      </c>
      <c r="D45" s="4" t="s">
        <v>1284</v>
      </c>
      <c r="E45" s="5" t="s">
        <v>7</v>
      </c>
      <c r="F45" s="16"/>
    </row>
    <row r="46" spans="1:6">
      <c r="A46" s="4">
        <v>202008</v>
      </c>
      <c r="B46" s="4" t="s">
        <v>30</v>
      </c>
      <c r="C46" s="4" t="s">
        <v>1282</v>
      </c>
      <c r="D46" s="4" t="s">
        <v>1283</v>
      </c>
      <c r="E46" s="5" t="s">
        <v>7</v>
      </c>
      <c r="F46" s="16"/>
    </row>
    <row r="47" spans="1:6">
      <c r="A47" s="4">
        <v>202007</v>
      </c>
      <c r="B47" s="4" t="s">
        <v>53</v>
      </c>
      <c r="C47" s="4" t="s">
        <v>1276</v>
      </c>
      <c r="D47" s="4" t="s">
        <v>1281</v>
      </c>
      <c r="E47" s="5" t="s">
        <v>7</v>
      </c>
      <c r="F47" s="16"/>
    </row>
    <row r="48" spans="1:6">
      <c r="A48" s="4">
        <v>202007</v>
      </c>
      <c r="B48" s="4" t="s">
        <v>209</v>
      </c>
      <c r="C48" s="4" t="s">
        <v>1276</v>
      </c>
      <c r="D48" s="4" t="s">
        <v>1280</v>
      </c>
      <c r="E48" s="5" t="s">
        <v>7</v>
      </c>
      <c r="F48" s="16"/>
    </row>
    <row r="49" spans="1:6">
      <c r="A49" s="4">
        <v>202007</v>
      </c>
      <c r="B49" s="4" t="s">
        <v>208</v>
      </c>
      <c r="C49" s="4" t="s">
        <v>1276</v>
      </c>
      <c r="D49" s="4" t="s">
        <v>1279</v>
      </c>
      <c r="E49" s="5" t="s">
        <v>7</v>
      </c>
      <c r="F49" s="16"/>
    </row>
    <row r="50" spans="1:6">
      <c r="A50" s="4">
        <v>202007</v>
      </c>
      <c r="B50" s="4" t="s">
        <v>1278</v>
      </c>
      <c r="C50" s="4" t="s">
        <v>1276</v>
      </c>
      <c r="D50" s="4" t="s">
        <v>1277</v>
      </c>
      <c r="E50" s="5" t="s">
        <v>7</v>
      </c>
      <c r="F50" s="16"/>
    </row>
    <row r="51" spans="1:6">
      <c r="A51" s="4">
        <v>202006</v>
      </c>
      <c r="B51" s="4" t="s">
        <v>30</v>
      </c>
      <c r="C51" s="4" t="s">
        <v>1271</v>
      </c>
      <c r="D51" s="4" t="s">
        <v>1275</v>
      </c>
      <c r="E51" s="5" t="s">
        <v>7</v>
      </c>
      <c r="F51" s="16"/>
    </row>
    <row r="52" spans="1:6">
      <c r="A52" s="4">
        <v>202006</v>
      </c>
      <c r="B52" s="4" t="s">
        <v>53</v>
      </c>
      <c r="C52" s="4" t="s">
        <v>1271</v>
      </c>
      <c r="D52" s="4" t="s">
        <v>1274</v>
      </c>
      <c r="E52" s="5" t="s">
        <v>7</v>
      </c>
      <c r="F52" s="16"/>
    </row>
    <row r="53" spans="1:6">
      <c r="A53" s="4">
        <v>202006</v>
      </c>
      <c r="B53" s="4" t="s">
        <v>209</v>
      </c>
      <c r="C53" s="4" t="s">
        <v>1271</v>
      </c>
      <c r="D53" s="4" t="s">
        <v>1273</v>
      </c>
      <c r="E53" s="5" t="s">
        <v>7</v>
      </c>
      <c r="F53" s="16"/>
    </row>
    <row r="54" spans="1:6">
      <c r="A54" s="4">
        <v>202006</v>
      </c>
      <c r="B54" s="4" t="s">
        <v>208</v>
      </c>
      <c r="C54" s="4" t="s">
        <v>1271</v>
      </c>
      <c r="D54" s="4" t="s">
        <v>1272</v>
      </c>
      <c r="E54" s="5" t="s">
        <v>7</v>
      </c>
      <c r="F54" s="16"/>
    </row>
    <row r="55" spans="1:6">
      <c r="A55" s="4">
        <v>202005</v>
      </c>
      <c r="B55" s="4" t="s">
        <v>53</v>
      </c>
      <c r="C55" s="4" t="s">
        <v>562</v>
      </c>
      <c r="D55" s="4" t="s">
        <v>634</v>
      </c>
      <c r="E55" s="5" t="s">
        <v>7</v>
      </c>
      <c r="F55" s="16"/>
    </row>
    <row r="56" spans="1:6">
      <c r="A56" s="4">
        <v>202005</v>
      </c>
      <c r="B56" s="4" t="s">
        <v>209</v>
      </c>
      <c r="C56" s="4" t="s">
        <v>562</v>
      </c>
      <c r="D56" s="4" t="s">
        <v>633</v>
      </c>
      <c r="E56" s="5" t="s">
        <v>7</v>
      </c>
      <c r="F56" s="16"/>
    </row>
    <row r="57" spans="1:6">
      <c r="A57" s="4">
        <v>202005</v>
      </c>
      <c r="B57" s="4" t="s">
        <v>208</v>
      </c>
      <c r="C57" s="4" t="s">
        <v>562</v>
      </c>
      <c r="D57" s="4" t="s">
        <v>632</v>
      </c>
      <c r="E57" s="5" t="s">
        <v>7</v>
      </c>
      <c r="F57" s="16"/>
    </row>
    <row r="58" spans="1:6">
      <c r="A58" s="4">
        <v>202005</v>
      </c>
      <c r="B58" s="4" t="s">
        <v>631</v>
      </c>
      <c r="C58" s="4" t="s">
        <v>562</v>
      </c>
      <c r="D58" s="4" t="s">
        <v>635</v>
      </c>
      <c r="E58" s="5" t="s">
        <v>7</v>
      </c>
      <c r="F58" s="16"/>
    </row>
    <row r="59" spans="1:6">
      <c r="A59" s="4">
        <v>202004</v>
      </c>
      <c r="B59" s="4" t="s">
        <v>53</v>
      </c>
      <c r="C59" s="4" t="s">
        <v>556</v>
      </c>
      <c r="D59" s="4" t="s">
        <v>561</v>
      </c>
      <c r="E59" s="5" t="s">
        <v>7</v>
      </c>
      <c r="F59" s="16"/>
    </row>
    <row r="60" spans="1:6">
      <c r="A60" s="4">
        <v>202004</v>
      </c>
      <c r="B60" s="4" t="s">
        <v>209</v>
      </c>
      <c r="C60" s="4" t="s">
        <v>556</v>
      </c>
      <c r="D60" s="4" t="s">
        <v>560</v>
      </c>
      <c r="E60" s="5" t="s">
        <v>7</v>
      </c>
      <c r="F60" s="16"/>
    </row>
    <row r="61" spans="1:6">
      <c r="A61" s="4">
        <v>202004</v>
      </c>
      <c r="B61" s="4" t="s">
        <v>208</v>
      </c>
      <c r="C61" s="4" t="s">
        <v>556</v>
      </c>
      <c r="D61" s="4" t="s">
        <v>559</v>
      </c>
      <c r="E61" s="5" t="s">
        <v>7</v>
      </c>
      <c r="F61" s="16"/>
    </row>
    <row r="62" spans="1:6">
      <c r="A62" s="4">
        <v>202004</v>
      </c>
      <c r="B62" s="4" t="s">
        <v>558</v>
      </c>
      <c r="C62" s="4" t="s">
        <v>556</v>
      </c>
      <c r="D62" s="4" t="s">
        <v>557</v>
      </c>
      <c r="E62" s="5" t="s">
        <v>7</v>
      </c>
      <c r="F62" s="16"/>
    </row>
    <row r="63" spans="1:6">
      <c r="A63" s="4">
        <v>202003</v>
      </c>
      <c r="B63" s="4" t="s">
        <v>53</v>
      </c>
      <c r="C63" s="4" t="s">
        <v>550</v>
      </c>
      <c r="D63" s="4" t="s">
        <v>555</v>
      </c>
      <c r="E63" s="5" t="s">
        <v>7</v>
      </c>
      <c r="F63" s="16"/>
    </row>
    <row r="64" spans="1:6">
      <c r="A64" s="4">
        <v>202003</v>
      </c>
      <c r="B64" s="4" t="s">
        <v>209</v>
      </c>
      <c r="C64" s="4" t="s">
        <v>550</v>
      </c>
      <c r="D64" s="4" t="s">
        <v>554</v>
      </c>
      <c r="E64" s="5" t="s">
        <v>7</v>
      </c>
      <c r="F64" s="16"/>
    </row>
    <row r="65" spans="1:6">
      <c r="A65" s="4">
        <v>202003</v>
      </c>
      <c r="B65" s="4" t="s">
        <v>208</v>
      </c>
      <c r="C65" s="4" t="s">
        <v>550</v>
      </c>
      <c r="D65" s="4" t="s">
        <v>553</v>
      </c>
      <c r="E65" s="5" t="s">
        <v>7</v>
      </c>
      <c r="F65" s="16"/>
    </row>
    <row r="66" spans="1:6">
      <c r="A66" s="4">
        <v>202003</v>
      </c>
      <c r="B66" s="4" t="s">
        <v>552</v>
      </c>
      <c r="C66" s="4" t="s">
        <v>550</v>
      </c>
      <c r="D66" s="4" t="s">
        <v>551</v>
      </c>
      <c r="E66" s="5" t="s">
        <v>7</v>
      </c>
      <c r="F66" s="16"/>
    </row>
    <row r="67" spans="1:6">
      <c r="A67" s="4">
        <v>202002</v>
      </c>
      <c r="B67" s="4" t="s">
        <v>53</v>
      </c>
      <c r="C67" s="4" t="s">
        <v>542</v>
      </c>
      <c r="D67" s="4" t="s">
        <v>549</v>
      </c>
      <c r="E67" s="5" t="s">
        <v>7</v>
      </c>
      <c r="F67" s="16"/>
    </row>
    <row r="68" spans="1:6">
      <c r="A68" s="4">
        <v>202002</v>
      </c>
      <c r="B68" s="4" t="s">
        <v>209</v>
      </c>
      <c r="C68" s="4" t="s">
        <v>542</v>
      </c>
      <c r="D68" s="4" t="s">
        <v>548</v>
      </c>
      <c r="E68" s="5" t="s">
        <v>7</v>
      </c>
      <c r="F68" s="16"/>
    </row>
    <row r="69" spans="1:6">
      <c r="A69" s="4">
        <v>202002</v>
      </c>
      <c r="B69" s="4" t="s">
        <v>208</v>
      </c>
      <c r="C69" s="4" t="s">
        <v>542</v>
      </c>
      <c r="D69" s="4" t="s">
        <v>547</v>
      </c>
      <c r="E69" s="5" t="s">
        <v>7</v>
      </c>
      <c r="F69" s="16"/>
    </row>
    <row r="70" spans="1:6">
      <c r="A70" s="4">
        <v>202002</v>
      </c>
      <c r="B70" s="4" t="s">
        <v>546</v>
      </c>
      <c r="C70" s="4" t="s">
        <v>542</v>
      </c>
      <c r="D70" s="4" t="s">
        <v>545</v>
      </c>
      <c r="E70" s="5" t="s">
        <v>7</v>
      </c>
      <c r="F70" s="16"/>
    </row>
    <row r="71" spans="1:6">
      <c r="A71" s="4">
        <v>202001</v>
      </c>
      <c r="B71" s="4" t="s">
        <v>53</v>
      </c>
      <c r="C71" s="4" t="s">
        <v>535</v>
      </c>
      <c r="D71" s="4" t="s">
        <v>540</v>
      </c>
      <c r="E71" s="5" t="s">
        <v>7</v>
      </c>
      <c r="F71" s="16"/>
    </row>
    <row r="72" spans="1:6">
      <c r="A72" s="4">
        <v>202001</v>
      </c>
      <c r="B72" s="4" t="s">
        <v>209</v>
      </c>
      <c r="C72" s="4" t="s">
        <v>535</v>
      </c>
      <c r="D72" s="4" t="s">
        <v>539</v>
      </c>
      <c r="E72" s="5" t="s">
        <v>7</v>
      </c>
      <c r="F72" s="16"/>
    </row>
    <row r="73" spans="1:6">
      <c r="A73" s="4">
        <v>202001</v>
      </c>
      <c r="B73" s="4" t="s">
        <v>208</v>
      </c>
      <c r="C73" s="4" t="s">
        <v>535</v>
      </c>
      <c r="D73" s="4" t="s">
        <v>538</v>
      </c>
      <c r="E73" s="5" t="s">
        <v>7</v>
      </c>
      <c r="F73" s="16"/>
    </row>
    <row r="74" spans="1:6">
      <c r="A74" s="4">
        <v>202001</v>
      </c>
      <c r="B74" s="4" t="s">
        <v>537</v>
      </c>
      <c r="C74" s="4" t="s">
        <v>535</v>
      </c>
      <c r="D74" s="4" t="s">
        <v>536</v>
      </c>
      <c r="E74" s="5" t="s">
        <v>7</v>
      </c>
      <c r="F74" s="16"/>
    </row>
    <row r="75" spans="1:6">
      <c r="A75" s="4">
        <v>201912</v>
      </c>
      <c r="B75" s="4" t="s">
        <v>53</v>
      </c>
      <c r="C75" s="4" t="s">
        <v>491</v>
      </c>
      <c r="D75" s="4" t="s">
        <v>496</v>
      </c>
      <c r="E75" s="5" t="s">
        <v>7</v>
      </c>
      <c r="F75" s="16"/>
    </row>
    <row r="76" spans="1:6">
      <c r="A76" s="4">
        <v>201912</v>
      </c>
      <c r="B76" s="4" t="s">
        <v>209</v>
      </c>
      <c r="C76" s="4" t="s">
        <v>491</v>
      </c>
      <c r="D76" s="4" t="s">
        <v>495</v>
      </c>
      <c r="E76" s="5" t="s">
        <v>7</v>
      </c>
      <c r="F76" s="16"/>
    </row>
    <row r="77" spans="1:6">
      <c r="A77" s="4">
        <v>201912</v>
      </c>
      <c r="B77" s="4" t="s">
        <v>208</v>
      </c>
      <c r="C77" s="4" t="s">
        <v>491</v>
      </c>
      <c r="D77" s="4" t="s">
        <v>494</v>
      </c>
      <c r="E77" s="5" t="s">
        <v>7</v>
      </c>
      <c r="F77" s="16"/>
    </row>
    <row r="78" spans="1:6">
      <c r="A78" s="4">
        <v>201912</v>
      </c>
      <c r="B78" s="4" t="s">
        <v>493</v>
      </c>
      <c r="C78" s="4" t="s">
        <v>491</v>
      </c>
      <c r="D78" s="4" t="s">
        <v>492</v>
      </c>
      <c r="E78" s="5" t="s">
        <v>7</v>
      </c>
      <c r="F78" s="16"/>
    </row>
    <row r="79" spans="1:6">
      <c r="A79" s="4">
        <v>201911</v>
      </c>
      <c r="B79" s="4" t="s">
        <v>53</v>
      </c>
      <c r="C79" s="4" t="s">
        <v>482</v>
      </c>
      <c r="D79" s="4" t="s">
        <v>487</v>
      </c>
      <c r="E79" s="5" t="s">
        <v>7</v>
      </c>
      <c r="F79" s="16"/>
    </row>
    <row r="80" spans="1:6">
      <c r="A80" s="4">
        <v>201911</v>
      </c>
      <c r="B80" s="4" t="s">
        <v>209</v>
      </c>
      <c r="C80" s="4" t="s">
        <v>482</v>
      </c>
      <c r="D80" s="4" t="s">
        <v>486</v>
      </c>
      <c r="E80" s="5" t="s">
        <v>7</v>
      </c>
      <c r="F80" s="16"/>
    </row>
    <row r="81" spans="1:8">
      <c r="A81" s="4">
        <v>201911</v>
      </c>
      <c r="B81" s="4" t="s">
        <v>208</v>
      </c>
      <c r="C81" s="4" t="s">
        <v>482</v>
      </c>
      <c r="D81" s="4" t="s">
        <v>485</v>
      </c>
      <c r="E81" s="5" t="s">
        <v>7</v>
      </c>
      <c r="F81" s="16"/>
    </row>
    <row r="82" spans="1:8">
      <c r="A82" s="4">
        <v>201911</v>
      </c>
      <c r="B82" s="4" t="s">
        <v>484</v>
      </c>
      <c r="C82" s="4" t="s">
        <v>482</v>
      </c>
      <c r="D82" s="4" t="s">
        <v>483</v>
      </c>
      <c r="E82" s="5" t="s">
        <v>7</v>
      </c>
      <c r="F82" s="16"/>
    </row>
    <row r="83" spans="1:8">
      <c r="A83" s="4">
        <v>201910</v>
      </c>
      <c r="B83" s="4" t="s">
        <v>53</v>
      </c>
      <c r="C83" s="4" t="s">
        <v>476</v>
      </c>
      <c r="D83" s="4" t="s">
        <v>480</v>
      </c>
      <c r="E83" s="5" t="s">
        <v>7</v>
      </c>
      <c r="F83" s="16"/>
    </row>
    <row r="84" spans="1:8">
      <c r="A84" s="4">
        <v>201910</v>
      </c>
      <c r="B84" s="4" t="s">
        <v>209</v>
      </c>
      <c r="C84" s="4" t="s">
        <v>476</v>
      </c>
      <c r="D84" s="4" t="s">
        <v>478</v>
      </c>
      <c r="E84" s="5" t="s">
        <v>7</v>
      </c>
      <c r="F84" s="16"/>
    </row>
    <row r="85" spans="1:8">
      <c r="A85" s="4">
        <v>201910</v>
      </c>
      <c r="B85" s="4" t="s">
        <v>208</v>
      </c>
      <c r="C85" s="4" t="s">
        <v>476</v>
      </c>
      <c r="D85" s="4" t="s">
        <v>477</v>
      </c>
      <c r="E85" s="5" t="s">
        <v>7</v>
      </c>
      <c r="F85" s="16"/>
    </row>
    <row r="86" spans="1:8">
      <c r="A86" s="4">
        <v>201910</v>
      </c>
      <c r="B86" s="4" t="s">
        <v>479</v>
      </c>
      <c r="C86" s="4" t="s">
        <v>476</v>
      </c>
      <c r="D86" s="4" t="s">
        <v>481</v>
      </c>
      <c r="E86" s="5" t="s">
        <v>7</v>
      </c>
      <c r="F86" s="16"/>
    </row>
    <row r="87" spans="1:8">
      <c r="A87" s="4">
        <v>201909</v>
      </c>
      <c r="B87" s="4" t="s">
        <v>53</v>
      </c>
      <c r="C87" s="4" t="s">
        <v>469</v>
      </c>
      <c r="D87" s="4" t="s">
        <v>475</v>
      </c>
      <c r="E87" s="5" t="s">
        <v>7</v>
      </c>
      <c r="F87" s="16"/>
    </row>
    <row r="88" spans="1:8">
      <c r="A88" s="4">
        <v>201909</v>
      </c>
      <c r="B88" s="4" t="s">
        <v>209</v>
      </c>
      <c r="C88" s="4" t="s">
        <v>469</v>
      </c>
      <c r="D88" s="4" t="s">
        <v>474</v>
      </c>
      <c r="E88" s="5" t="s">
        <v>7</v>
      </c>
      <c r="F88" s="16"/>
    </row>
    <row r="89" spans="1:8">
      <c r="A89" s="4">
        <v>201909</v>
      </c>
      <c r="B89" s="4" t="s">
        <v>208</v>
      </c>
      <c r="C89" s="4" t="s">
        <v>469</v>
      </c>
      <c r="D89" s="4" t="s">
        <v>473</v>
      </c>
      <c r="E89" s="5" t="s">
        <v>7</v>
      </c>
      <c r="F89" s="16"/>
      <c r="H89" t="s">
        <v>171</v>
      </c>
    </row>
    <row r="90" spans="1:8">
      <c r="A90" s="4">
        <v>201909</v>
      </c>
      <c r="B90" s="4" t="s">
        <v>472</v>
      </c>
      <c r="C90" s="4" t="s">
        <v>469</v>
      </c>
      <c r="D90" s="4" t="s">
        <v>471</v>
      </c>
      <c r="E90" s="5" t="s">
        <v>7</v>
      </c>
      <c r="F90" s="16"/>
      <c r="H90" t="s">
        <v>172</v>
      </c>
    </row>
    <row r="91" spans="1:8">
      <c r="A91" s="4">
        <v>201908</v>
      </c>
      <c r="B91" s="4" t="s">
        <v>53</v>
      </c>
      <c r="C91" s="4" t="s">
        <v>461</v>
      </c>
      <c r="D91" s="4" t="s">
        <v>466</v>
      </c>
      <c r="E91" s="5" t="s">
        <v>7</v>
      </c>
      <c r="F91" s="16"/>
    </row>
    <row r="92" spans="1:8">
      <c r="A92" s="4">
        <v>201908</v>
      </c>
      <c r="B92" s="4" t="s">
        <v>209</v>
      </c>
      <c r="C92" s="4" t="s">
        <v>461</v>
      </c>
      <c r="D92" s="4" t="s">
        <v>465</v>
      </c>
      <c r="E92" s="5" t="s">
        <v>7</v>
      </c>
      <c r="F92" s="16"/>
    </row>
    <row r="93" spans="1:8">
      <c r="A93" s="4">
        <v>201908</v>
      </c>
      <c r="B93" s="4" t="s">
        <v>208</v>
      </c>
      <c r="C93" s="4" t="s">
        <v>461</v>
      </c>
      <c r="D93" s="4" t="s">
        <v>464</v>
      </c>
      <c r="E93" s="5" t="s">
        <v>7</v>
      </c>
      <c r="F93" s="16"/>
    </row>
    <row r="94" spans="1:8">
      <c r="A94" s="4">
        <v>201908</v>
      </c>
      <c r="B94" s="4" t="s">
        <v>463</v>
      </c>
      <c r="C94" s="4" t="s">
        <v>461</v>
      </c>
      <c r="D94" s="4" t="s">
        <v>462</v>
      </c>
      <c r="E94" s="5" t="s">
        <v>7</v>
      </c>
      <c r="F94" s="16"/>
    </row>
    <row r="95" spans="1:8">
      <c r="A95" s="4">
        <v>201907</v>
      </c>
      <c r="B95" s="4" t="s">
        <v>53</v>
      </c>
      <c r="C95" s="4" t="s">
        <v>453</v>
      </c>
      <c r="D95" s="4" t="s">
        <v>460</v>
      </c>
      <c r="E95" s="5" t="s">
        <v>7</v>
      </c>
      <c r="F95" s="16"/>
    </row>
    <row r="96" spans="1:8">
      <c r="A96" s="4">
        <v>201907</v>
      </c>
      <c r="B96" s="4" t="s">
        <v>209</v>
      </c>
      <c r="C96" s="4" t="s">
        <v>453</v>
      </c>
      <c r="D96" s="4" t="s">
        <v>459</v>
      </c>
      <c r="E96" s="5" t="s">
        <v>7</v>
      </c>
      <c r="F96" s="16"/>
    </row>
    <row r="97" spans="1:6">
      <c r="A97" s="4">
        <v>201907</v>
      </c>
      <c r="B97" s="4" t="s">
        <v>208</v>
      </c>
      <c r="C97" s="4" t="s">
        <v>453</v>
      </c>
      <c r="D97" s="4" t="s">
        <v>458</v>
      </c>
      <c r="E97" s="5" t="s">
        <v>7</v>
      </c>
      <c r="F97" s="16"/>
    </row>
    <row r="98" spans="1:6" hidden="1">
      <c r="A98" s="4">
        <v>201907</v>
      </c>
      <c r="B98" s="4" t="s">
        <v>457</v>
      </c>
      <c r="C98" s="4" t="s">
        <v>453</v>
      </c>
      <c r="D98" s="4" t="s">
        <v>456</v>
      </c>
      <c r="E98" s="5" t="s">
        <v>7</v>
      </c>
      <c r="F98" s="16"/>
    </row>
    <row r="99" spans="1:6" hidden="1">
      <c r="A99" s="4">
        <v>201906</v>
      </c>
      <c r="B99" s="4" t="s">
        <v>53</v>
      </c>
      <c r="C99" s="4" t="s">
        <v>445</v>
      </c>
      <c r="D99" s="4" t="s">
        <v>451</v>
      </c>
      <c r="E99" s="5" t="s">
        <v>7</v>
      </c>
      <c r="F99" s="16"/>
    </row>
    <row r="100" spans="1:6" hidden="1">
      <c r="A100" s="4">
        <v>201906</v>
      </c>
      <c r="B100" s="4" t="s">
        <v>450</v>
      </c>
      <c r="C100" s="4" t="s">
        <v>445</v>
      </c>
      <c r="D100" s="4" t="s">
        <v>449</v>
      </c>
      <c r="E100" s="5" t="s">
        <v>7</v>
      </c>
      <c r="F100" s="16"/>
    </row>
    <row r="101" spans="1:6" hidden="1">
      <c r="A101" s="4">
        <v>201906</v>
      </c>
      <c r="B101" s="4" t="s">
        <v>209</v>
      </c>
      <c r="C101" s="4" t="s">
        <v>445</v>
      </c>
      <c r="D101" s="4" t="s">
        <v>447</v>
      </c>
      <c r="E101" s="5" t="s">
        <v>7</v>
      </c>
      <c r="F101" s="16"/>
    </row>
    <row r="102" spans="1:6" hidden="1">
      <c r="A102" s="4">
        <v>201906</v>
      </c>
      <c r="B102" s="4" t="s">
        <v>208</v>
      </c>
      <c r="C102" s="4" t="s">
        <v>445</v>
      </c>
      <c r="D102" s="4" t="s">
        <v>446</v>
      </c>
      <c r="E102" s="5" t="s">
        <v>7</v>
      </c>
      <c r="F102" s="16"/>
    </row>
    <row r="103" spans="1:6" hidden="1">
      <c r="A103" s="4">
        <v>201905</v>
      </c>
      <c r="B103" s="4" t="s">
        <v>53</v>
      </c>
      <c r="C103" s="4" t="s">
        <v>421</v>
      </c>
      <c r="D103" s="4" t="s">
        <v>429</v>
      </c>
      <c r="E103" s="5" t="s">
        <v>7</v>
      </c>
      <c r="F103" s="16"/>
    </row>
    <row r="104" spans="1:6" hidden="1">
      <c r="A104" s="4">
        <v>201905</v>
      </c>
      <c r="B104" s="4" t="s">
        <v>209</v>
      </c>
      <c r="C104" s="4" t="s">
        <v>421</v>
      </c>
      <c r="D104" s="4" t="s">
        <v>428</v>
      </c>
      <c r="E104" s="5" t="s">
        <v>7</v>
      </c>
      <c r="F104" s="16"/>
    </row>
    <row r="105" spans="1:6" hidden="1">
      <c r="A105" s="4">
        <v>201905</v>
      </c>
      <c r="B105" s="4" t="s">
        <v>208</v>
      </c>
      <c r="C105" s="4" t="s">
        <v>421</v>
      </c>
      <c r="D105" s="4" t="s">
        <v>427</v>
      </c>
      <c r="E105" s="5" t="s">
        <v>7</v>
      </c>
      <c r="F105" s="16"/>
    </row>
    <row r="106" spans="1:6" hidden="1">
      <c r="A106" s="4">
        <v>201905</v>
      </c>
      <c r="B106" s="4" t="s">
        <v>426</v>
      </c>
      <c r="C106" s="4" t="s">
        <v>421</v>
      </c>
      <c r="D106" s="4" t="s">
        <v>425</v>
      </c>
      <c r="E106" s="5" t="s">
        <v>7</v>
      </c>
      <c r="F106" s="16"/>
    </row>
    <row r="107" spans="1:6" hidden="1">
      <c r="A107" s="4">
        <v>201904</v>
      </c>
      <c r="B107" s="4" t="s">
        <v>208</v>
      </c>
      <c r="C107" s="4" t="s">
        <v>415</v>
      </c>
      <c r="D107" s="4" t="s">
        <v>419</v>
      </c>
      <c r="E107" s="5" t="s">
        <v>7</v>
      </c>
      <c r="F107" s="16"/>
    </row>
    <row r="108" spans="1:6" hidden="1">
      <c r="A108" s="4">
        <v>201904</v>
      </c>
      <c r="B108" s="4" t="s">
        <v>209</v>
      </c>
      <c r="C108" s="4" t="s">
        <v>415</v>
      </c>
      <c r="D108" s="4" t="s">
        <v>418</v>
      </c>
      <c r="E108" s="5" t="s">
        <v>7</v>
      </c>
      <c r="F108" s="16"/>
    </row>
    <row r="109" spans="1:6" hidden="1">
      <c r="A109" s="4">
        <v>201904</v>
      </c>
      <c r="B109" s="4" t="s">
        <v>417</v>
      </c>
      <c r="C109" s="4" t="s">
        <v>415</v>
      </c>
      <c r="D109" s="4" t="s">
        <v>416</v>
      </c>
      <c r="E109" s="5" t="s">
        <v>7</v>
      </c>
      <c r="F109" s="16"/>
    </row>
    <row r="110" spans="1:6" hidden="1">
      <c r="A110" s="4">
        <v>201904</v>
      </c>
      <c r="B110" s="4" t="s">
        <v>53</v>
      </c>
      <c r="C110" s="4" t="s">
        <v>415</v>
      </c>
      <c r="D110" s="4" t="s">
        <v>420</v>
      </c>
      <c r="E110" s="5" t="s">
        <v>7</v>
      </c>
      <c r="F110" s="16"/>
    </row>
    <row r="111" spans="1:6" hidden="1">
      <c r="A111" s="4">
        <v>201903</v>
      </c>
      <c r="B111" s="4" t="s">
        <v>209</v>
      </c>
      <c r="C111" s="4" t="s">
        <v>398</v>
      </c>
      <c r="D111" s="4" t="s">
        <v>402</v>
      </c>
      <c r="E111" s="5" t="s">
        <v>7</v>
      </c>
      <c r="F111" s="16"/>
    </row>
    <row r="112" spans="1:6" hidden="1">
      <c r="A112" s="4">
        <v>201903</v>
      </c>
      <c r="B112" s="4" t="s">
        <v>208</v>
      </c>
      <c r="C112" s="4" t="s">
        <v>398</v>
      </c>
      <c r="D112" s="4" t="s">
        <v>401</v>
      </c>
      <c r="E112" s="5" t="s">
        <v>7</v>
      </c>
      <c r="F112" s="16"/>
    </row>
    <row r="113" spans="1:6" hidden="1">
      <c r="A113" s="4">
        <v>201903</v>
      </c>
      <c r="B113" s="4" t="s">
        <v>400</v>
      </c>
      <c r="C113" s="4" t="s">
        <v>398</v>
      </c>
      <c r="D113" s="4" t="s">
        <v>399</v>
      </c>
      <c r="E113" s="5" t="s">
        <v>7</v>
      </c>
      <c r="F113" s="16"/>
    </row>
    <row r="114" spans="1:6" hidden="1">
      <c r="A114" s="4">
        <v>201903</v>
      </c>
      <c r="B114" s="4" t="s">
        <v>53</v>
      </c>
      <c r="C114" s="4" t="s">
        <v>397</v>
      </c>
      <c r="D114" s="4" t="s">
        <v>396</v>
      </c>
      <c r="E114" s="5" t="s">
        <v>7</v>
      </c>
      <c r="F114" s="16"/>
    </row>
    <row r="115" spans="1:6" hidden="1">
      <c r="A115" s="4">
        <v>201902</v>
      </c>
      <c r="B115" s="4" t="s">
        <v>391</v>
      </c>
      <c r="C115" s="4" t="s">
        <v>386</v>
      </c>
      <c r="D115" s="4" t="s">
        <v>390</v>
      </c>
      <c r="E115" s="5" t="s">
        <v>7</v>
      </c>
      <c r="F115" s="16"/>
    </row>
    <row r="116" spans="1:6" hidden="1">
      <c r="A116" s="4">
        <v>201902</v>
      </c>
      <c r="B116" s="4" t="s">
        <v>209</v>
      </c>
      <c r="C116" s="4" t="s">
        <v>386</v>
      </c>
      <c r="D116" s="4" t="s">
        <v>389</v>
      </c>
      <c r="E116" s="5" t="s">
        <v>7</v>
      </c>
      <c r="F116" s="16"/>
    </row>
    <row r="117" spans="1:6" hidden="1">
      <c r="A117" s="4">
        <v>201902</v>
      </c>
      <c r="B117" s="4" t="s">
        <v>208</v>
      </c>
      <c r="C117" s="4" t="s">
        <v>386</v>
      </c>
      <c r="D117" s="4" t="s">
        <v>388</v>
      </c>
      <c r="E117" s="5" t="s">
        <v>7</v>
      </c>
      <c r="F117" s="16"/>
    </row>
    <row r="118" spans="1:6" hidden="1">
      <c r="A118" s="4">
        <v>201902</v>
      </c>
      <c r="B118" s="4" t="s">
        <v>53</v>
      </c>
      <c r="C118" s="4" t="s">
        <v>386</v>
      </c>
      <c r="D118" s="4" t="s">
        <v>387</v>
      </c>
      <c r="E118" s="5" t="s">
        <v>7</v>
      </c>
      <c r="F118" s="16"/>
    </row>
    <row r="119" spans="1:6" hidden="1">
      <c r="A119" s="4">
        <v>201901</v>
      </c>
      <c r="B119" s="4" t="s">
        <v>53</v>
      </c>
      <c r="C119" s="4" t="s">
        <v>376</v>
      </c>
      <c r="D119" s="4" t="s">
        <v>385</v>
      </c>
      <c r="E119" s="5" t="s">
        <v>7</v>
      </c>
      <c r="F119" s="16"/>
    </row>
    <row r="120" spans="1:6" hidden="1">
      <c r="A120" s="4">
        <v>201901</v>
      </c>
      <c r="B120" s="4" t="s">
        <v>209</v>
      </c>
      <c r="C120" s="4" t="s">
        <v>376</v>
      </c>
      <c r="D120" s="4" t="s">
        <v>384</v>
      </c>
      <c r="E120" s="5" t="s">
        <v>7</v>
      </c>
      <c r="F120" s="16"/>
    </row>
    <row r="121" spans="1:6" hidden="1">
      <c r="A121" s="4">
        <v>201901</v>
      </c>
      <c r="B121" s="4" t="s">
        <v>208</v>
      </c>
      <c r="C121" s="4" t="s">
        <v>376</v>
      </c>
      <c r="D121" s="4" t="s">
        <v>383</v>
      </c>
      <c r="E121" s="5" t="s">
        <v>7</v>
      </c>
      <c r="F121" s="16"/>
    </row>
    <row r="122" spans="1:6" hidden="1">
      <c r="A122" s="4">
        <v>201901</v>
      </c>
      <c r="B122" s="4" t="s">
        <v>382</v>
      </c>
      <c r="C122" s="4" t="s">
        <v>376</v>
      </c>
      <c r="D122" s="4" t="s">
        <v>381</v>
      </c>
      <c r="E122" s="5" t="s">
        <v>7</v>
      </c>
      <c r="F122" s="16"/>
    </row>
    <row r="123" spans="1:6" hidden="1">
      <c r="A123" s="4">
        <v>201812</v>
      </c>
      <c r="B123" s="4" t="s">
        <v>53</v>
      </c>
      <c r="C123" s="4" t="s">
        <v>360</v>
      </c>
      <c r="D123" s="4" t="s">
        <v>374</v>
      </c>
      <c r="E123" s="5" t="s">
        <v>7</v>
      </c>
      <c r="F123" s="16"/>
    </row>
    <row r="124" spans="1:6" hidden="1">
      <c r="A124" s="4">
        <v>201812</v>
      </c>
      <c r="B124" s="4" t="s">
        <v>209</v>
      </c>
      <c r="C124" s="4" t="s">
        <v>360</v>
      </c>
      <c r="D124" s="4" t="s">
        <v>375</v>
      </c>
      <c r="E124" s="5" t="s">
        <v>7</v>
      </c>
      <c r="F124" s="16"/>
    </row>
    <row r="125" spans="1:6" hidden="1">
      <c r="A125" s="4">
        <v>201812</v>
      </c>
      <c r="B125" s="4" t="s">
        <v>208</v>
      </c>
      <c r="C125" s="4" t="s">
        <v>360</v>
      </c>
      <c r="D125" s="4" t="s">
        <v>363</v>
      </c>
      <c r="E125" s="5" t="s">
        <v>7</v>
      </c>
      <c r="F125" s="16"/>
    </row>
    <row r="126" spans="1:6" hidden="1">
      <c r="A126" s="4">
        <v>201812</v>
      </c>
      <c r="B126" s="4" t="s">
        <v>362</v>
      </c>
      <c r="C126" s="4" t="s">
        <v>360</v>
      </c>
      <c r="D126" s="4" t="s">
        <v>361</v>
      </c>
      <c r="E126" s="5" t="s">
        <v>7</v>
      </c>
      <c r="F126" s="16"/>
    </row>
    <row r="127" spans="1:6" hidden="1">
      <c r="A127" s="4">
        <v>201811</v>
      </c>
      <c r="B127" s="4" t="s">
        <v>53</v>
      </c>
      <c r="C127" s="4" t="s">
        <v>354</v>
      </c>
      <c r="D127" s="4" t="s">
        <v>359</v>
      </c>
      <c r="E127" s="5" t="s">
        <v>7</v>
      </c>
      <c r="F127" s="16"/>
    </row>
    <row r="128" spans="1:6" hidden="1">
      <c r="A128" s="4">
        <v>201811</v>
      </c>
      <c r="B128" s="4" t="s">
        <v>209</v>
      </c>
      <c r="C128" s="4" t="s">
        <v>354</v>
      </c>
      <c r="D128" s="4" t="s">
        <v>358</v>
      </c>
      <c r="E128" s="5" t="s">
        <v>7</v>
      </c>
      <c r="F128" s="16"/>
    </row>
    <row r="129" spans="1:6" hidden="1">
      <c r="A129" s="4">
        <v>201811</v>
      </c>
      <c r="B129" s="4" t="s">
        <v>208</v>
      </c>
      <c r="C129" s="4" t="s">
        <v>354</v>
      </c>
      <c r="D129" s="4" t="s">
        <v>357</v>
      </c>
      <c r="E129" s="5" t="s">
        <v>7</v>
      </c>
      <c r="F129" s="16"/>
    </row>
    <row r="130" spans="1:6" hidden="1">
      <c r="A130" s="4">
        <v>201811</v>
      </c>
      <c r="B130" s="4" t="s">
        <v>356</v>
      </c>
      <c r="C130" s="4" t="s">
        <v>354</v>
      </c>
      <c r="D130" s="4" t="s">
        <v>355</v>
      </c>
      <c r="E130" s="5" t="s">
        <v>7</v>
      </c>
      <c r="F130" s="16"/>
    </row>
    <row r="131" spans="1:6" hidden="1">
      <c r="A131" s="4">
        <v>201810</v>
      </c>
      <c r="B131" s="4" t="s">
        <v>53</v>
      </c>
      <c r="C131" s="4" t="s">
        <v>339</v>
      </c>
      <c r="D131" s="4" t="s">
        <v>344</v>
      </c>
      <c r="E131" s="5" t="s">
        <v>7</v>
      </c>
      <c r="F131" s="16"/>
    </row>
    <row r="132" spans="1:6" hidden="1">
      <c r="A132" s="4">
        <v>201810</v>
      </c>
      <c r="B132" s="4" t="s">
        <v>209</v>
      </c>
      <c r="C132" s="4" t="s">
        <v>339</v>
      </c>
      <c r="D132" s="4" t="s">
        <v>343</v>
      </c>
      <c r="E132" s="5" t="s">
        <v>7</v>
      </c>
      <c r="F132" s="16"/>
    </row>
    <row r="133" spans="1:6" hidden="1">
      <c r="A133" s="4">
        <v>201810</v>
      </c>
      <c r="B133" s="4" t="s">
        <v>208</v>
      </c>
      <c r="C133" s="4" t="s">
        <v>339</v>
      </c>
      <c r="D133" s="4" t="s">
        <v>342</v>
      </c>
      <c r="E133" s="5" t="s">
        <v>7</v>
      </c>
      <c r="F133" s="16"/>
    </row>
    <row r="134" spans="1:6" hidden="1">
      <c r="A134" s="4">
        <v>201810</v>
      </c>
      <c r="B134" s="4" t="s">
        <v>341</v>
      </c>
      <c r="C134" s="4" t="s">
        <v>339</v>
      </c>
      <c r="D134" s="4" t="s">
        <v>340</v>
      </c>
      <c r="E134" s="5" t="s">
        <v>7</v>
      </c>
      <c r="F134" s="16"/>
    </row>
    <row r="135" spans="1:6" hidden="1">
      <c r="A135" s="4">
        <v>201809</v>
      </c>
      <c r="B135" s="4" t="s">
        <v>53</v>
      </c>
      <c r="C135" s="4" t="s">
        <v>333</v>
      </c>
      <c r="D135" s="4" t="s">
        <v>338</v>
      </c>
      <c r="E135" s="5" t="s">
        <v>7</v>
      </c>
      <c r="F135" s="16"/>
    </row>
    <row r="136" spans="1:6" hidden="1">
      <c r="A136" s="4">
        <v>201809</v>
      </c>
      <c r="B136" s="4" t="s">
        <v>209</v>
      </c>
      <c r="C136" s="4" t="s">
        <v>333</v>
      </c>
      <c r="D136" s="4" t="s">
        <v>337</v>
      </c>
      <c r="E136" s="5" t="s">
        <v>7</v>
      </c>
      <c r="F136" s="16"/>
    </row>
    <row r="137" spans="1:6" hidden="1">
      <c r="A137" s="4">
        <v>201809</v>
      </c>
      <c r="B137" s="4" t="s">
        <v>208</v>
      </c>
      <c r="C137" s="4" t="s">
        <v>333</v>
      </c>
      <c r="D137" s="4" t="s">
        <v>336</v>
      </c>
      <c r="E137" s="5" t="s">
        <v>7</v>
      </c>
      <c r="F137" s="16"/>
    </row>
    <row r="138" spans="1:6" hidden="1">
      <c r="A138" s="4">
        <v>201809</v>
      </c>
      <c r="B138" s="4" t="s">
        <v>335</v>
      </c>
      <c r="C138" s="4" t="s">
        <v>333</v>
      </c>
      <c r="D138" s="4" t="s">
        <v>334</v>
      </c>
      <c r="E138" s="5" t="s">
        <v>7</v>
      </c>
      <c r="F138" s="16"/>
    </row>
    <row r="139" spans="1:6" hidden="1">
      <c r="A139" s="4">
        <v>201808</v>
      </c>
      <c r="B139" s="4" t="s">
        <v>53</v>
      </c>
      <c r="C139" s="4" t="s">
        <v>319</v>
      </c>
      <c r="D139" s="4" t="s">
        <v>330</v>
      </c>
      <c r="E139" s="5" t="s">
        <v>7</v>
      </c>
      <c r="F139" s="16"/>
    </row>
    <row r="140" spans="1:6" hidden="1">
      <c r="A140" s="4">
        <v>201808</v>
      </c>
      <c r="B140" s="4" t="s">
        <v>209</v>
      </c>
      <c r="C140" s="4" t="s">
        <v>319</v>
      </c>
      <c r="D140" s="4" t="s">
        <v>323</v>
      </c>
      <c r="E140" s="5" t="s">
        <v>7</v>
      </c>
      <c r="F140" s="16"/>
    </row>
    <row r="141" spans="1:6" hidden="1">
      <c r="A141" s="4">
        <v>201808</v>
      </c>
      <c r="B141" s="4" t="s">
        <v>208</v>
      </c>
      <c r="C141" s="4" t="s">
        <v>319</v>
      </c>
      <c r="D141" s="4" t="s">
        <v>322</v>
      </c>
      <c r="E141" s="5" t="s">
        <v>7</v>
      </c>
      <c r="F141" s="16"/>
    </row>
    <row r="142" spans="1:6" hidden="1">
      <c r="A142" s="4">
        <v>201808</v>
      </c>
      <c r="B142" s="4" t="s">
        <v>321</v>
      </c>
      <c r="C142" s="4" t="s">
        <v>319</v>
      </c>
      <c r="D142" s="4" t="s">
        <v>320</v>
      </c>
      <c r="E142" s="5" t="s">
        <v>7</v>
      </c>
      <c r="F142" s="16"/>
    </row>
    <row r="143" spans="1:6" hidden="1">
      <c r="A143" s="4">
        <v>201807</v>
      </c>
      <c r="B143" s="4" t="s">
        <v>209</v>
      </c>
      <c r="C143" s="4" t="s">
        <v>300</v>
      </c>
      <c r="D143" s="4" t="s">
        <v>305</v>
      </c>
      <c r="E143" s="5" t="s">
        <v>7</v>
      </c>
      <c r="F143" s="16"/>
    </row>
    <row r="144" spans="1:6" hidden="1">
      <c r="A144" s="4">
        <v>201807</v>
      </c>
      <c r="B144" s="4" t="s">
        <v>208</v>
      </c>
      <c r="C144" s="4" t="s">
        <v>300</v>
      </c>
      <c r="D144" s="4" t="s">
        <v>304</v>
      </c>
      <c r="E144" s="5" t="s">
        <v>7</v>
      </c>
      <c r="F144" s="16"/>
    </row>
    <row r="145" spans="1:6" hidden="1">
      <c r="A145" s="4">
        <v>201807</v>
      </c>
      <c r="B145" s="4" t="s">
        <v>303</v>
      </c>
      <c r="C145" s="4" t="s">
        <v>300</v>
      </c>
      <c r="D145" s="4" t="s">
        <v>302</v>
      </c>
      <c r="E145" s="5" t="s">
        <v>7</v>
      </c>
      <c r="F145" s="16"/>
    </row>
    <row r="146" spans="1:6" hidden="1">
      <c r="A146" s="4">
        <v>201807</v>
      </c>
      <c r="B146" s="4" t="s">
        <v>53</v>
      </c>
      <c r="C146" s="4" t="s">
        <v>300</v>
      </c>
      <c r="D146" s="4" t="s">
        <v>301</v>
      </c>
      <c r="E146" s="5" t="s">
        <v>7</v>
      </c>
      <c r="F146" s="16"/>
    </row>
    <row r="147" spans="1:6" hidden="1">
      <c r="A147" s="4">
        <v>201806</v>
      </c>
      <c r="B147" s="4" t="s">
        <v>208</v>
      </c>
      <c r="C147" s="4" t="s">
        <v>282</v>
      </c>
      <c r="D147" s="4" t="s">
        <v>286</v>
      </c>
      <c r="E147" s="5" t="s">
        <v>7</v>
      </c>
      <c r="F147" s="16"/>
    </row>
    <row r="148" spans="1:6" hidden="1">
      <c r="A148" s="4">
        <v>201806</v>
      </c>
      <c r="B148" s="4" t="s">
        <v>209</v>
      </c>
      <c r="C148" s="4" t="s">
        <v>282</v>
      </c>
      <c r="D148" s="4" t="s">
        <v>285</v>
      </c>
      <c r="E148" s="5" t="s">
        <v>7</v>
      </c>
      <c r="F148" s="16"/>
    </row>
    <row r="149" spans="1:6" hidden="1">
      <c r="A149" s="4">
        <v>201806</v>
      </c>
      <c r="B149" s="4" t="s">
        <v>284</v>
      </c>
      <c r="C149" s="4" t="s">
        <v>282</v>
      </c>
      <c r="D149" s="4" t="s">
        <v>283</v>
      </c>
      <c r="E149" s="5" t="s">
        <v>7</v>
      </c>
      <c r="F149" s="16"/>
    </row>
    <row r="150" spans="1:6" hidden="1">
      <c r="A150" s="4">
        <v>201806</v>
      </c>
      <c r="B150" s="4" t="s">
        <v>53</v>
      </c>
      <c r="C150" s="4" t="s">
        <v>277</v>
      </c>
      <c r="D150" s="4" t="s">
        <v>276</v>
      </c>
      <c r="E150" s="5" t="s">
        <v>7</v>
      </c>
      <c r="F150" s="16"/>
    </row>
    <row r="151" spans="1:6" hidden="1">
      <c r="A151" s="4">
        <v>201805</v>
      </c>
      <c r="B151" s="4" t="s">
        <v>53</v>
      </c>
      <c r="C151" s="4" t="s">
        <v>278</v>
      </c>
      <c r="D151" s="4" t="s">
        <v>274</v>
      </c>
      <c r="E151" s="5" t="s">
        <v>7</v>
      </c>
      <c r="F151" s="16"/>
    </row>
    <row r="152" spans="1:6" hidden="1">
      <c r="A152" s="4">
        <v>201805</v>
      </c>
      <c r="B152" s="4" t="s">
        <v>209</v>
      </c>
      <c r="C152" s="4" t="s">
        <v>278</v>
      </c>
      <c r="D152" s="4" t="s">
        <v>273</v>
      </c>
      <c r="E152" s="5" t="s">
        <v>7</v>
      </c>
      <c r="F152" s="16"/>
    </row>
    <row r="153" spans="1:6" hidden="1">
      <c r="A153" s="4">
        <v>201805</v>
      </c>
      <c r="B153" s="4" t="s">
        <v>208</v>
      </c>
      <c r="C153" s="4" t="s">
        <v>278</v>
      </c>
      <c r="D153" s="4" t="s">
        <v>272</v>
      </c>
      <c r="E153" s="5" t="s">
        <v>7</v>
      </c>
      <c r="F153" s="16"/>
    </row>
    <row r="154" spans="1:6" hidden="1">
      <c r="A154" s="4">
        <v>201805</v>
      </c>
      <c r="B154" s="4" t="s">
        <v>271</v>
      </c>
      <c r="C154" s="4" t="s">
        <v>278</v>
      </c>
      <c r="D154" s="4" t="s">
        <v>270</v>
      </c>
      <c r="E154" s="5" t="s">
        <v>7</v>
      </c>
      <c r="F154" s="16"/>
    </row>
    <row r="155" spans="1:6" hidden="1">
      <c r="A155" s="4">
        <v>201804</v>
      </c>
      <c r="B155" s="4" t="s">
        <v>53</v>
      </c>
      <c r="C155" s="4" t="s">
        <v>279</v>
      </c>
      <c r="D155" s="4" t="s">
        <v>269</v>
      </c>
      <c r="E155" s="5" t="s">
        <v>7</v>
      </c>
      <c r="F155" s="16"/>
    </row>
    <row r="156" spans="1:6" hidden="1">
      <c r="A156" s="4">
        <v>201804</v>
      </c>
      <c r="B156" s="4" t="s">
        <v>209</v>
      </c>
      <c r="C156" s="4" t="s">
        <v>279</v>
      </c>
      <c r="D156" s="4" t="s">
        <v>260</v>
      </c>
      <c r="E156" s="5" t="s">
        <v>7</v>
      </c>
      <c r="F156" s="16"/>
    </row>
    <row r="157" spans="1:6" hidden="1">
      <c r="A157" s="4">
        <v>201804</v>
      </c>
      <c r="B157" s="4" t="s">
        <v>208</v>
      </c>
      <c r="C157" s="4" t="s">
        <v>279</v>
      </c>
      <c r="D157" s="4" t="s">
        <v>259</v>
      </c>
      <c r="E157" s="5" t="s">
        <v>7</v>
      </c>
      <c r="F157" s="16"/>
    </row>
    <row r="158" spans="1:6" hidden="1">
      <c r="A158" s="4">
        <v>201804</v>
      </c>
      <c r="B158" s="4" t="s">
        <v>258</v>
      </c>
      <c r="C158" s="4" t="s">
        <v>279</v>
      </c>
      <c r="D158" s="4" t="s">
        <v>268</v>
      </c>
      <c r="E158" s="5" t="s">
        <v>7</v>
      </c>
      <c r="F158" s="16"/>
    </row>
    <row r="159" spans="1:6" hidden="1">
      <c r="A159" s="4">
        <v>201803</v>
      </c>
      <c r="B159" s="4" t="s">
        <v>209</v>
      </c>
      <c r="C159" s="4" t="s">
        <v>280</v>
      </c>
      <c r="D159" s="4" t="s">
        <v>255</v>
      </c>
      <c r="E159" s="5" t="s">
        <v>7</v>
      </c>
      <c r="F159" s="16"/>
    </row>
    <row r="160" spans="1:6" hidden="1">
      <c r="A160" s="4">
        <v>201803</v>
      </c>
      <c r="B160" s="4" t="s">
        <v>53</v>
      </c>
      <c r="C160" s="4" t="s">
        <v>280</v>
      </c>
      <c r="D160" s="4" t="s">
        <v>257</v>
      </c>
      <c r="E160" s="5" t="s">
        <v>7</v>
      </c>
      <c r="F160" s="16"/>
    </row>
    <row r="161" spans="1:16" hidden="1">
      <c r="A161" s="4">
        <v>201803</v>
      </c>
      <c r="B161" s="4" t="s">
        <v>208</v>
      </c>
      <c r="C161" s="4" t="s">
        <v>280</v>
      </c>
      <c r="D161" s="4" t="s">
        <v>254</v>
      </c>
      <c r="E161" s="5" t="s">
        <v>7</v>
      </c>
      <c r="F161" s="16"/>
    </row>
    <row r="162" spans="1:16" hidden="1">
      <c r="A162" s="4">
        <v>201803</v>
      </c>
      <c r="B162" s="4" t="s">
        <v>253</v>
      </c>
      <c r="C162" s="4" t="s">
        <v>280</v>
      </c>
      <c r="D162" s="4" t="s">
        <v>256</v>
      </c>
      <c r="E162" s="5" t="s">
        <v>7</v>
      </c>
      <c r="F162" s="16"/>
    </row>
    <row r="163" spans="1:16" hidden="1">
      <c r="A163" s="4">
        <v>201802</v>
      </c>
      <c r="B163" s="4" t="s">
        <v>53</v>
      </c>
      <c r="C163" s="4" t="s">
        <v>281</v>
      </c>
      <c r="D163" s="4" t="s">
        <v>244</v>
      </c>
      <c r="E163" s="5" t="s">
        <v>7</v>
      </c>
      <c r="F163" s="16"/>
    </row>
    <row r="164" spans="1:16" hidden="1">
      <c r="A164" s="4">
        <v>201802</v>
      </c>
      <c r="B164" s="4" t="s">
        <v>209</v>
      </c>
      <c r="C164" s="4" t="s">
        <v>281</v>
      </c>
      <c r="D164" s="4" t="s">
        <v>243</v>
      </c>
      <c r="E164" s="5" t="s">
        <v>7</v>
      </c>
      <c r="F164" s="16"/>
    </row>
    <row r="165" spans="1:16" hidden="1">
      <c r="A165" s="4">
        <v>201802</v>
      </c>
      <c r="B165" s="4" t="s">
        <v>208</v>
      </c>
      <c r="C165" s="4" t="s">
        <v>281</v>
      </c>
      <c r="D165" s="4" t="s">
        <v>242</v>
      </c>
      <c r="E165" s="5" t="s">
        <v>7</v>
      </c>
      <c r="F165" s="16"/>
    </row>
    <row r="166" spans="1:16" hidden="1">
      <c r="A166" s="4">
        <v>201802</v>
      </c>
      <c r="B166" s="4" t="s">
        <v>245</v>
      </c>
      <c r="C166" s="4" t="s">
        <v>281</v>
      </c>
      <c r="D166" s="4" t="s">
        <v>241</v>
      </c>
      <c r="E166" s="5" t="s">
        <v>7</v>
      </c>
      <c r="F166" s="16"/>
    </row>
    <row r="167" spans="1:16" hidden="1">
      <c r="A167" s="4">
        <v>201801</v>
      </c>
      <c r="B167" s="4" t="s">
        <v>54</v>
      </c>
      <c r="C167" s="15" t="str">
        <f t="shared" ref="C167:C176" si="0">"e:\글로벌백업(180329)\04.수수료작업\"&amp;A167&amp;"수수료\"</f>
        <v>e:\글로벌백업(180329)\04.수수료작업\201801수수료\</v>
      </c>
      <c r="D167" s="5" t="s">
        <v>43</v>
      </c>
      <c r="E167" s="5" t="s">
        <v>7</v>
      </c>
      <c r="F167" s="58"/>
      <c r="N167" t="s">
        <v>246</v>
      </c>
      <c r="O167" t="s">
        <v>247</v>
      </c>
      <c r="P167" t="s">
        <v>246</v>
      </c>
    </row>
    <row r="168" spans="1:16" hidden="1">
      <c r="A168" s="4">
        <v>201801</v>
      </c>
      <c r="B168" s="4" t="s">
        <v>81</v>
      </c>
      <c r="C168" s="15" t="str">
        <f t="shared" si="0"/>
        <v>e:\글로벌백업(180329)\04.수수료작업\201801수수료\</v>
      </c>
      <c r="D168" s="5" t="s">
        <v>84</v>
      </c>
      <c r="E168" s="5" t="s">
        <v>7</v>
      </c>
      <c r="F168" s="13"/>
      <c r="N168" t="s">
        <v>248</v>
      </c>
      <c r="O168" t="s">
        <v>249</v>
      </c>
      <c r="P168" t="s">
        <v>246</v>
      </c>
    </row>
    <row r="169" spans="1:16" hidden="1">
      <c r="A169" s="4">
        <v>201801</v>
      </c>
      <c r="B169" s="4" t="s">
        <v>82</v>
      </c>
      <c r="C169" s="15" t="str">
        <f t="shared" si="0"/>
        <v>e:\글로벌백업(180329)\04.수수료작업\201801수수료\</v>
      </c>
      <c r="D169" s="5" t="s">
        <v>85</v>
      </c>
      <c r="E169" s="5" t="s">
        <v>7</v>
      </c>
      <c r="F169" s="13"/>
    </row>
    <row r="170" spans="1:16" hidden="1">
      <c r="A170" s="4">
        <v>201801</v>
      </c>
      <c r="B170" s="4" t="s">
        <v>83</v>
      </c>
      <c r="C170" s="15" t="str">
        <f t="shared" si="0"/>
        <v>e:\글로벌백업(180329)\04.수수료작업\201801수수료\</v>
      </c>
      <c r="D170" s="5" t="s">
        <v>86</v>
      </c>
      <c r="E170" s="5" t="s">
        <v>7</v>
      </c>
      <c r="F170" s="13"/>
    </row>
    <row r="171" spans="1:16" hidden="1">
      <c r="A171" s="4">
        <v>201712</v>
      </c>
      <c r="B171" s="4" t="s">
        <v>76</v>
      </c>
      <c r="C171" s="15" t="str">
        <f t="shared" si="0"/>
        <v>e:\글로벌백업(180329)\04.수수료작업\201712수수료\</v>
      </c>
      <c r="D171" s="5" t="s">
        <v>42</v>
      </c>
      <c r="E171" s="5" t="s">
        <v>7</v>
      </c>
      <c r="F171" s="13"/>
    </row>
    <row r="172" spans="1:16" hidden="1">
      <c r="A172" s="4">
        <v>201711</v>
      </c>
      <c r="B172" s="4" t="s">
        <v>76</v>
      </c>
      <c r="C172" s="15" t="str">
        <f t="shared" si="0"/>
        <v>e:\글로벌백업(180329)\04.수수료작업\201711수수료\</v>
      </c>
      <c r="D172" s="5" t="s">
        <v>41</v>
      </c>
      <c r="E172" s="5" t="s">
        <v>7</v>
      </c>
      <c r="F172" s="13"/>
    </row>
    <row r="173" spans="1:16" hidden="1">
      <c r="A173" s="4">
        <v>201710</v>
      </c>
      <c r="B173" s="4" t="s">
        <v>76</v>
      </c>
      <c r="C173" s="15" t="str">
        <f t="shared" si="0"/>
        <v>e:\글로벌백업(180329)\04.수수료작업\201710수수료\</v>
      </c>
      <c r="D173" s="5" t="s">
        <v>40</v>
      </c>
      <c r="E173" s="5" t="s">
        <v>7</v>
      </c>
      <c r="F173" s="13"/>
    </row>
    <row r="174" spans="1:16" hidden="1">
      <c r="A174" s="4">
        <v>201709</v>
      </c>
      <c r="B174" s="4" t="s">
        <v>76</v>
      </c>
      <c r="C174" s="15" t="str">
        <f t="shared" si="0"/>
        <v>e:\글로벌백업(180329)\04.수수료작업\201709수수료\</v>
      </c>
      <c r="D174" s="5" t="s">
        <v>39</v>
      </c>
      <c r="E174" s="5" t="s">
        <v>7</v>
      </c>
      <c r="F174" s="13"/>
    </row>
    <row r="175" spans="1:16" hidden="1">
      <c r="A175" s="4">
        <v>201708</v>
      </c>
      <c r="B175" s="4" t="s">
        <v>76</v>
      </c>
      <c r="C175" s="15" t="str">
        <f t="shared" si="0"/>
        <v>e:\글로벌백업(180329)\04.수수료작업\201708수수료\</v>
      </c>
      <c r="D175" s="5" t="s">
        <v>38</v>
      </c>
      <c r="E175" s="5" t="s">
        <v>7</v>
      </c>
      <c r="F175" s="13"/>
    </row>
    <row r="176" spans="1:16" hidden="1">
      <c r="A176" s="4">
        <v>201707</v>
      </c>
      <c r="B176" s="4" t="s">
        <v>76</v>
      </c>
      <c r="C176" s="15" t="str">
        <f t="shared" si="0"/>
        <v>e:\글로벌백업(180329)\04.수수료작업\201707수수료\</v>
      </c>
      <c r="D176" s="5" t="s">
        <v>37</v>
      </c>
      <c r="E176" s="5" t="s">
        <v>7</v>
      </c>
      <c r="F176" s="13"/>
    </row>
    <row r="177" spans="1:6" hidden="1">
      <c r="A177" s="4">
        <v>201706</v>
      </c>
      <c r="B177" s="4" t="s">
        <v>76</v>
      </c>
      <c r="C177" s="15" t="str">
        <f t="shared" ref="C177:C183" si="1">"e:\글로벌백업(180329)\04.수수료작업\2016~2017\"&amp;A177&amp;"수수료\"</f>
        <v>e:\글로벌백업(180329)\04.수수료작업\2016~2017\201706수수료\</v>
      </c>
      <c r="D177" s="5" t="s">
        <v>36</v>
      </c>
      <c r="E177" s="5" t="s">
        <v>7</v>
      </c>
      <c r="F177" s="13"/>
    </row>
    <row r="178" spans="1:6" hidden="1">
      <c r="A178" s="4">
        <v>201705</v>
      </c>
      <c r="B178" s="4" t="s">
        <v>76</v>
      </c>
      <c r="C178" s="15" t="str">
        <f t="shared" si="1"/>
        <v>e:\글로벌백업(180329)\04.수수료작업\2016~2017\201705수수료\</v>
      </c>
      <c r="D178" s="5" t="s">
        <v>35</v>
      </c>
      <c r="E178" s="5" t="s">
        <v>7</v>
      </c>
      <c r="F178" s="13"/>
    </row>
    <row r="179" spans="1:6" hidden="1">
      <c r="A179" s="4">
        <v>201704</v>
      </c>
      <c r="B179" s="4" t="s">
        <v>76</v>
      </c>
      <c r="C179" s="15" t="str">
        <f t="shared" si="1"/>
        <v>e:\글로벌백업(180329)\04.수수료작업\2016~2017\201704수수료\</v>
      </c>
      <c r="D179" s="5" t="s">
        <v>158</v>
      </c>
      <c r="E179" s="5" t="s">
        <v>7</v>
      </c>
      <c r="F179" s="13"/>
    </row>
    <row r="180" spans="1:6" hidden="1">
      <c r="A180" s="4">
        <v>201703</v>
      </c>
      <c r="B180" s="4" t="s">
        <v>76</v>
      </c>
      <c r="C180" s="15" t="str">
        <f t="shared" si="1"/>
        <v>e:\글로벌백업(180329)\04.수수료작업\2016~2017\201703수수료\</v>
      </c>
      <c r="D180" s="5" t="s">
        <v>34</v>
      </c>
      <c r="E180" s="5" t="s">
        <v>7</v>
      </c>
      <c r="F180" s="13"/>
    </row>
    <row r="181" spans="1:6" hidden="1">
      <c r="A181" s="4">
        <v>201702</v>
      </c>
      <c r="B181" s="4" t="s">
        <v>76</v>
      </c>
      <c r="C181" s="15" t="str">
        <f t="shared" si="1"/>
        <v>e:\글로벌백업(180329)\04.수수료작업\2016~2017\201702수수료\</v>
      </c>
      <c r="D181" s="5" t="s">
        <v>51</v>
      </c>
      <c r="E181" s="5" t="s">
        <v>7</v>
      </c>
      <c r="F181" s="13"/>
    </row>
    <row r="182" spans="1:6" hidden="1">
      <c r="A182" s="4">
        <v>201701</v>
      </c>
      <c r="B182" s="4" t="s">
        <v>76</v>
      </c>
      <c r="C182" s="15" t="str">
        <f t="shared" si="1"/>
        <v>e:\글로벌백업(180329)\04.수수료작업\2016~2017\201701수수료\</v>
      </c>
      <c r="D182" s="5" t="s">
        <v>46</v>
      </c>
      <c r="E182" s="5" t="s">
        <v>7</v>
      </c>
      <c r="F182" s="13"/>
    </row>
    <row r="183" spans="1:6" hidden="1">
      <c r="A183" s="4">
        <v>201612</v>
      </c>
      <c r="B183" s="4" t="s">
        <v>76</v>
      </c>
      <c r="C183" s="15" t="str">
        <f t="shared" si="1"/>
        <v>e:\글로벌백업(180329)\04.수수료작업\2016~2017\201612수수료\</v>
      </c>
      <c r="D183" s="5"/>
      <c r="E183" s="5"/>
      <c r="F183" s="13"/>
    </row>
    <row r="184" spans="1:6" hidden="1">
      <c r="A184" s="4"/>
      <c r="B184" s="4"/>
      <c r="C184" s="15"/>
      <c r="D184" s="5"/>
      <c r="E184" s="5"/>
      <c r="F184" s="13"/>
    </row>
    <row r="188" spans="1:6">
      <c r="A188" t="s">
        <v>636</v>
      </c>
    </row>
    <row r="189" spans="1:6">
      <c r="B189" s="4" t="s">
        <v>56</v>
      </c>
      <c r="C189" s="4" t="s">
        <v>3</v>
      </c>
      <c r="D189" s="4" t="s">
        <v>1</v>
      </c>
      <c r="E189" s="4" t="s">
        <v>2</v>
      </c>
    </row>
    <row r="190" spans="1:6">
      <c r="B190" s="4">
        <v>202003</v>
      </c>
      <c r="C190" s="4" t="str">
        <f t="shared" ref="C190" si="2">"E:\글로벌백업(180329)\04.수수료작업\"&amp;B190&amp;"수수료\"</f>
        <v>E:\글로벌백업(180329)\04.수수료작업\202003수수료\</v>
      </c>
      <c r="D190" s="4" t="str">
        <f t="shared" ref="D190" si="3">LEFT(B190,4)&amp;"-"&amp;MID(B190,5,2)&amp;" 수입원장(KJ).xlsx"</f>
        <v>2020-03 수입원장(KJ).xlsx</v>
      </c>
      <c r="E190" s="5" t="s">
        <v>529</v>
      </c>
    </row>
    <row r="191" spans="1:6">
      <c r="B191" s="4">
        <v>202003</v>
      </c>
      <c r="C191" s="4" t="str">
        <f t="shared" ref="C191" si="4">"E:\글로벌백업(180329)\04.수수료작업\"&amp;B191&amp;"수수료\"</f>
        <v>E:\글로벌백업(180329)\04.수수료작업\202003수수료\</v>
      </c>
      <c r="D191" s="4" t="str">
        <f t="shared" ref="D191" si="5">LEFT(B191,4)&amp;"-"&amp;MID(B191,5,2)&amp;" 수입원장(KJ).xlsx"</f>
        <v>2020-03 수입원장(KJ).xlsx</v>
      </c>
      <c r="E191" s="5" t="s">
        <v>529</v>
      </c>
    </row>
    <row r="192" spans="1:6">
      <c r="B192" s="4">
        <v>202002</v>
      </c>
      <c r="C192" s="4" t="str">
        <f t="shared" ref="C192" si="6">"E:\글로벌백업(180329)\04.수수료작업\"&amp;B192&amp;"수수료\"</f>
        <v>E:\글로벌백업(180329)\04.수수료작업\202002수수료\</v>
      </c>
      <c r="D192" s="4" t="str">
        <f t="shared" ref="D192" si="7">LEFT(B192,4)&amp;"-"&amp;MID(B192,5,2)&amp;" 수입원장(KJ).xlsx"</f>
        <v>2020-02 수입원장(KJ).xlsx</v>
      </c>
      <c r="E192" s="5" t="s">
        <v>529</v>
      </c>
    </row>
    <row r="193" spans="2:5">
      <c r="B193" s="4">
        <v>202001</v>
      </c>
      <c r="C193" s="4" t="str">
        <f t="shared" ref="C193:C207" si="8">"E:\글로벌백업(180329)\04.수수료작업\"&amp;B193&amp;"수수료\"</f>
        <v>E:\글로벌백업(180329)\04.수수료작업\202001수수료\</v>
      </c>
      <c r="D193" s="4" t="str">
        <f t="shared" ref="D193:D207" si="9">LEFT(B193,4)&amp;"-"&amp;MID(B193,5,2)&amp;" 수입원장(KJ).xlsx"</f>
        <v>2020-01 수입원장(KJ).xlsx</v>
      </c>
      <c r="E193" s="5" t="s">
        <v>569</v>
      </c>
    </row>
    <row r="194" spans="2:5">
      <c r="B194" s="4">
        <v>201912</v>
      </c>
      <c r="C194" s="4" t="str">
        <f t="shared" si="8"/>
        <v>E:\글로벌백업(180329)\04.수수료작업\201912수수료\</v>
      </c>
      <c r="D194" s="4" t="str">
        <f t="shared" si="9"/>
        <v>2019-12 수입원장(KJ).xlsx</v>
      </c>
      <c r="E194" s="5" t="s">
        <v>569</v>
      </c>
    </row>
    <row r="195" spans="2:5">
      <c r="B195" s="4">
        <v>201911</v>
      </c>
      <c r="C195" s="4" t="str">
        <f t="shared" si="8"/>
        <v>E:\글로벌백업(180329)\04.수수료작업\201911수수료\</v>
      </c>
      <c r="D195" s="4" t="str">
        <f t="shared" si="9"/>
        <v>2019-11 수입원장(KJ).xlsx</v>
      </c>
      <c r="E195" s="5" t="s">
        <v>569</v>
      </c>
    </row>
    <row r="196" spans="2:5">
      <c r="B196" s="4">
        <v>201910</v>
      </c>
      <c r="C196" s="4" t="str">
        <f t="shared" si="8"/>
        <v>E:\글로벌백업(180329)\04.수수료작업\201910수수료\</v>
      </c>
      <c r="D196" s="4" t="str">
        <f t="shared" si="9"/>
        <v>2019-10 수입원장(KJ).xlsx</v>
      </c>
      <c r="E196" s="5" t="s">
        <v>569</v>
      </c>
    </row>
    <row r="197" spans="2:5">
      <c r="B197" s="4">
        <v>201909</v>
      </c>
      <c r="C197" s="4" t="str">
        <f t="shared" si="8"/>
        <v>E:\글로벌백업(180329)\04.수수료작업\201909수수료\</v>
      </c>
      <c r="D197" s="4" t="str">
        <f t="shared" si="9"/>
        <v>2019-09 수입원장(KJ).xlsx</v>
      </c>
      <c r="E197" s="5" t="s">
        <v>569</v>
      </c>
    </row>
    <row r="198" spans="2:5">
      <c r="B198" s="4">
        <v>201908</v>
      </c>
      <c r="C198" s="4" t="str">
        <f t="shared" si="8"/>
        <v>E:\글로벌백업(180329)\04.수수료작업\201908수수료\</v>
      </c>
      <c r="D198" s="4" t="str">
        <f t="shared" si="9"/>
        <v>2019-08 수입원장(KJ).xlsx</v>
      </c>
      <c r="E198" s="5" t="s">
        <v>569</v>
      </c>
    </row>
    <row r="199" spans="2:5">
      <c r="B199" s="4">
        <v>201907</v>
      </c>
      <c r="C199" s="4" t="str">
        <f t="shared" si="8"/>
        <v>E:\글로벌백업(180329)\04.수수료작업\201907수수료\</v>
      </c>
      <c r="D199" s="4" t="str">
        <f t="shared" si="9"/>
        <v>2019-07 수입원장(KJ).xlsx</v>
      </c>
      <c r="E199" s="5" t="s">
        <v>569</v>
      </c>
    </row>
    <row r="200" spans="2:5">
      <c r="B200" s="4">
        <v>201906</v>
      </c>
      <c r="C200" s="4" t="str">
        <f t="shared" si="8"/>
        <v>E:\글로벌백업(180329)\04.수수료작업\201906수수료\</v>
      </c>
      <c r="D200" s="4" t="str">
        <f t="shared" si="9"/>
        <v>2019-06 수입원장(KJ).xlsx</v>
      </c>
      <c r="E200" s="5" t="s">
        <v>569</v>
      </c>
    </row>
    <row r="201" spans="2:5">
      <c r="B201" s="4">
        <v>201905</v>
      </c>
      <c r="C201" s="4" t="str">
        <f t="shared" si="8"/>
        <v>E:\글로벌백업(180329)\04.수수료작업\201905수수료\</v>
      </c>
      <c r="D201" s="4" t="str">
        <f t="shared" si="9"/>
        <v>2019-05 수입원장(KJ).xlsx</v>
      </c>
      <c r="E201" s="5" t="s">
        <v>569</v>
      </c>
    </row>
    <row r="202" spans="2:5">
      <c r="B202" s="4">
        <v>201904</v>
      </c>
      <c r="C202" s="4" t="str">
        <f t="shared" si="8"/>
        <v>E:\글로벌백업(180329)\04.수수료작업\201904수수료\</v>
      </c>
      <c r="D202" s="4" t="str">
        <f t="shared" si="9"/>
        <v>2019-04 수입원장(KJ).xlsx</v>
      </c>
      <c r="E202" s="5" t="s">
        <v>569</v>
      </c>
    </row>
    <row r="203" spans="2:5">
      <c r="B203" s="4">
        <v>201903</v>
      </c>
      <c r="C203" s="4" t="str">
        <f t="shared" si="8"/>
        <v>E:\글로벌백업(180329)\04.수수료작업\201903수수료\</v>
      </c>
      <c r="D203" s="4" t="str">
        <f t="shared" si="9"/>
        <v>2019-03 수입원장(KJ).xlsx</v>
      </c>
      <c r="E203" s="5" t="s">
        <v>569</v>
      </c>
    </row>
    <row r="204" spans="2:5">
      <c r="B204" s="4">
        <v>201902</v>
      </c>
      <c r="C204" s="4" t="str">
        <f t="shared" si="8"/>
        <v>E:\글로벌백업(180329)\04.수수료작업\201902수수료\</v>
      </c>
      <c r="D204" s="4" t="str">
        <f t="shared" si="9"/>
        <v>2019-02 수입원장(KJ).xlsx</v>
      </c>
      <c r="E204" s="5" t="s">
        <v>569</v>
      </c>
    </row>
    <row r="205" spans="2:5">
      <c r="B205" s="4">
        <v>201901</v>
      </c>
      <c r="C205" s="4" t="str">
        <f t="shared" si="8"/>
        <v>E:\글로벌백업(180329)\04.수수료작업\201901수수료\</v>
      </c>
      <c r="D205" s="4" t="str">
        <f t="shared" si="9"/>
        <v>2019-01 수입원장(KJ).xlsx</v>
      </c>
      <c r="E205" s="5" t="s">
        <v>569</v>
      </c>
    </row>
    <row r="206" spans="2:5">
      <c r="B206" s="4">
        <v>201812</v>
      </c>
      <c r="C206" s="4" t="str">
        <f t="shared" si="8"/>
        <v>E:\글로벌백업(180329)\04.수수료작업\201812수수료\</v>
      </c>
      <c r="D206" s="4" t="str">
        <f t="shared" si="9"/>
        <v>2018-12 수입원장(KJ).xlsx</v>
      </c>
      <c r="E206" s="5" t="s">
        <v>569</v>
      </c>
    </row>
    <row r="207" spans="2:5">
      <c r="B207" s="4">
        <v>201811</v>
      </c>
      <c r="C207" s="4" t="str">
        <f t="shared" si="8"/>
        <v>E:\글로벌백업(180329)\04.수수료작업\201811수수료\</v>
      </c>
      <c r="D207" s="4" t="str">
        <f t="shared" si="9"/>
        <v>2018-11 수입원장(KJ).xlsx</v>
      </c>
      <c r="E207" s="5" t="s">
        <v>569</v>
      </c>
    </row>
    <row r="208" spans="2:5">
      <c r="B208" s="4">
        <v>201810</v>
      </c>
      <c r="C208" s="4" t="str">
        <f t="shared" ref="C208" si="10">"E:\글로벌백업(180329)\04.수수료작업\"&amp;B208&amp;"수수료\"</f>
        <v>E:\글로벌백업(180329)\04.수수료작업\201810수수료\</v>
      </c>
      <c r="D208" s="4" t="str">
        <f t="shared" ref="D208" si="11">LEFT(B208,4)&amp;"-"&amp;MID(B208,5,2)&amp;" 수입원장(KJ).xlsx"</f>
        <v>2018-10 수입원장(KJ).xlsx</v>
      </c>
      <c r="E208" s="5" t="s">
        <v>529</v>
      </c>
    </row>
    <row r="209" spans="2:5">
      <c r="B209" s="4"/>
      <c r="C209" s="4"/>
      <c r="D209" s="4"/>
      <c r="E209" s="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tFileName">
                <anchor moveWithCells="1" sizeWithCells="1">
                  <from>
                    <xdr:col>6</xdr:col>
                    <xdr:colOff>525780</xdr:colOff>
                    <xdr:row>85</xdr:row>
                    <xdr:rowOff>144780</xdr:rowOff>
                  </from>
                  <to>
                    <xdr:col>8</xdr:col>
                    <xdr:colOff>182880</xdr:colOff>
                    <xdr:row>87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theme="9" tint="0.59999389629810485"/>
  </sheetPr>
  <dimension ref="A2:C39"/>
  <sheetViews>
    <sheetView workbookViewId="0">
      <selection activeCell="H15" sqref="H15"/>
    </sheetView>
  </sheetViews>
  <sheetFormatPr defaultRowHeight="17.399999999999999"/>
  <cols>
    <col min="1" max="1" width="20.09765625" bestFit="1" customWidth="1"/>
    <col min="2" max="2" width="15.09765625" bestFit="1" customWidth="1"/>
  </cols>
  <sheetData>
    <row r="2" spans="1:3">
      <c r="A2" s="131" t="s">
        <v>1405</v>
      </c>
      <c r="B2" s="131" t="s">
        <v>1406</v>
      </c>
      <c r="C2" t="s">
        <v>1468</v>
      </c>
    </row>
    <row r="3" spans="1:3">
      <c r="A3" t="s">
        <v>1407</v>
      </c>
      <c r="B3" t="s">
        <v>1408</v>
      </c>
      <c r="C3" t="s">
        <v>1468</v>
      </c>
    </row>
    <row r="4" spans="1:3">
      <c r="A4" t="s">
        <v>1409</v>
      </c>
      <c r="B4" t="s">
        <v>1410</v>
      </c>
      <c r="C4" t="s">
        <v>1468</v>
      </c>
    </row>
    <row r="5" spans="1:3">
      <c r="A5" t="s">
        <v>1411</v>
      </c>
      <c r="B5" t="s">
        <v>1412</v>
      </c>
      <c r="C5" t="s">
        <v>1468</v>
      </c>
    </row>
    <row r="6" spans="1:3">
      <c r="A6" t="s">
        <v>1413</v>
      </c>
      <c r="B6" t="s">
        <v>1414</v>
      </c>
      <c r="C6" t="s">
        <v>1468</v>
      </c>
    </row>
    <row r="7" spans="1:3">
      <c r="A7" t="s">
        <v>1415</v>
      </c>
      <c r="B7" t="s">
        <v>1416</v>
      </c>
      <c r="C7" t="s">
        <v>1468</v>
      </c>
    </row>
    <row r="8" spans="1:3">
      <c r="A8" t="s">
        <v>1417</v>
      </c>
      <c r="B8" t="s">
        <v>1418</v>
      </c>
      <c r="C8" t="s">
        <v>1468</v>
      </c>
    </row>
    <row r="9" spans="1:3">
      <c r="A9" t="s">
        <v>1419</v>
      </c>
      <c r="B9" t="s">
        <v>1420</v>
      </c>
      <c r="C9" t="s">
        <v>1468</v>
      </c>
    </row>
    <row r="10" spans="1:3">
      <c r="A10" t="s">
        <v>1421</v>
      </c>
      <c r="B10" t="s">
        <v>1422</v>
      </c>
      <c r="C10" t="s">
        <v>1468</v>
      </c>
    </row>
    <row r="11" spans="1:3">
      <c r="A11" t="s">
        <v>1423</v>
      </c>
      <c r="B11" t="s">
        <v>1424</v>
      </c>
      <c r="C11" t="s">
        <v>1468</v>
      </c>
    </row>
    <row r="12" spans="1:3">
      <c r="A12" t="s">
        <v>1425</v>
      </c>
      <c r="B12" t="s">
        <v>1426</v>
      </c>
      <c r="C12" t="s">
        <v>1468</v>
      </c>
    </row>
    <row r="13" spans="1:3">
      <c r="A13" t="s">
        <v>1427</v>
      </c>
      <c r="B13" t="s">
        <v>1428</v>
      </c>
      <c r="C13" t="s">
        <v>1468</v>
      </c>
    </row>
    <row r="14" spans="1:3">
      <c r="A14" t="s">
        <v>1429</v>
      </c>
      <c r="B14" t="s">
        <v>1430</v>
      </c>
      <c r="C14" t="s">
        <v>1468</v>
      </c>
    </row>
    <row r="15" spans="1:3">
      <c r="A15" t="s">
        <v>1431</v>
      </c>
      <c r="B15" t="s">
        <v>1432</v>
      </c>
      <c r="C15" t="s">
        <v>1468</v>
      </c>
    </row>
    <row r="16" spans="1:3">
      <c r="A16" t="s">
        <v>1433</v>
      </c>
      <c r="B16" t="s">
        <v>1434</v>
      </c>
      <c r="C16" t="s">
        <v>1468</v>
      </c>
    </row>
    <row r="17" spans="1:3">
      <c r="A17" t="s">
        <v>1435</v>
      </c>
      <c r="B17" t="s">
        <v>1436</v>
      </c>
      <c r="C17" t="s">
        <v>1468</v>
      </c>
    </row>
    <row r="18" spans="1:3">
      <c r="A18" t="s">
        <v>1437</v>
      </c>
      <c r="B18" t="s">
        <v>1438</v>
      </c>
      <c r="C18" t="s">
        <v>1468</v>
      </c>
    </row>
    <row r="19" spans="1:3">
      <c r="A19" t="s">
        <v>1439</v>
      </c>
      <c r="B19" t="s">
        <v>1440</v>
      </c>
      <c r="C19" t="s">
        <v>1468</v>
      </c>
    </row>
    <row r="20" spans="1:3">
      <c r="A20" t="s">
        <v>1441</v>
      </c>
      <c r="B20" t="s">
        <v>1442</v>
      </c>
      <c r="C20" t="s">
        <v>1468</v>
      </c>
    </row>
    <row r="21" spans="1:3">
      <c r="A21" t="s">
        <v>1443</v>
      </c>
      <c r="B21" t="s">
        <v>1444</v>
      </c>
      <c r="C21" t="s">
        <v>1468</v>
      </c>
    </row>
    <row r="22" spans="1:3">
      <c r="A22" t="s">
        <v>1445</v>
      </c>
      <c r="B22" t="s">
        <v>1446</v>
      </c>
      <c r="C22" t="s">
        <v>1468</v>
      </c>
    </row>
    <row r="23" spans="1:3">
      <c r="A23" t="s">
        <v>1447</v>
      </c>
      <c r="B23" t="s">
        <v>1448</v>
      </c>
      <c r="C23" t="s">
        <v>1468</v>
      </c>
    </row>
    <row r="24" spans="1:3">
      <c r="A24" t="s">
        <v>1449</v>
      </c>
      <c r="B24" t="s">
        <v>521</v>
      </c>
      <c r="C24" t="s">
        <v>1468</v>
      </c>
    </row>
    <row r="25" spans="1:3">
      <c r="A25" t="s">
        <v>1450</v>
      </c>
      <c r="B25" t="s">
        <v>196</v>
      </c>
      <c r="C25" t="s">
        <v>1468</v>
      </c>
    </row>
    <row r="26" spans="1:3">
      <c r="A26" t="s">
        <v>1451</v>
      </c>
      <c r="B26" t="s">
        <v>522</v>
      </c>
      <c r="C26" t="s">
        <v>1468</v>
      </c>
    </row>
    <row r="27" spans="1:3">
      <c r="A27" t="s">
        <v>1452</v>
      </c>
      <c r="B27" t="s">
        <v>526</v>
      </c>
      <c r="C27" t="s">
        <v>1468</v>
      </c>
    </row>
    <row r="28" spans="1:3">
      <c r="A28" t="s">
        <v>1453</v>
      </c>
      <c r="B28" t="s">
        <v>200</v>
      </c>
      <c r="C28" t="s">
        <v>1468</v>
      </c>
    </row>
    <row r="29" spans="1:3">
      <c r="A29" t="s">
        <v>1454</v>
      </c>
      <c r="B29" t="s">
        <v>525</v>
      </c>
      <c r="C29" t="s">
        <v>1468</v>
      </c>
    </row>
    <row r="30" spans="1:3">
      <c r="A30" t="s">
        <v>1455</v>
      </c>
      <c r="B30" t="s">
        <v>198</v>
      </c>
      <c r="C30" t="s">
        <v>1468</v>
      </c>
    </row>
    <row r="31" spans="1:3">
      <c r="A31" t="s">
        <v>1456</v>
      </c>
      <c r="B31" t="s">
        <v>527</v>
      </c>
      <c r="C31" t="s">
        <v>1468</v>
      </c>
    </row>
    <row r="32" spans="1:3">
      <c r="A32" t="s">
        <v>1457</v>
      </c>
      <c r="B32" t="s">
        <v>1458</v>
      </c>
      <c r="C32" t="s">
        <v>1468</v>
      </c>
    </row>
    <row r="33" spans="1:3">
      <c r="A33" t="s">
        <v>1459</v>
      </c>
      <c r="B33" t="s">
        <v>524</v>
      </c>
      <c r="C33" t="s">
        <v>1468</v>
      </c>
    </row>
    <row r="34" spans="1:3">
      <c r="A34" t="s">
        <v>1460</v>
      </c>
      <c r="B34" t="s">
        <v>197</v>
      </c>
      <c r="C34" t="s">
        <v>1468</v>
      </c>
    </row>
    <row r="35" spans="1:3">
      <c r="A35" t="s">
        <v>1461</v>
      </c>
      <c r="B35" t="s">
        <v>523</v>
      </c>
      <c r="C35" t="s">
        <v>1468</v>
      </c>
    </row>
    <row r="36" spans="1:3">
      <c r="A36" t="s">
        <v>1462</v>
      </c>
      <c r="B36" t="s">
        <v>1463</v>
      </c>
      <c r="C36" t="s">
        <v>1468</v>
      </c>
    </row>
    <row r="37" spans="1:3">
      <c r="A37" t="s">
        <v>1464</v>
      </c>
      <c r="B37" t="s">
        <v>1465</v>
      </c>
      <c r="C37" t="s">
        <v>1468</v>
      </c>
    </row>
    <row r="38" spans="1:3">
      <c r="A38" t="s">
        <v>1466</v>
      </c>
      <c r="B38" t="s">
        <v>1467</v>
      </c>
      <c r="C38" t="s">
        <v>1468</v>
      </c>
    </row>
    <row r="39" spans="1:3">
      <c r="A39" t="s">
        <v>1469</v>
      </c>
      <c r="B39" t="s">
        <v>529</v>
      </c>
      <c r="C39" t="s">
        <v>250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rename_sheet">
                <anchor moveWithCells="1" sizeWithCells="1">
                  <from>
                    <xdr:col>3</xdr:col>
                    <xdr:colOff>502920</xdr:colOff>
                    <xdr:row>3</xdr:row>
                    <xdr:rowOff>144780</xdr:rowOff>
                  </from>
                  <to>
                    <xdr:col>4</xdr:col>
                    <xdr:colOff>647700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Q12388"/>
  <sheetViews>
    <sheetView workbookViewId="0">
      <selection activeCell="A3" sqref="A3"/>
    </sheetView>
  </sheetViews>
  <sheetFormatPr defaultRowHeight="17.399999999999999"/>
  <cols>
    <col min="3" max="3" width="14.19921875" customWidth="1"/>
    <col min="8" max="8" width="13.69921875" customWidth="1"/>
    <col min="10" max="10" width="11.19921875" customWidth="1"/>
    <col min="13" max="13" width="16.09765625" customWidth="1"/>
  </cols>
  <sheetData>
    <row r="1" spans="1:21">
      <c r="A1" s="7" t="s">
        <v>9</v>
      </c>
      <c r="B1" s="7"/>
      <c r="C1" s="7"/>
      <c r="D1" s="7"/>
      <c r="E1" s="7"/>
      <c r="F1" s="7"/>
      <c r="G1" s="7"/>
      <c r="H1" s="7"/>
      <c r="J1" s="7" t="s">
        <v>10</v>
      </c>
      <c r="K1" s="6"/>
      <c r="L1" s="6"/>
      <c r="M1" s="6"/>
      <c r="N1" s="6"/>
      <c r="O1" s="3">
        <f>MAX(J15:O15)</f>
        <v>2</v>
      </c>
      <c r="Q1" s="6" t="s">
        <v>25</v>
      </c>
      <c r="R1" s="6"/>
      <c r="T1" s="6" t="s">
        <v>21</v>
      </c>
      <c r="U1" s="6"/>
    </row>
    <row r="2" spans="1:21">
      <c r="A2" s="8" t="s">
        <v>8</v>
      </c>
      <c r="B2" s="2" t="s">
        <v>3</v>
      </c>
      <c r="C2" s="137" t="e">
        <f ca="1">IF($A$3="파일1",VLOOKUP($A$4,파일1정보,2,0),VLOOKUP($A$4,파일2정보,2,0))</f>
        <v>#N/A</v>
      </c>
      <c r="D2" s="137"/>
      <c r="E2" s="137"/>
      <c r="F2" s="137"/>
      <c r="G2" s="137"/>
      <c r="H2" s="137"/>
      <c r="J2" s="22" t="s">
        <v>4</v>
      </c>
      <c r="K2" s="22" t="s">
        <v>5</v>
      </c>
      <c r="L2" s="22" t="s">
        <v>6</v>
      </c>
      <c r="M2" s="22" t="s">
        <v>0</v>
      </c>
      <c r="N2" s="23" t="s">
        <v>48</v>
      </c>
      <c r="O2" s="23"/>
      <c r="Q2" s="19" t="s">
        <v>28</v>
      </c>
      <c r="R2" s="19" t="s">
        <v>29</v>
      </c>
      <c r="T2" s="19" t="s">
        <v>22</v>
      </c>
      <c r="U2" s="20" t="s">
        <v>14</v>
      </c>
    </row>
    <row r="3" spans="1:21">
      <c r="A3" s="9" t="s">
        <v>44</v>
      </c>
      <c r="B3" s="2" t="s">
        <v>1</v>
      </c>
      <c r="C3" s="137" t="e">
        <f ca="1">IF($A$3="파일1",VLOOKUP($A$4,파일1정보,3,0),VLOOKUP($A$4,파일2정보,3,0))</f>
        <v>#N/A</v>
      </c>
      <c r="D3" s="137"/>
      <c r="E3" s="137"/>
      <c r="F3" s="137"/>
      <c r="G3" s="137"/>
      <c r="H3" s="137"/>
      <c r="J3" s="21" t="s">
        <v>50</v>
      </c>
      <c r="K3" s="21"/>
      <c r="L3" s="21"/>
      <c r="M3" s="21"/>
      <c r="N3" s="21" t="s">
        <v>49</v>
      </c>
      <c r="O3" s="21"/>
      <c r="Q3" s="19" t="s">
        <v>12</v>
      </c>
      <c r="R3" s="19" t="s">
        <v>27</v>
      </c>
      <c r="T3" s="20" t="s">
        <v>15</v>
      </c>
      <c r="U3" s="20" t="s">
        <v>16</v>
      </c>
    </row>
    <row r="4" spans="1:21">
      <c r="A4" s="9">
        <v>201712</v>
      </c>
      <c r="B4" s="2" t="s">
        <v>2</v>
      </c>
      <c r="C4" s="137" t="e">
        <f ca="1">IF($A$3="파일1",VLOOKUP($A$4,파일1정보,4,0),VLOOKUP($A$4,파일2정보,4,0))</f>
        <v>#N/A</v>
      </c>
      <c r="D4" s="137"/>
      <c r="E4" s="137"/>
      <c r="F4" s="137"/>
      <c r="G4" s="137"/>
      <c r="H4" s="137"/>
      <c r="J4" s="21"/>
      <c r="K4" s="21"/>
      <c r="L4" s="21"/>
      <c r="M4" s="21"/>
      <c r="N4" s="21"/>
      <c r="O4" s="21"/>
      <c r="Q4" s="19" t="s">
        <v>20</v>
      </c>
      <c r="R4" s="19" t="s">
        <v>13</v>
      </c>
      <c r="T4" s="20" t="s">
        <v>17</v>
      </c>
      <c r="U4" s="20" t="s">
        <v>18</v>
      </c>
    </row>
    <row r="5" spans="1:21">
      <c r="J5" s="21"/>
      <c r="K5" s="21"/>
      <c r="L5" s="21"/>
      <c r="M5" s="21"/>
      <c r="N5" s="21"/>
      <c r="O5" s="21"/>
      <c r="Q5" s="19" t="s">
        <v>26</v>
      </c>
      <c r="R5" s="19"/>
      <c r="T5" s="20" t="s">
        <v>19</v>
      </c>
      <c r="U5" s="19" t="s">
        <v>23</v>
      </c>
    </row>
    <row r="6" spans="1:21">
      <c r="J6" s="21"/>
      <c r="K6" s="21"/>
      <c r="L6" s="21"/>
      <c r="M6" s="21"/>
      <c r="N6" s="21"/>
      <c r="O6" s="21"/>
      <c r="Q6" s="19"/>
      <c r="R6" s="19"/>
      <c r="T6" s="19" t="s">
        <v>24</v>
      </c>
      <c r="U6" s="19"/>
    </row>
    <row r="7" spans="1:21">
      <c r="A7" s="14" t="s">
        <v>31</v>
      </c>
      <c r="D7" s="14" t="s">
        <v>32</v>
      </c>
      <c r="G7" s="14" t="s">
        <v>33</v>
      </c>
      <c r="J7" s="21"/>
      <c r="K7" s="21"/>
      <c r="L7" s="21"/>
      <c r="M7" s="21"/>
      <c r="N7" s="21"/>
      <c r="O7" s="21"/>
      <c r="Q7" s="19"/>
      <c r="R7" s="19"/>
      <c r="T7" s="19"/>
      <c r="U7" s="19"/>
    </row>
    <row r="8" spans="1:21">
      <c r="A8" s="14"/>
      <c r="C8" s="14"/>
      <c r="D8" s="14"/>
      <c r="G8" s="14"/>
      <c r="J8" s="21"/>
      <c r="K8" s="21"/>
      <c r="L8" s="21"/>
      <c r="M8" s="21"/>
      <c r="N8" s="21"/>
      <c r="O8" s="21"/>
      <c r="Q8" s="19"/>
      <c r="R8" s="19"/>
      <c r="T8" s="19"/>
      <c r="U8" s="19"/>
    </row>
    <row r="9" spans="1:21">
      <c r="A9" s="14"/>
      <c r="D9" s="14"/>
      <c r="G9" s="14"/>
      <c r="J9" s="21"/>
      <c r="K9" s="21"/>
      <c r="L9" s="21"/>
      <c r="M9" s="21"/>
      <c r="N9" s="21"/>
      <c r="O9" s="21"/>
      <c r="Q9" s="19"/>
      <c r="R9" s="19"/>
      <c r="T9" s="19"/>
      <c r="U9" s="19"/>
    </row>
    <row r="10" spans="1:21">
      <c r="A10" s="14"/>
      <c r="D10" s="14"/>
      <c r="G10" s="14"/>
      <c r="J10" s="21"/>
      <c r="K10" s="21"/>
      <c r="L10" s="21"/>
      <c r="M10" s="21"/>
      <c r="N10" s="21"/>
      <c r="O10" s="21"/>
      <c r="Q10" s="19"/>
      <c r="R10" s="19"/>
      <c r="T10" s="19"/>
      <c r="U10" s="19"/>
    </row>
    <row r="11" spans="1:21">
      <c r="J11" s="21"/>
      <c r="K11" s="21"/>
      <c r="L11" s="21"/>
      <c r="M11" s="21"/>
      <c r="N11" s="21"/>
      <c r="O11" s="21"/>
      <c r="Q11" s="19"/>
      <c r="R11" s="19"/>
      <c r="T11" s="19"/>
      <c r="U11" s="19"/>
    </row>
    <row r="12" spans="1:21">
      <c r="J12" s="21"/>
      <c r="K12" s="21"/>
      <c r="L12" s="21"/>
      <c r="M12" s="21"/>
      <c r="N12" s="21"/>
      <c r="O12" s="21"/>
      <c r="Q12" s="19"/>
      <c r="R12" s="19"/>
      <c r="T12" s="19"/>
      <c r="U12" s="19"/>
    </row>
    <row r="13" spans="1:21">
      <c r="A13" s="14" t="s">
        <v>47</v>
      </c>
      <c r="J13" s="21"/>
      <c r="K13" s="21"/>
      <c r="L13" s="21"/>
      <c r="M13" s="21"/>
      <c r="N13" s="21"/>
      <c r="O13" s="21"/>
      <c r="Q13" s="19"/>
      <c r="R13" s="19"/>
      <c r="T13" s="19"/>
      <c r="U13" s="19"/>
    </row>
    <row r="14" spans="1:21">
      <c r="J14" s="21"/>
      <c r="K14" s="21"/>
      <c r="L14" s="21"/>
      <c r="M14" s="21"/>
      <c r="N14" s="21"/>
      <c r="O14" s="21"/>
      <c r="Q14" s="19"/>
      <c r="R14" s="19"/>
      <c r="T14" s="19"/>
      <c r="U14" s="19"/>
    </row>
    <row r="15" spans="1:21">
      <c r="J15" s="3">
        <f t="shared" ref="J15:O15" si="0">COUNTA(J2:J14)</f>
        <v>2</v>
      </c>
      <c r="K15" s="3">
        <f t="shared" si="0"/>
        <v>1</v>
      </c>
      <c r="L15" s="3">
        <f t="shared" si="0"/>
        <v>1</v>
      </c>
      <c r="M15" s="3">
        <f t="shared" si="0"/>
        <v>1</v>
      </c>
      <c r="N15" s="3">
        <f t="shared" si="0"/>
        <v>2</v>
      </c>
      <c r="O15" s="3">
        <f t="shared" si="0"/>
        <v>0</v>
      </c>
    </row>
    <row r="17" spans="1:43" s="11" customFormat="1">
      <c r="A17" s="10" t="s">
        <v>11</v>
      </c>
    </row>
    <row r="18" spans="1:4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</row>
    <row r="19" spans="1:4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</row>
    <row r="20" spans="1:4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</row>
    <row r="21" spans="1:4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4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</row>
    <row r="23" spans="1:4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</row>
    <row r="24" spans="1:4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</row>
    <row r="25" spans="1:4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</row>
    <row r="26" spans="1:4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</row>
    <row r="27" spans="1:4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</row>
    <row r="28" spans="1:4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</row>
    <row r="29" spans="1:4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</row>
    <row r="30" spans="1:4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</row>
    <row r="31" spans="1:4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</row>
    <row r="32" spans="1:4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</row>
    <row r="33" spans="1:4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</row>
    <row r="34" spans="1:4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</row>
    <row r="35" spans="1:4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</row>
    <row r="36" spans="1:4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</row>
    <row r="37" spans="1:4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</row>
    <row r="38" spans="1:4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</row>
    <row r="39" spans="1:4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</row>
    <row r="40" spans="1:4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</row>
    <row r="41" spans="1:4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</row>
    <row r="42" spans="1:4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</row>
    <row r="43" spans="1:4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  <row r="44" spans="1:4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</row>
    <row r="45" spans="1:4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</row>
    <row r="46" spans="1:4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</row>
    <row r="47" spans="1:4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</row>
    <row r="48" spans="1:4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</row>
    <row r="49" spans="1:4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</row>
    <row r="50" spans="1:4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</row>
    <row r="51" spans="1:4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</row>
    <row r="52" spans="1:4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</row>
    <row r="53" spans="1:4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</row>
    <row r="54" spans="1:4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</row>
    <row r="55" spans="1:4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</row>
    <row r="56" spans="1:4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</row>
    <row r="57" spans="1:4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</row>
    <row r="58" spans="1:4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</row>
    <row r="59" spans="1:4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</row>
    <row r="60" spans="1:4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</row>
    <row r="61" spans="1:4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</row>
    <row r="62" spans="1:4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</row>
    <row r="63" spans="1:4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</row>
    <row r="64" spans="1:4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</row>
    <row r="65" spans="1:4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</row>
    <row r="66" spans="1:4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</row>
    <row r="67" spans="1:4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</row>
    <row r="68" spans="1:4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</row>
    <row r="69" spans="1:4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</row>
    <row r="70" spans="1:4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</row>
    <row r="71" spans="1:4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</row>
    <row r="72" spans="1:4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</row>
    <row r="73" spans="1:4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</row>
    <row r="74" spans="1:4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</row>
    <row r="75" spans="1:4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</row>
    <row r="76" spans="1:4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</row>
    <row r="77" spans="1:4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</row>
    <row r="78" spans="1:4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</row>
    <row r="79" spans="1:4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</row>
    <row r="80" spans="1:4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</row>
    <row r="81" spans="1:4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</row>
    <row r="82" spans="1:4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</row>
    <row r="83" spans="1:4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</row>
    <row r="84" spans="1:4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</row>
    <row r="85" spans="1:4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</row>
    <row r="86" spans="1:4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</row>
    <row r="87" spans="1:4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</row>
    <row r="88" spans="1:4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</row>
    <row r="89" spans="1:4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</row>
    <row r="90" spans="1:4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</row>
    <row r="91" spans="1:4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</row>
    <row r="92" spans="1:4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</row>
    <row r="93" spans="1:4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</row>
    <row r="94" spans="1:4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</row>
    <row r="95" spans="1:4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</row>
    <row r="96" spans="1:4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</row>
    <row r="97" spans="1:4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</row>
    <row r="98" spans="1:4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</row>
    <row r="99" spans="1:4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</row>
    <row r="100" spans="1:4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</row>
    <row r="101" spans="1:4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</row>
    <row r="102" spans="1:4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</row>
    <row r="103" spans="1:4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</row>
    <row r="104" spans="1:4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</row>
    <row r="105" spans="1:4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</row>
    <row r="106" spans="1:4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</row>
    <row r="107" spans="1:4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</row>
    <row r="108" spans="1:4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</row>
    <row r="109" spans="1:4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</row>
    <row r="110" spans="1:4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</row>
    <row r="111" spans="1:4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</row>
    <row r="112" spans="1:4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</row>
    <row r="113" spans="1:4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</row>
    <row r="114" spans="1:4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</row>
    <row r="115" spans="1:4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</row>
    <row r="116" spans="1:4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</row>
    <row r="117" spans="1:4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</row>
    <row r="118" spans="1:4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</row>
    <row r="119" spans="1:4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</row>
    <row r="120" spans="1:4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</row>
    <row r="121" spans="1:4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</row>
    <row r="122" spans="1:4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</row>
    <row r="123" spans="1:4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</row>
    <row r="124" spans="1:4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</row>
    <row r="125" spans="1:4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</row>
    <row r="126" spans="1:4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</row>
    <row r="127" spans="1:4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</row>
    <row r="128" spans="1:4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</row>
    <row r="129" spans="1:4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</row>
    <row r="130" spans="1:4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</row>
    <row r="131" spans="1:4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</row>
    <row r="132" spans="1:4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</row>
    <row r="133" spans="1:4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</row>
    <row r="134" spans="1:4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</row>
    <row r="135" spans="1:4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</row>
    <row r="136" spans="1:4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</row>
    <row r="137" spans="1:4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</row>
    <row r="138" spans="1:4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</row>
    <row r="139" spans="1:4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</row>
    <row r="140" spans="1:4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</row>
    <row r="141" spans="1:4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</row>
    <row r="142" spans="1:4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</row>
    <row r="143" spans="1:4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</row>
    <row r="144" spans="1:4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</row>
    <row r="145" spans="1:4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</row>
    <row r="146" spans="1:4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</row>
    <row r="147" spans="1:4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</row>
    <row r="148" spans="1:4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</row>
    <row r="149" spans="1:4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</row>
    <row r="150" spans="1:4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</row>
    <row r="151" spans="1:4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</row>
    <row r="152" spans="1:4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</row>
    <row r="153" spans="1:4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</row>
    <row r="154" spans="1:4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</row>
    <row r="155" spans="1:4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</row>
    <row r="156" spans="1:4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</row>
    <row r="157" spans="1:4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</row>
    <row r="158" spans="1:4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</row>
    <row r="159" spans="1:4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</row>
    <row r="160" spans="1:4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</row>
    <row r="161" spans="1:4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</row>
    <row r="162" spans="1:4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</row>
    <row r="163" spans="1:4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</row>
    <row r="164" spans="1:4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</row>
    <row r="165" spans="1:4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</row>
    <row r="166" spans="1:4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</row>
    <row r="167" spans="1:4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</row>
    <row r="168" spans="1:4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</row>
    <row r="169" spans="1:4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</row>
    <row r="170" spans="1:4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</row>
    <row r="171" spans="1:4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</row>
    <row r="172" spans="1:4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</row>
    <row r="173" spans="1:4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</row>
    <row r="174" spans="1:4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</row>
    <row r="175" spans="1:4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</row>
    <row r="176" spans="1:4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</row>
    <row r="177" spans="1:4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</row>
    <row r="178" spans="1:4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</row>
    <row r="179" spans="1:4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</row>
    <row r="180" spans="1:4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</row>
    <row r="181" spans="1:4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</row>
    <row r="182" spans="1:4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</row>
    <row r="183" spans="1:4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</row>
    <row r="184" spans="1:4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</row>
    <row r="185" spans="1:4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</row>
    <row r="186" spans="1:4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</row>
    <row r="187" spans="1:4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</row>
    <row r="188" spans="1:4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</row>
    <row r="189" spans="1:4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</row>
    <row r="190" spans="1:4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</row>
    <row r="191" spans="1:4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</row>
    <row r="192" spans="1:4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</row>
    <row r="193" spans="1:4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</row>
    <row r="194" spans="1:4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</row>
    <row r="195" spans="1:4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</row>
    <row r="196" spans="1:4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</row>
    <row r="197" spans="1:4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</row>
    <row r="198" spans="1:4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</row>
    <row r="199" spans="1:4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</row>
    <row r="200" spans="1:4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</row>
    <row r="201" spans="1:4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</row>
    <row r="202" spans="1:4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</row>
    <row r="203" spans="1:4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</row>
    <row r="204" spans="1:4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</row>
    <row r="205" spans="1:4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</row>
    <row r="206" spans="1:4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</row>
    <row r="207" spans="1:4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</row>
    <row r="208" spans="1:4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</row>
    <row r="209" spans="1:4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</row>
    <row r="210" spans="1:4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</row>
    <row r="211" spans="1:4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</row>
    <row r="212" spans="1:4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</row>
    <row r="213" spans="1:4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</row>
    <row r="214" spans="1:4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</row>
    <row r="215" spans="1:4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</row>
    <row r="216" spans="1:4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</row>
    <row r="217" spans="1:4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</row>
    <row r="218" spans="1:4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</row>
    <row r="219" spans="1:4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</row>
    <row r="220" spans="1:4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</row>
    <row r="221" spans="1:4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</row>
    <row r="222" spans="1:4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</row>
    <row r="223" spans="1:4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</row>
    <row r="224" spans="1:4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</row>
    <row r="225" spans="1:4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</row>
    <row r="226" spans="1:4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</row>
    <row r="227" spans="1:4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</row>
    <row r="228" spans="1:4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</row>
    <row r="229" spans="1:4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</row>
    <row r="230" spans="1:4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</row>
    <row r="231" spans="1:4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</row>
    <row r="232" spans="1:4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</row>
    <row r="233" spans="1:4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</row>
    <row r="234" spans="1:4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</row>
    <row r="235" spans="1:4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</row>
    <row r="236" spans="1:4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</row>
    <row r="237" spans="1:4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</row>
    <row r="238" spans="1:4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</row>
    <row r="239" spans="1:4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</row>
    <row r="240" spans="1:4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</row>
    <row r="241" spans="1:4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</row>
    <row r="242" spans="1:4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</row>
    <row r="243" spans="1:4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</row>
    <row r="244" spans="1:4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</row>
    <row r="245" spans="1:4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</row>
    <row r="246" spans="1:4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</row>
    <row r="247" spans="1:4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</row>
    <row r="248" spans="1:4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</row>
    <row r="249" spans="1:4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</row>
    <row r="250" spans="1:4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</row>
    <row r="251" spans="1:4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</row>
    <row r="252" spans="1:4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</row>
    <row r="253" spans="1:4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</row>
    <row r="254" spans="1:4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</row>
    <row r="255" spans="1:4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</row>
    <row r="256" spans="1:4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</row>
    <row r="257" spans="1:4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</row>
    <row r="258" spans="1:4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</row>
    <row r="259" spans="1:4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</row>
    <row r="260" spans="1:4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</row>
    <row r="261" spans="1:4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</row>
    <row r="262" spans="1:4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</row>
    <row r="263" spans="1:4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</row>
    <row r="264" spans="1:4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</row>
    <row r="265" spans="1:4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</row>
    <row r="266" spans="1:4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</row>
    <row r="267" spans="1:4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</row>
    <row r="268" spans="1:4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</row>
    <row r="269" spans="1:4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</row>
    <row r="270" spans="1:4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</row>
    <row r="271" spans="1:4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</row>
    <row r="272" spans="1:4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</row>
    <row r="273" spans="1:4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</row>
    <row r="274" spans="1:4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</row>
    <row r="275" spans="1:4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</row>
    <row r="276" spans="1:4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</row>
    <row r="277" spans="1:4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</row>
    <row r="278" spans="1:4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</row>
    <row r="279" spans="1:4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</row>
    <row r="280" spans="1:4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</row>
    <row r="281" spans="1:4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</row>
    <row r="282" spans="1:4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</row>
    <row r="283" spans="1:4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</row>
    <row r="284" spans="1:4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</row>
    <row r="285" spans="1:4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</row>
    <row r="286" spans="1:4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</row>
    <row r="287" spans="1:4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</row>
    <row r="288" spans="1:4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</row>
    <row r="289" spans="1:4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</row>
    <row r="290" spans="1:4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</row>
    <row r="291" spans="1:4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</row>
    <row r="292" spans="1:4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</row>
    <row r="293" spans="1:4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</row>
    <row r="294" spans="1:4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</row>
    <row r="295" spans="1:4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</row>
    <row r="296" spans="1:4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</row>
    <row r="297" spans="1:4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</row>
    <row r="298" spans="1:4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</row>
    <row r="299" spans="1:4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</row>
    <row r="300" spans="1:4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</row>
    <row r="301" spans="1:4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</row>
    <row r="302" spans="1:4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</row>
    <row r="303" spans="1:4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</row>
    <row r="304" spans="1:4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</row>
    <row r="305" spans="1:4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</row>
    <row r="306" spans="1:4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</row>
    <row r="307" spans="1:4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</row>
    <row r="308" spans="1:4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</row>
    <row r="309" spans="1:4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</row>
    <row r="310" spans="1:4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</row>
    <row r="311" spans="1:4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</row>
    <row r="312" spans="1:4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</row>
    <row r="313" spans="1:4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</row>
    <row r="314" spans="1:4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</row>
    <row r="315" spans="1:4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</row>
    <row r="316" spans="1:4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</row>
    <row r="317" spans="1:4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</row>
    <row r="318" spans="1:4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</row>
    <row r="319" spans="1:4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</row>
    <row r="320" spans="1:4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</row>
    <row r="321" spans="1:34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</row>
    <row r="322" spans="1:34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</row>
    <row r="323" spans="1:34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</row>
    <row r="324" spans="1:34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</row>
    <row r="325" spans="1:34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</row>
    <row r="326" spans="1:34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</row>
    <row r="327" spans="1:34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</row>
    <row r="328" spans="1:34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</row>
    <row r="329" spans="1:34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</row>
    <row r="330" spans="1:34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</row>
    <row r="331" spans="1:34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</row>
    <row r="332" spans="1:34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</row>
    <row r="333" spans="1:34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</row>
    <row r="334" spans="1:34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</row>
    <row r="335" spans="1:34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</row>
    <row r="336" spans="1:34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</row>
    <row r="337" spans="1:34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</row>
    <row r="338" spans="1:34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</row>
    <row r="339" spans="1:34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</row>
    <row r="340" spans="1:34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</row>
    <row r="341" spans="1:34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</row>
    <row r="342" spans="1:34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</row>
    <row r="343" spans="1:34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</row>
    <row r="344" spans="1:34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</row>
    <row r="345" spans="1:34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</row>
    <row r="346" spans="1:34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</row>
    <row r="347" spans="1:34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</row>
    <row r="348" spans="1:34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</row>
    <row r="349" spans="1:34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</row>
    <row r="350" spans="1:34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</row>
    <row r="351" spans="1:34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</row>
    <row r="352" spans="1:34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</row>
    <row r="353" spans="1:34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</row>
    <row r="354" spans="1:34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</row>
    <row r="355" spans="1:34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</row>
    <row r="356" spans="1:34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</row>
    <row r="357" spans="1:34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</row>
    <row r="358" spans="1:34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</row>
    <row r="359" spans="1:34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</row>
    <row r="360" spans="1:34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</row>
    <row r="361" spans="1:34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</row>
    <row r="362" spans="1:34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</row>
    <row r="363" spans="1:34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</row>
    <row r="364" spans="1:34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</row>
    <row r="365" spans="1:34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</row>
    <row r="366" spans="1:34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</row>
    <row r="367" spans="1:34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</row>
    <row r="368" spans="1:34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</row>
    <row r="369" spans="1:34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</row>
    <row r="370" spans="1:34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</row>
    <row r="371" spans="1:34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</row>
    <row r="372" spans="1:34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</row>
    <row r="373" spans="1:34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</row>
    <row r="374" spans="1:34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</row>
    <row r="375" spans="1:34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</row>
    <row r="376" spans="1:34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</row>
    <row r="377" spans="1:34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</row>
    <row r="378" spans="1:34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</row>
    <row r="379" spans="1:34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</row>
    <row r="380" spans="1:34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</row>
    <row r="381" spans="1:34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</row>
    <row r="382" spans="1:34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</row>
    <row r="383" spans="1:34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</row>
    <row r="384" spans="1:34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</row>
    <row r="385" spans="1:34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</row>
    <row r="386" spans="1:34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</row>
    <row r="387" spans="1:34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</row>
    <row r="388" spans="1:34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</row>
    <row r="389" spans="1:34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</row>
    <row r="390" spans="1:34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</row>
    <row r="391" spans="1:34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</row>
    <row r="392" spans="1:34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</row>
    <row r="393" spans="1:34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</row>
    <row r="394" spans="1:34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</row>
    <row r="395" spans="1:34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</row>
    <row r="396" spans="1:34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</row>
    <row r="397" spans="1:34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</row>
    <row r="398" spans="1:34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</row>
    <row r="399" spans="1:34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</row>
    <row r="400" spans="1:34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</row>
    <row r="401" spans="1:34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</row>
    <row r="402" spans="1:34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</row>
    <row r="403" spans="1:34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</row>
    <row r="404" spans="1:34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</row>
    <row r="405" spans="1:34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</row>
    <row r="406" spans="1:34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</row>
    <row r="407" spans="1:34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</row>
    <row r="408" spans="1:34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</row>
    <row r="409" spans="1:34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</row>
    <row r="410" spans="1:34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</row>
    <row r="411" spans="1:34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</row>
    <row r="412" spans="1:34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</row>
    <row r="413" spans="1:34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</row>
    <row r="414" spans="1:34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</row>
    <row r="415" spans="1:34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</row>
    <row r="416" spans="1:34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</row>
    <row r="417" spans="1:34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</row>
    <row r="418" spans="1:34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</row>
    <row r="419" spans="1:34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</row>
    <row r="420" spans="1:34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</row>
    <row r="421" spans="1:34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</row>
    <row r="422" spans="1:34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</row>
    <row r="423" spans="1:34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</row>
    <row r="424" spans="1:34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</row>
    <row r="425" spans="1:34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</row>
    <row r="426" spans="1:34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</row>
    <row r="427" spans="1:34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</row>
    <row r="428" spans="1:34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</row>
    <row r="429" spans="1:34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</row>
    <row r="430" spans="1:34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</row>
    <row r="431" spans="1:34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</row>
    <row r="432" spans="1:34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</row>
    <row r="433" spans="1:34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</row>
    <row r="434" spans="1:34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</row>
    <row r="435" spans="1:34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</row>
    <row r="436" spans="1:34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</row>
    <row r="437" spans="1:34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</row>
    <row r="438" spans="1:34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</row>
    <row r="439" spans="1:34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</row>
    <row r="440" spans="1:34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</row>
    <row r="441" spans="1:34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</row>
    <row r="442" spans="1:34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</row>
    <row r="443" spans="1:34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</row>
    <row r="444" spans="1:34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</row>
    <row r="445" spans="1:34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</row>
    <row r="446" spans="1:34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</row>
    <row r="447" spans="1:34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</row>
    <row r="448" spans="1:34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</row>
    <row r="449" spans="1:34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</row>
    <row r="450" spans="1:34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</row>
    <row r="451" spans="1:34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</row>
    <row r="452" spans="1:34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</row>
    <row r="453" spans="1:34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</row>
    <row r="454" spans="1:34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</row>
    <row r="455" spans="1:34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</row>
    <row r="456" spans="1:34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</row>
    <row r="457" spans="1:34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</row>
    <row r="458" spans="1:34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</row>
    <row r="459" spans="1:34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</row>
    <row r="460" spans="1:34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</row>
    <row r="461" spans="1:34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</row>
    <row r="462" spans="1:34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</row>
    <row r="463" spans="1:34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</row>
    <row r="464" spans="1:34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</row>
    <row r="465" spans="1:34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</row>
    <row r="466" spans="1:34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</row>
    <row r="467" spans="1:34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</row>
    <row r="468" spans="1:34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</row>
    <row r="469" spans="1:34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</row>
    <row r="470" spans="1:34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</row>
    <row r="471" spans="1:34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</row>
    <row r="472" spans="1:34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</row>
    <row r="473" spans="1:34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</row>
    <row r="474" spans="1:34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</row>
    <row r="475" spans="1:34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</row>
    <row r="476" spans="1:34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</row>
    <row r="477" spans="1:34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</row>
    <row r="478" spans="1:34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</row>
    <row r="479" spans="1:34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</row>
    <row r="480" spans="1:34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</row>
    <row r="481" spans="1:34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</row>
    <row r="482" spans="1:34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</row>
    <row r="483" spans="1:34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</row>
    <row r="484" spans="1:34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</row>
    <row r="485" spans="1:34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</row>
    <row r="486" spans="1:34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</row>
    <row r="487" spans="1:34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</row>
    <row r="488" spans="1:34" s="17" customForma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</row>
    <row r="489" spans="1:34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</row>
    <row r="490" spans="1:34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</row>
    <row r="491" spans="1:34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</row>
    <row r="492" spans="1:34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</row>
    <row r="493" spans="1:34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</row>
    <row r="494" spans="1:34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</row>
    <row r="495" spans="1:34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</row>
    <row r="496" spans="1:34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</row>
    <row r="497" spans="1:34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</row>
    <row r="498" spans="1:34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</row>
    <row r="499" spans="1:34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</row>
    <row r="500" spans="1:34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</row>
    <row r="501" spans="1:34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</row>
    <row r="502" spans="1:34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</row>
    <row r="503" spans="1:34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</row>
    <row r="504" spans="1:34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</row>
    <row r="505" spans="1:34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</row>
    <row r="506" spans="1:34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</row>
    <row r="507" spans="1:34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</row>
    <row r="508" spans="1:34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</row>
    <row r="509" spans="1:34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</row>
    <row r="510" spans="1:34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</row>
    <row r="511" spans="1:34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</row>
    <row r="512" spans="1:34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</row>
    <row r="513" spans="1:34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</row>
    <row r="514" spans="1:34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</row>
    <row r="515" spans="1:34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</row>
    <row r="516" spans="1:34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</row>
    <row r="517" spans="1:34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</row>
    <row r="518" spans="1:34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</row>
    <row r="519" spans="1:34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</row>
    <row r="520" spans="1:34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</row>
    <row r="521" spans="1:34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</row>
    <row r="522" spans="1:34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</row>
    <row r="523" spans="1:34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</row>
    <row r="524" spans="1:34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</row>
    <row r="525" spans="1:34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</row>
    <row r="526" spans="1:34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</row>
    <row r="527" spans="1:34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</row>
    <row r="528" spans="1:34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</row>
    <row r="529" spans="1:34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</row>
    <row r="530" spans="1:34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</row>
    <row r="531" spans="1:34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</row>
    <row r="532" spans="1:34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</row>
    <row r="533" spans="1:34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</row>
    <row r="534" spans="1:34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</row>
    <row r="535" spans="1:34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</row>
    <row r="536" spans="1:34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</row>
    <row r="537" spans="1:34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</row>
    <row r="538" spans="1:34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</row>
    <row r="539" spans="1:34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</row>
    <row r="540" spans="1:34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</row>
    <row r="541" spans="1:34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</row>
    <row r="542" spans="1:34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</row>
    <row r="543" spans="1:34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</row>
    <row r="544" spans="1:34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</row>
    <row r="545" spans="1:34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</row>
    <row r="546" spans="1:34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</row>
    <row r="547" spans="1:34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</row>
    <row r="548" spans="1:34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</row>
    <row r="549" spans="1:34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</row>
    <row r="550" spans="1:34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</row>
    <row r="551" spans="1:34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</row>
    <row r="552" spans="1:34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</row>
    <row r="553" spans="1:34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</row>
    <row r="554" spans="1:34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</row>
    <row r="555" spans="1:34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</row>
    <row r="556" spans="1:34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</row>
    <row r="557" spans="1:34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</row>
    <row r="558" spans="1:34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</row>
    <row r="559" spans="1:34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</row>
    <row r="560" spans="1:34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</row>
    <row r="561" spans="1:34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</row>
    <row r="562" spans="1:34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</row>
    <row r="563" spans="1:34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</row>
    <row r="564" spans="1:34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</row>
    <row r="565" spans="1:34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</row>
    <row r="566" spans="1:34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</row>
    <row r="567" spans="1:34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</row>
    <row r="568" spans="1:34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</row>
    <row r="569" spans="1:34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</row>
    <row r="570" spans="1:34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</row>
    <row r="571" spans="1:34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</row>
    <row r="572" spans="1:34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</row>
    <row r="573" spans="1:34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</row>
    <row r="574" spans="1:34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</row>
    <row r="575" spans="1:34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</row>
    <row r="576" spans="1:34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</row>
    <row r="577" spans="1:34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</row>
    <row r="578" spans="1:34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</row>
    <row r="579" spans="1:34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</row>
    <row r="580" spans="1:34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</row>
    <row r="581" spans="1:34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</row>
    <row r="582" spans="1:34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</row>
    <row r="583" spans="1:34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</row>
    <row r="584" spans="1:34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</row>
    <row r="585" spans="1:34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</row>
    <row r="586" spans="1:34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</row>
    <row r="587" spans="1:34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</row>
    <row r="588" spans="1:34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</row>
    <row r="589" spans="1:34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</row>
    <row r="590" spans="1:34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</row>
    <row r="591" spans="1:34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</row>
    <row r="592" spans="1:34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</row>
    <row r="593" spans="1:34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</row>
    <row r="594" spans="1:34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</row>
    <row r="595" spans="1:34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</row>
    <row r="596" spans="1:34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</row>
    <row r="597" spans="1:34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</row>
    <row r="598" spans="1:34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</row>
    <row r="599" spans="1:34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</row>
    <row r="600" spans="1:34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</row>
    <row r="601" spans="1:34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</row>
    <row r="602" spans="1:34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</row>
    <row r="603" spans="1:34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</row>
    <row r="604" spans="1:34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</row>
    <row r="605" spans="1:34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</row>
    <row r="606" spans="1:34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</row>
    <row r="607" spans="1:34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</row>
    <row r="608" spans="1:34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</row>
    <row r="609" spans="1:34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</row>
    <row r="610" spans="1:34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</row>
    <row r="611" spans="1:34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</row>
    <row r="612" spans="1:34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</row>
    <row r="613" spans="1:34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</row>
    <row r="614" spans="1:34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</row>
    <row r="615" spans="1:34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</row>
    <row r="616" spans="1:34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</row>
    <row r="617" spans="1:34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</row>
    <row r="618" spans="1:34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</row>
    <row r="619" spans="1:34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</row>
    <row r="620" spans="1:34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</row>
    <row r="621" spans="1:34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</row>
    <row r="622" spans="1:34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</row>
    <row r="623" spans="1:34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</row>
    <row r="624" spans="1:34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</row>
    <row r="625" spans="1:34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</row>
    <row r="626" spans="1:34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</row>
    <row r="627" spans="1:34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</row>
    <row r="628" spans="1:34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</row>
    <row r="629" spans="1:34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</row>
    <row r="630" spans="1:34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</row>
    <row r="631" spans="1:34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</row>
    <row r="632" spans="1:34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</row>
    <row r="633" spans="1:34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</row>
    <row r="634" spans="1:34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</row>
    <row r="635" spans="1:34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</row>
    <row r="636" spans="1:34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</row>
    <row r="637" spans="1:34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</row>
    <row r="638" spans="1:34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</row>
    <row r="639" spans="1:34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</row>
    <row r="640" spans="1:34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</row>
    <row r="641" spans="1:34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</row>
    <row r="642" spans="1:34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</row>
    <row r="643" spans="1:34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</row>
    <row r="644" spans="1:34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</row>
    <row r="645" spans="1:34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</row>
    <row r="646" spans="1:34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</row>
    <row r="647" spans="1:34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</row>
    <row r="648" spans="1:34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</row>
    <row r="649" spans="1:34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</row>
    <row r="650" spans="1:34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</row>
    <row r="651" spans="1:34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</row>
    <row r="652" spans="1:34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</row>
    <row r="653" spans="1:34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</row>
    <row r="654" spans="1:34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</row>
    <row r="655" spans="1:34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</row>
    <row r="656" spans="1:34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</row>
    <row r="657" spans="1:34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</row>
    <row r="658" spans="1:34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</row>
    <row r="659" spans="1:34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</row>
    <row r="660" spans="1:34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</row>
    <row r="661" spans="1:34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</row>
    <row r="662" spans="1:34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</row>
    <row r="663" spans="1:34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</row>
    <row r="664" spans="1:34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</row>
    <row r="665" spans="1:34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</row>
    <row r="666" spans="1:34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</row>
    <row r="667" spans="1:34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</row>
    <row r="668" spans="1:34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</row>
    <row r="669" spans="1:34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</row>
    <row r="670" spans="1:34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</row>
    <row r="671" spans="1:34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</row>
    <row r="672" spans="1:34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</row>
    <row r="673" spans="1:34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</row>
    <row r="674" spans="1:34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</row>
    <row r="675" spans="1:34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</row>
    <row r="676" spans="1:34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</row>
    <row r="677" spans="1:34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</row>
    <row r="678" spans="1:34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</row>
    <row r="679" spans="1:34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</row>
    <row r="680" spans="1:34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</row>
    <row r="681" spans="1:34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</row>
    <row r="682" spans="1:34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</row>
    <row r="683" spans="1:34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</row>
    <row r="684" spans="1:34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</row>
    <row r="685" spans="1:34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</row>
    <row r="686" spans="1:34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</row>
    <row r="687" spans="1:34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</row>
    <row r="688" spans="1:34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</row>
    <row r="689" spans="1:34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</row>
    <row r="690" spans="1:34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</row>
    <row r="691" spans="1:34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</row>
    <row r="692" spans="1:34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</row>
    <row r="693" spans="1:34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</row>
    <row r="694" spans="1:34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</row>
    <row r="695" spans="1:34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</row>
    <row r="696" spans="1:34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</row>
    <row r="697" spans="1:34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</row>
    <row r="698" spans="1:34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</row>
    <row r="699" spans="1:34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</row>
    <row r="700" spans="1:34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</row>
    <row r="701" spans="1:34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</row>
    <row r="702" spans="1:34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</row>
    <row r="703" spans="1:34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</row>
    <row r="704" spans="1:34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</row>
    <row r="705" spans="1:34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</row>
    <row r="706" spans="1:34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</row>
    <row r="707" spans="1:34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</row>
    <row r="708" spans="1:34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</row>
    <row r="709" spans="1:34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</row>
    <row r="710" spans="1:34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</row>
    <row r="711" spans="1:34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</row>
    <row r="712" spans="1:34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</row>
    <row r="713" spans="1:34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</row>
    <row r="714" spans="1:34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</row>
    <row r="715" spans="1:34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</row>
    <row r="716" spans="1:34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</row>
    <row r="717" spans="1:34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</row>
    <row r="718" spans="1:34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</row>
    <row r="719" spans="1:34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</row>
    <row r="720" spans="1:34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</row>
    <row r="721" spans="1:34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</row>
    <row r="722" spans="1:34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</row>
    <row r="723" spans="1:34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</row>
    <row r="724" spans="1:34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</row>
    <row r="725" spans="1:34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</row>
    <row r="726" spans="1:34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</row>
    <row r="727" spans="1:34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</row>
    <row r="728" spans="1:34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</row>
    <row r="729" spans="1:34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</row>
    <row r="730" spans="1:34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</row>
    <row r="731" spans="1:34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</row>
    <row r="732" spans="1:34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</row>
    <row r="733" spans="1:34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</row>
    <row r="734" spans="1:34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</row>
    <row r="735" spans="1:34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</row>
    <row r="736" spans="1:34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</row>
    <row r="737" spans="1:34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</row>
    <row r="738" spans="1:34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</row>
    <row r="739" spans="1:34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</row>
    <row r="740" spans="1:34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</row>
    <row r="741" spans="1:34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</row>
    <row r="742" spans="1:34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</row>
    <row r="743" spans="1:34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</row>
    <row r="744" spans="1:34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</row>
    <row r="745" spans="1:34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</row>
    <row r="746" spans="1:34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</row>
    <row r="747" spans="1:34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</row>
    <row r="748" spans="1:34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</row>
    <row r="749" spans="1:34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</row>
    <row r="750" spans="1:34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</row>
    <row r="751" spans="1:34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</row>
    <row r="752" spans="1:34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</row>
    <row r="753" spans="1:34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</row>
    <row r="754" spans="1:34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</row>
    <row r="755" spans="1:34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</row>
    <row r="756" spans="1:34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</row>
    <row r="757" spans="1:34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</row>
    <row r="758" spans="1:34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</row>
    <row r="759" spans="1:34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</row>
    <row r="760" spans="1:34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</row>
    <row r="761" spans="1:34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</row>
    <row r="762" spans="1:34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</row>
    <row r="763" spans="1:34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</row>
    <row r="764" spans="1:34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</row>
    <row r="765" spans="1:34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</row>
    <row r="766" spans="1:34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</row>
    <row r="767" spans="1:34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</row>
    <row r="768" spans="1:34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</row>
    <row r="769" spans="1:34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</row>
    <row r="770" spans="1:34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</row>
    <row r="771" spans="1:34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</row>
    <row r="772" spans="1:34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</row>
    <row r="773" spans="1:34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</row>
    <row r="774" spans="1:34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</row>
    <row r="775" spans="1:34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</row>
    <row r="776" spans="1:34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</row>
    <row r="777" spans="1:34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</row>
    <row r="778" spans="1:34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</row>
    <row r="779" spans="1:34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</row>
    <row r="780" spans="1:34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</row>
    <row r="781" spans="1:34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</row>
    <row r="782" spans="1:34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</row>
    <row r="783" spans="1:34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</row>
    <row r="784" spans="1:34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</row>
    <row r="785" spans="1:34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</row>
    <row r="786" spans="1:34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</row>
    <row r="787" spans="1:34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</row>
    <row r="788" spans="1:34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</row>
    <row r="789" spans="1:34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</row>
    <row r="790" spans="1:34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</row>
    <row r="791" spans="1:34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</row>
    <row r="792" spans="1:34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</row>
    <row r="793" spans="1:34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</row>
    <row r="794" spans="1:34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</row>
    <row r="795" spans="1:34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</row>
    <row r="796" spans="1:34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</row>
    <row r="797" spans="1:34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</row>
    <row r="798" spans="1:34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</row>
    <row r="799" spans="1:34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</row>
    <row r="800" spans="1:34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</row>
    <row r="801" spans="1:34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</row>
    <row r="802" spans="1:34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</row>
    <row r="803" spans="1:34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</row>
    <row r="804" spans="1:34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</row>
    <row r="805" spans="1:34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</row>
    <row r="806" spans="1:34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</row>
    <row r="807" spans="1:34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</row>
    <row r="808" spans="1:34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</row>
    <row r="809" spans="1:34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</row>
    <row r="810" spans="1:34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</row>
    <row r="811" spans="1:34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</row>
    <row r="812" spans="1:34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</row>
    <row r="813" spans="1:34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</row>
    <row r="814" spans="1:34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</row>
    <row r="815" spans="1:34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</row>
    <row r="816" spans="1:34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</row>
    <row r="817" spans="1:34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</row>
    <row r="818" spans="1:34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</row>
    <row r="819" spans="1:34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</row>
    <row r="820" spans="1:34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</row>
    <row r="821" spans="1:34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</row>
    <row r="822" spans="1:34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</row>
    <row r="823" spans="1:34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</row>
    <row r="824" spans="1:34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</row>
    <row r="825" spans="1:34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</row>
    <row r="826" spans="1:34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</row>
    <row r="827" spans="1:34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</row>
    <row r="828" spans="1:34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</row>
    <row r="829" spans="1:34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</row>
    <row r="830" spans="1:34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</row>
    <row r="831" spans="1:34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</row>
    <row r="832" spans="1:34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</row>
    <row r="833" spans="1:34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</row>
    <row r="834" spans="1:34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</row>
    <row r="835" spans="1:34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</row>
    <row r="836" spans="1:34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</row>
    <row r="837" spans="1:34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</row>
    <row r="838" spans="1:34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</row>
    <row r="839" spans="1:34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</row>
    <row r="840" spans="1:34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</row>
    <row r="841" spans="1:34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</row>
    <row r="842" spans="1:34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</row>
    <row r="843" spans="1:34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</row>
    <row r="844" spans="1:34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</row>
    <row r="845" spans="1:34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</row>
    <row r="846" spans="1:34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</row>
    <row r="847" spans="1:34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</row>
    <row r="848" spans="1:34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</row>
    <row r="849" spans="1:34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</row>
    <row r="850" spans="1:34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</row>
    <row r="851" spans="1:34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</row>
    <row r="852" spans="1:34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</row>
    <row r="853" spans="1:34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</row>
    <row r="854" spans="1:34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</row>
    <row r="855" spans="1:34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</row>
    <row r="856" spans="1:34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</row>
    <row r="857" spans="1:34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</row>
    <row r="858" spans="1:34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</row>
    <row r="859" spans="1:34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</row>
    <row r="860" spans="1:34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</row>
    <row r="861" spans="1:34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</row>
    <row r="862" spans="1:34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</row>
    <row r="863" spans="1:34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</row>
    <row r="864" spans="1:34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</row>
    <row r="865" spans="1:34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</row>
    <row r="866" spans="1:34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</row>
    <row r="867" spans="1:34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</row>
    <row r="868" spans="1:34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</row>
    <row r="869" spans="1:34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</row>
    <row r="870" spans="1:34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</row>
    <row r="871" spans="1:34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</row>
    <row r="872" spans="1:34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</row>
    <row r="873" spans="1:34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</row>
    <row r="874" spans="1:34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</row>
    <row r="875" spans="1:34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</row>
    <row r="876" spans="1:34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</row>
    <row r="877" spans="1:34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</row>
    <row r="878" spans="1:34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</row>
    <row r="879" spans="1:34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</row>
    <row r="880" spans="1:34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</row>
    <row r="881" spans="1:34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</row>
    <row r="882" spans="1:34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</row>
    <row r="883" spans="1:34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</row>
    <row r="884" spans="1:34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</row>
    <row r="885" spans="1:34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</row>
    <row r="886" spans="1:34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</row>
    <row r="887" spans="1:34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</row>
    <row r="888" spans="1:34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</row>
    <row r="889" spans="1:34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</row>
    <row r="890" spans="1:34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</row>
    <row r="891" spans="1:34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</row>
    <row r="892" spans="1:34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</row>
    <row r="893" spans="1:34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</row>
    <row r="894" spans="1:34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</row>
    <row r="895" spans="1:34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</row>
    <row r="896" spans="1:34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</row>
    <row r="897" spans="1:34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</row>
    <row r="898" spans="1:34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</row>
    <row r="899" spans="1:34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</row>
    <row r="900" spans="1:34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</row>
    <row r="901" spans="1:34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</row>
    <row r="902" spans="1:34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</row>
    <row r="903" spans="1:34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</row>
    <row r="904" spans="1:34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</row>
    <row r="905" spans="1:34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</row>
    <row r="906" spans="1:34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</row>
    <row r="907" spans="1:34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</row>
    <row r="908" spans="1:34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</row>
    <row r="909" spans="1:34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</row>
    <row r="910" spans="1:34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</row>
    <row r="911" spans="1:34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</row>
    <row r="912" spans="1:34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</row>
    <row r="913" spans="1:34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</row>
    <row r="914" spans="1:34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</row>
    <row r="915" spans="1:34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</row>
    <row r="916" spans="1:34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</row>
    <row r="917" spans="1:34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</row>
    <row r="918" spans="1:34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</row>
    <row r="919" spans="1:34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</row>
    <row r="920" spans="1:34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</row>
    <row r="921" spans="1:34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</row>
    <row r="922" spans="1:34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</row>
    <row r="923" spans="1:34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</row>
    <row r="924" spans="1:34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</row>
    <row r="925" spans="1:34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</row>
    <row r="926" spans="1:34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</row>
    <row r="927" spans="1:34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</row>
    <row r="928" spans="1:34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</row>
    <row r="929" spans="1:34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</row>
    <row r="930" spans="1:34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</row>
    <row r="931" spans="1:34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</row>
    <row r="932" spans="1:34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</row>
    <row r="933" spans="1:34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</row>
    <row r="934" spans="1:34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</row>
    <row r="935" spans="1:34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</row>
    <row r="936" spans="1:34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</row>
    <row r="937" spans="1:34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</row>
    <row r="938" spans="1:34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</row>
    <row r="939" spans="1:34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</row>
    <row r="940" spans="1:34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</row>
    <row r="941" spans="1:34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</row>
    <row r="942" spans="1:34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</row>
    <row r="943" spans="1:34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</row>
    <row r="944" spans="1:34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</row>
    <row r="945" spans="1:34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</row>
    <row r="946" spans="1:34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</row>
    <row r="947" spans="1:34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</row>
    <row r="948" spans="1:34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</row>
    <row r="949" spans="1:34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</row>
    <row r="950" spans="1:34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</row>
    <row r="951" spans="1:34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</row>
    <row r="952" spans="1:34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</row>
    <row r="953" spans="1:34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</row>
    <row r="954" spans="1:34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</row>
    <row r="955" spans="1:34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</row>
    <row r="956" spans="1:34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</row>
    <row r="957" spans="1:34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</row>
    <row r="958" spans="1:34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</row>
    <row r="959" spans="1:34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</row>
    <row r="960" spans="1:34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</row>
    <row r="961" spans="1:34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</row>
    <row r="962" spans="1:34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</row>
    <row r="963" spans="1:34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</row>
    <row r="964" spans="1:34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</row>
    <row r="965" spans="1:34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</row>
    <row r="966" spans="1:34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</row>
    <row r="967" spans="1:34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</row>
    <row r="968" spans="1:34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</row>
    <row r="969" spans="1:34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</row>
    <row r="970" spans="1:34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</row>
    <row r="971" spans="1:34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</row>
    <row r="972" spans="1:34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</row>
    <row r="973" spans="1:34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</row>
    <row r="974" spans="1:34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</row>
    <row r="975" spans="1:34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</row>
    <row r="976" spans="1:34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</row>
    <row r="977" spans="1:34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</row>
    <row r="978" spans="1:34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</row>
    <row r="979" spans="1:34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</row>
    <row r="980" spans="1:34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</row>
    <row r="981" spans="1:34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</row>
    <row r="982" spans="1:34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</row>
    <row r="983" spans="1:34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</row>
    <row r="984" spans="1:34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</row>
    <row r="985" spans="1:34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</row>
    <row r="986" spans="1:34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</row>
    <row r="987" spans="1:34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</row>
    <row r="988" spans="1:34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</row>
    <row r="989" spans="1:34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</row>
    <row r="990" spans="1:34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</row>
    <row r="991" spans="1:34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</row>
    <row r="992" spans="1:34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</row>
    <row r="993" spans="1:34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</row>
    <row r="994" spans="1:34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</row>
    <row r="995" spans="1:34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</row>
    <row r="996" spans="1:34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</row>
    <row r="997" spans="1:34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</row>
    <row r="998" spans="1:34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</row>
    <row r="999" spans="1:34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</row>
    <row r="1000" spans="1:34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</row>
    <row r="1001" spans="1:34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</row>
    <row r="1002" spans="1:34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</row>
    <row r="1003" spans="1:34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</row>
    <row r="1004" spans="1:34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</row>
    <row r="1005" spans="1:34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</row>
    <row r="1006" spans="1:34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</row>
    <row r="1007" spans="1:34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</row>
    <row r="1008" spans="1:34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</row>
    <row r="1009" spans="1:34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</row>
    <row r="1010" spans="1:34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</row>
    <row r="1011" spans="1:34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</row>
    <row r="1012" spans="1:34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</row>
    <row r="1013" spans="1:34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</row>
    <row r="1014" spans="1:34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</row>
    <row r="1015" spans="1:34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</row>
    <row r="1016" spans="1:34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</row>
    <row r="1017" spans="1:34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</row>
    <row r="1018" spans="1:34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</row>
    <row r="1019" spans="1:34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</row>
    <row r="1020" spans="1:34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</row>
    <row r="1021" spans="1:34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</row>
    <row r="1022" spans="1:34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</row>
    <row r="1023" spans="1:34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</row>
    <row r="1024" spans="1:34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</row>
    <row r="1025" spans="1:34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</row>
    <row r="1026" spans="1:34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</row>
    <row r="1027" spans="1:34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</row>
    <row r="1028" spans="1:34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</row>
    <row r="1029" spans="1:34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</row>
    <row r="1030" spans="1:34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</row>
    <row r="1031" spans="1:34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</row>
    <row r="1032" spans="1:34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</row>
    <row r="1033" spans="1:34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</row>
    <row r="1034" spans="1:34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</row>
    <row r="1035" spans="1:34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</row>
    <row r="1036" spans="1:34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</row>
    <row r="1037" spans="1:34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</row>
    <row r="1038" spans="1:34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</row>
    <row r="1039" spans="1:34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</row>
    <row r="1040" spans="1:34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</row>
    <row r="1041" spans="1:34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</row>
    <row r="1042" spans="1:34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</row>
    <row r="1043" spans="1:34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</row>
    <row r="1044" spans="1:34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</row>
    <row r="1045" spans="1:34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</row>
    <row r="1046" spans="1:34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</row>
    <row r="1047" spans="1:34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</row>
    <row r="1048" spans="1:34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</row>
    <row r="1049" spans="1:34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</row>
    <row r="1050" spans="1:34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</row>
    <row r="1051" spans="1:34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</row>
    <row r="1052" spans="1:34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</row>
    <row r="1053" spans="1:34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</row>
    <row r="1054" spans="1:34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</row>
    <row r="1055" spans="1:34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</row>
    <row r="1056" spans="1:34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</row>
    <row r="1057" spans="1:34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</row>
    <row r="1058" spans="1:34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</row>
    <row r="1059" spans="1:34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</row>
    <row r="1060" spans="1:34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</row>
    <row r="1061" spans="1:34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</row>
    <row r="1062" spans="1:34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</row>
    <row r="1063" spans="1:34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</row>
    <row r="1064" spans="1:34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</row>
    <row r="1065" spans="1:34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</row>
    <row r="1066" spans="1:34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</row>
    <row r="1067" spans="1:34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</row>
    <row r="1068" spans="1:34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</row>
    <row r="1069" spans="1:34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</row>
    <row r="1070" spans="1:34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</row>
    <row r="1071" spans="1:34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</row>
    <row r="1072" spans="1:34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</row>
    <row r="1073" spans="1:34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</row>
    <row r="1074" spans="1:34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</row>
    <row r="1075" spans="1:34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</row>
    <row r="1076" spans="1:34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</row>
    <row r="1077" spans="1:34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</row>
    <row r="1078" spans="1:34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</row>
    <row r="1079" spans="1:34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</row>
    <row r="1080" spans="1:34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</row>
    <row r="1081" spans="1:34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</row>
    <row r="1082" spans="1:34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</row>
    <row r="1083" spans="1:34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</row>
    <row r="1084" spans="1:34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</row>
    <row r="1085" spans="1:34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</row>
    <row r="1086" spans="1:34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</row>
    <row r="1087" spans="1:34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</row>
    <row r="1088" spans="1:34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</row>
    <row r="1089" spans="1:34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</row>
    <row r="1090" spans="1:34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</row>
    <row r="1091" spans="1:34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</row>
    <row r="1092" spans="1:34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</row>
    <row r="1093" spans="1:34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</row>
    <row r="1094" spans="1:34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</row>
    <row r="1095" spans="1:34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</row>
    <row r="1096" spans="1:34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8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</row>
    <row r="1097" spans="1:34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</row>
    <row r="1098" spans="1:34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</row>
    <row r="1099" spans="1:34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</row>
    <row r="1100" spans="1:34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</row>
    <row r="1101" spans="1:34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8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</row>
    <row r="1102" spans="1:34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8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</row>
    <row r="1103" spans="1:34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8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</row>
    <row r="1104" spans="1:34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</row>
    <row r="1105" spans="1:34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</row>
    <row r="1106" spans="1:34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</row>
    <row r="1107" spans="1:34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</row>
    <row r="1108" spans="1:34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</row>
    <row r="1109" spans="1:34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</row>
    <row r="1110" spans="1:34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</row>
    <row r="1111" spans="1:34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</row>
    <row r="1112" spans="1:34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</row>
    <row r="1113" spans="1:34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</row>
    <row r="1114" spans="1:34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</row>
    <row r="1115" spans="1:34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</row>
    <row r="1116" spans="1:34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</row>
    <row r="1117" spans="1:34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</row>
    <row r="1118" spans="1:34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</row>
    <row r="1119" spans="1:34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</row>
    <row r="1120" spans="1:34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</row>
    <row r="1121" spans="1:34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</row>
    <row r="1122" spans="1:34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</row>
    <row r="1123" spans="1:34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</row>
    <row r="1124" spans="1:34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</row>
    <row r="1125" spans="1:34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</row>
    <row r="1126" spans="1:34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</row>
    <row r="1127" spans="1:34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</row>
    <row r="1128" spans="1:34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</row>
    <row r="1129" spans="1:34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</row>
    <row r="1130" spans="1:34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</row>
    <row r="1131" spans="1:34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</row>
    <row r="1132" spans="1:34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</row>
    <row r="1133" spans="1:34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</row>
    <row r="1134" spans="1:34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</row>
    <row r="1135" spans="1:34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</row>
    <row r="1136" spans="1:34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</row>
    <row r="1137" spans="1:34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</row>
    <row r="1138" spans="1:34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</row>
    <row r="1139" spans="1:34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</row>
    <row r="1140" spans="1:34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</row>
    <row r="1141" spans="1:34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</row>
    <row r="1142" spans="1:34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</row>
    <row r="1143" spans="1:34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</row>
    <row r="1144" spans="1:34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</row>
    <row r="1145" spans="1:34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</row>
    <row r="1146" spans="1:34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</row>
    <row r="1147" spans="1:34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</row>
    <row r="1148" spans="1:34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</row>
    <row r="1149" spans="1:34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</row>
    <row r="1150" spans="1:34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</row>
    <row r="1151" spans="1:34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</row>
    <row r="1152" spans="1:34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</row>
    <row r="1153" spans="1:34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</row>
    <row r="1154" spans="1:34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</row>
    <row r="1155" spans="1:34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</row>
    <row r="1156" spans="1:34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  <c r="AF1156" s="1"/>
      <c r="AG1156" s="1"/>
      <c r="AH1156" s="1"/>
    </row>
    <row r="1157" spans="1:34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  <c r="AH1157" s="1"/>
    </row>
    <row r="1158" spans="1:34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  <c r="AH1158" s="1"/>
    </row>
    <row r="1159" spans="1:34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  <c r="AH1159" s="1"/>
    </row>
    <row r="1160" spans="1:34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  <c r="AH1160" s="1"/>
    </row>
    <row r="1161" spans="1:34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  <c r="AH1161" s="1"/>
    </row>
    <row r="1162" spans="1:34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  <c r="AH1162" s="1"/>
    </row>
    <row r="1163" spans="1:34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  <c r="AH1163" s="1"/>
    </row>
    <row r="1164" spans="1:34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  <c r="AH1164" s="1"/>
    </row>
    <row r="1165" spans="1:34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  <c r="AH1165" s="1"/>
    </row>
    <row r="1166" spans="1:34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  <c r="AH1166" s="1"/>
    </row>
    <row r="1167" spans="1:34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  <c r="AH1167" s="1"/>
    </row>
    <row r="1168" spans="1:34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  <c r="AH1168" s="1"/>
    </row>
    <row r="1169" spans="1:34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  <c r="AH1169" s="1"/>
    </row>
    <row r="1170" spans="1:34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  <c r="AH1170" s="1"/>
    </row>
    <row r="1171" spans="1:34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  <c r="AH1171" s="1"/>
    </row>
    <row r="1172" spans="1:34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  <c r="AH1172" s="1"/>
    </row>
    <row r="1173" spans="1:34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  <c r="AH1173" s="1"/>
    </row>
    <row r="1174" spans="1:34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  <c r="AH1174" s="1"/>
    </row>
    <row r="1175" spans="1:34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  <c r="AH1175" s="1"/>
    </row>
    <row r="1176" spans="1:34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  <c r="AH1176" s="1"/>
    </row>
    <row r="1177" spans="1:34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  <c r="AH1177" s="1"/>
    </row>
    <row r="1178" spans="1:34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  <c r="AH1178" s="1"/>
    </row>
    <row r="1179" spans="1:34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  <c r="AH1179" s="1"/>
    </row>
    <row r="1180" spans="1:34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  <c r="AH1180" s="1"/>
    </row>
    <row r="1181" spans="1:34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  <c r="AH1181" s="1"/>
    </row>
    <row r="1182" spans="1:34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  <c r="AH1182" s="1"/>
    </row>
    <row r="1183" spans="1:34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  <c r="AH1183" s="1"/>
    </row>
    <row r="1184" spans="1:34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  <c r="AH1184" s="1"/>
    </row>
    <row r="1185" spans="1:34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  <c r="AH1185" s="1"/>
    </row>
    <row r="1186" spans="1:34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  <c r="AH1186" s="1"/>
    </row>
    <row r="1187" spans="1:34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  <c r="AH1187" s="1"/>
    </row>
    <row r="1188" spans="1:34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  <c r="AH1188" s="1"/>
    </row>
    <row r="1189" spans="1:34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  <c r="AH1189" s="1"/>
    </row>
    <row r="1190" spans="1:34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  <c r="AH1190" s="1"/>
    </row>
    <row r="1191" spans="1:34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  <c r="AH1191" s="1"/>
    </row>
    <row r="1192" spans="1:34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  <c r="AH1192" s="1"/>
    </row>
    <row r="1193" spans="1:34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  <c r="AH1193" s="1"/>
    </row>
    <row r="1194" spans="1:34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  <c r="AH1194" s="1"/>
    </row>
    <row r="1195" spans="1:34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  <c r="AH1195" s="1"/>
    </row>
    <row r="1196" spans="1:34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  <c r="AH1196" s="1"/>
    </row>
    <row r="1197" spans="1:34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  <c r="AH1197" s="1"/>
    </row>
    <row r="1198" spans="1:34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  <c r="AH1198" s="1"/>
    </row>
    <row r="1199" spans="1:34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  <c r="AH1199" s="1"/>
    </row>
    <row r="1200" spans="1:34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  <c r="AH1200" s="1"/>
    </row>
    <row r="1201" spans="1:34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  <c r="AH1201" s="1"/>
    </row>
    <row r="1202" spans="1:34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  <c r="AC1202" s="1"/>
      <c r="AD1202" s="1"/>
      <c r="AE1202" s="1"/>
      <c r="AF1202" s="1"/>
      <c r="AG1202" s="1"/>
      <c r="AH1202" s="1"/>
    </row>
    <row r="1203" spans="1:34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  <c r="AC1203" s="1"/>
      <c r="AD1203" s="1"/>
      <c r="AE1203" s="1"/>
      <c r="AF1203" s="1"/>
      <c r="AG1203" s="1"/>
      <c r="AH1203" s="1"/>
    </row>
    <row r="1204" spans="1:34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  <c r="AC1204" s="1"/>
      <c r="AD1204" s="1"/>
      <c r="AE1204" s="1"/>
      <c r="AF1204" s="1"/>
      <c r="AG1204" s="1"/>
      <c r="AH1204" s="1"/>
    </row>
    <row r="1205" spans="1:34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  <c r="AC1205" s="1"/>
      <c r="AD1205" s="1"/>
      <c r="AE1205" s="1"/>
      <c r="AF1205" s="1"/>
      <c r="AG1205" s="1"/>
      <c r="AH1205" s="1"/>
    </row>
    <row r="1206" spans="1:34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  <c r="AC1206" s="1"/>
      <c r="AD1206" s="1"/>
      <c r="AE1206" s="1"/>
      <c r="AF1206" s="1"/>
      <c r="AG1206" s="1"/>
      <c r="AH1206" s="1"/>
    </row>
    <row r="1207" spans="1:34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"/>
      <c r="AC1207" s="1"/>
      <c r="AD1207" s="1"/>
      <c r="AE1207" s="1"/>
      <c r="AF1207" s="1"/>
      <c r="AG1207" s="1"/>
      <c r="AH1207" s="1"/>
    </row>
    <row r="1208" spans="1:34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  <c r="AC1208" s="1"/>
      <c r="AD1208" s="1"/>
      <c r="AE1208" s="1"/>
      <c r="AF1208" s="1"/>
      <c r="AG1208" s="1"/>
      <c r="AH1208" s="1"/>
    </row>
    <row r="1209" spans="1:34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  <c r="AC1209" s="1"/>
      <c r="AD1209" s="1"/>
      <c r="AE1209" s="1"/>
      <c r="AF1209" s="1"/>
      <c r="AG1209" s="1"/>
      <c r="AH1209" s="1"/>
    </row>
    <row r="1210" spans="1:34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  <c r="AC1210" s="1"/>
      <c r="AD1210" s="1"/>
      <c r="AE1210" s="1"/>
      <c r="AF1210" s="1"/>
      <c r="AG1210" s="1"/>
      <c r="AH1210" s="1"/>
    </row>
    <row r="1211" spans="1:34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  <c r="AC1211" s="1"/>
      <c r="AD1211" s="1"/>
      <c r="AE1211" s="1"/>
      <c r="AF1211" s="1"/>
      <c r="AG1211" s="1"/>
      <c r="AH1211" s="1"/>
    </row>
    <row r="1212" spans="1:34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  <c r="AC1212" s="1"/>
      <c r="AD1212" s="1"/>
      <c r="AE1212" s="1"/>
      <c r="AF1212" s="1"/>
      <c r="AG1212" s="1"/>
      <c r="AH1212" s="1"/>
    </row>
    <row r="1213" spans="1:34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  <c r="AC1213" s="1"/>
      <c r="AD1213" s="1"/>
      <c r="AE1213" s="1"/>
      <c r="AF1213" s="1"/>
      <c r="AG1213" s="1"/>
      <c r="AH1213" s="1"/>
    </row>
    <row r="1214" spans="1:34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  <c r="AC1214" s="1"/>
      <c r="AD1214" s="1"/>
      <c r="AE1214" s="1"/>
      <c r="AF1214" s="1"/>
      <c r="AG1214" s="1"/>
      <c r="AH1214" s="1"/>
    </row>
    <row r="1215" spans="1:34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  <c r="AC1215" s="1"/>
      <c r="AD1215" s="1"/>
      <c r="AE1215" s="1"/>
      <c r="AF1215" s="1"/>
      <c r="AG1215" s="1"/>
      <c r="AH1215" s="1"/>
    </row>
    <row r="1216" spans="1:34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  <c r="AC1216" s="1"/>
      <c r="AD1216" s="1"/>
      <c r="AE1216" s="1"/>
      <c r="AF1216" s="1"/>
      <c r="AG1216" s="1"/>
      <c r="AH1216" s="1"/>
    </row>
    <row r="1217" spans="1:34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  <c r="AC1217" s="1"/>
      <c r="AD1217" s="1"/>
      <c r="AE1217" s="1"/>
      <c r="AF1217" s="1"/>
      <c r="AG1217" s="1"/>
      <c r="AH1217" s="1"/>
    </row>
    <row r="1218" spans="1:34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"/>
      <c r="AC1218" s="1"/>
      <c r="AD1218" s="1"/>
      <c r="AE1218" s="1"/>
      <c r="AF1218" s="1"/>
      <c r="AG1218" s="1"/>
      <c r="AH1218" s="1"/>
    </row>
    <row r="1219" spans="1:34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  <c r="AC1219" s="1"/>
      <c r="AD1219" s="1"/>
      <c r="AE1219" s="1"/>
      <c r="AF1219" s="1"/>
      <c r="AG1219" s="1"/>
      <c r="AH1219" s="1"/>
    </row>
    <row r="1220" spans="1:34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  <c r="AC1220" s="1"/>
      <c r="AD1220" s="1"/>
      <c r="AE1220" s="1"/>
      <c r="AF1220" s="1"/>
      <c r="AG1220" s="1"/>
      <c r="AH1220" s="1"/>
    </row>
    <row r="1221" spans="1:34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  <c r="AC1221" s="1"/>
      <c r="AD1221" s="1"/>
      <c r="AE1221" s="1"/>
      <c r="AF1221" s="1"/>
      <c r="AG1221" s="1"/>
      <c r="AH1221" s="1"/>
    </row>
    <row r="1222" spans="1:34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  <c r="AC1222" s="1"/>
      <c r="AD1222" s="1"/>
      <c r="AE1222" s="1"/>
      <c r="AF1222" s="1"/>
      <c r="AG1222" s="1"/>
      <c r="AH1222" s="1"/>
    </row>
    <row r="1223" spans="1:34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  <c r="AC1223" s="1"/>
      <c r="AD1223" s="1"/>
      <c r="AE1223" s="1"/>
      <c r="AF1223" s="1"/>
      <c r="AG1223" s="1"/>
      <c r="AH1223" s="1"/>
    </row>
    <row r="1224" spans="1:34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  <c r="AC1224" s="1"/>
      <c r="AD1224" s="1"/>
      <c r="AE1224" s="1"/>
      <c r="AF1224" s="1"/>
      <c r="AG1224" s="1"/>
      <c r="AH1224" s="1"/>
    </row>
    <row r="1225" spans="1:34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  <c r="AC1225" s="1"/>
      <c r="AD1225" s="1"/>
      <c r="AE1225" s="1"/>
      <c r="AF1225" s="1"/>
      <c r="AG1225" s="1"/>
      <c r="AH1225" s="1"/>
    </row>
    <row r="1226" spans="1:34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  <c r="AC1226" s="1"/>
      <c r="AD1226" s="1"/>
      <c r="AE1226" s="1"/>
      <c r="AF1226" s="1"/>
      <c r="AG1226" s="1"/>
      <c r="AH1226" s="1"/>
    </row>
    <row r="1227" spans="1:34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  <c r="AC1227" s="1"/>
      <c r="AD1227" s="1"/>
      <c r="AE1227" s="1"/>
      <c r="AF1227" s="1"/>
      <c r="AG1227" s="1"/>
      <c r="AH1227" s="1"/>
    </row>
    <row r="1228" spans="1:34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  <c r="AC1228" s="1"/>
      <c r="AD1228" s="1"/>
      <c r="AE1228" s="1"/>
      <c r="AF1228" s="1"/>
      <c r="AG1228" s="1"/>
      <c r="AH1228" s="1"/>
    </row>
    <row r="1229" spans="1:34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  <c r="AC1229" s="1"/>
      <c r="AD1229" s="1"/>
      <c r="AE1229" s="1"/>
      <c r="AF1229" s="1"/>
      <c r="AG1229" s="1"/>
      <c r="AH1229" s="1"/>
    </row>
    <row r="1230" spans="1:34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  <c r="AC1230" s="1"/>
      <c r="AD1230" s="1"/>
      <c r="AE1230" s="1"/>
      <c r="AF1230" s="1"/>
      <c r="AG1230" s="1"/>
      <c r="AH1230" s="1"/>
    </row>
    <row r="1231" spans="1:34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  <c r="AC1231" s="1"/>
      <c r="AD1231" s="1"/>
      <c r="AE1231" s="1"/>
      <c r="AF1231" s="1"/>
      <c r="AG1231" s="1"/>
      <c r="AH1231" s="1"/>
    </row>
    <row r="1232" spans="1:34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  <c r="AC1232" s="1"/>
      <c r="AD1232" s="1"/>
      <c r="AE1232" s="1"/>
      <c r="AF1232" s="1"/>
      <c r="AG1232" s="1"/>
      <c r="AH1232" s="1"/>
    </row>
    <row r="1233" spans="1:34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  <c r="AC1233" s="1"/>
      <c r="AD1233" s="1"/>
      <c r="AE1233" s="1"/>
      <c r="AF1233" s="1"/>
      <c r="AG1233" s="1"/>
      <c r="AH1233" s="1"/>
    </row>
    <row r="1234" spans="1:34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  <c r="AC1234" s="1"/>
      <c r="AD1234" s="1"/>
      <c r="AE1234" s="1"/>
      <c r="AF1234" s="1"/>
      <c r="AG1234" s="1"/>
      <c r="AH1234" s="1"/>
    </row>
    <row r="1235" spans="1:34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  <c r="AC1235" s="1"/>
      <c r="AD1235" s="1"/>
      <c r="AE1235" s="1"/>
      <c r="AF1235" s="1"/>
      <c r="AG1235" s="1"/>
      <c r="AH1235" s="1"/>
    </row>
    <row r="1236" spans="1:34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  <c r="AC1236" s="1"/>
      <c r="AD1236" s="1"/>
      <c r="AE1236" s="1"/>
      <c r="AF1236" s="1"/>
      <c r="AG1236" s="1"/>
      <c r="AH1236" s="1"/>
    </row>
    <row r="1237" spans="1:34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  <c r="AC1237" s="1"/>
      <c r="AD1237" s="1"/>
      <c r="AE1237" s="1"/>
      <c r="AF1237" s="1"/>
      <c r="AG1237" s="1"/>
      <c r="AH1237" s="1"/>
    </row>
    <row r="1238" spans="1:34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  <c r="AC1238" s="1"/>
      <c r="AD1238" s="1"/>
      <c r="AE1238" s="1"/>
      <c r="AF1238" s="1"/>
      <c r="AG1238" s="1"/>
      <c r="AH1238" s="1"/>
    </row>
    <row r="1239" spans="1:34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  <c r="AC1239" s="1"/>
      <c r="AD1239" s="1"/>
      <c r="AE1239" s="1"/>
      <c r="AF1239" s="1"/>
      <c r="AG1239" s="1"/>
      <c r="AH1239" s="1"/>
    </row>
    <row r="1240" spans="1:34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  <c r="AC1240" s="1"/>
      <c r="AD1240" s="1"/>
      <c r="AE1240" s="1"/>
      <c r="AF1240" s="1"/>
      <c r="AG1240" s="1"/>
      <c r="AH1240" s="1"/>
    </row>
    <row r="1241" spans="1:34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  <c r="AC1241" s="1"/>
      <c r="AD1241" s="1"/>
      <c r="AE1241" s="1"/>
      <c r="AF1241" s="1"/>
      <c r="AG1241" s="1"/>
      <c r="AH1241" s="1"/>
    </row>
    <row r="1242" spans="1:34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  <c r="AC1242" s="1"/>
      <c r="AD1242" s="1"/>
      <c r="AE1242" s="1"/>
      <c r="AF1242" s="1"/>
      <c r="AG1242" s="1"/>
      <c r="AH1242" s="1"/>
    </row>
    <row r="1243" spans="1:34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  <c r="AC1243" s="1"/>
      <c r="AD1243" s="1"/>
      <c r="AE1243" s="1"/>
      <c r="AF1243" s="1"/>
      <c r="AG1243" s="1"/>
      <c r="AH1243" s="1"/>
    </row>
    <row r="1244" spans="1:34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  <c r="AC1244" s="1"/>
      <c r="AD1244" s="1"/>
      <c r="AE1244" s="1"/>
      <c r="AF1244" s="1"/>
      <c r="AG1244" s="1"/>
      <c r="AH1244" s="1"/>
    </row>
    <row r="1245" spans="1:34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  <c r="AC1245" s="1"/>
      <c r="AD1245" s="1"/>
      <c r="AE1245" s="1"/>
      <c r="AF1245" s="1"/>
      <c r="AG1245" s="1"/>
      <c r="AH1245" s="1"/>
    </row>
    <row r="1246" spans="1:34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  <c r="AC1246" s="1"/>
      <c r="AD1246" s="1"/>
      <c r="AE1246" s="1"/>
      <c r="AF1246" s="1"/>
      <c r="AG1246" s="1"/>
      <c r="AH1246" s="1"/>
    </row>
    <row r="1247" spans="1:34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  <c r="AC1247" s="1"/>
      <c r="AD1247" s="1"/>
      <c r="AE1247" s="1"/>
      <c r="AF1247" s="1"/>
      <c r="AG1247" s="1"/>
      <c r="AH1247" s="1"/>
    </row>
    <row r="1248" spans="1:34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  <c r="AC1248" s="1"/>
      <c r="AD1248" s="1"/>
      <c r="AE1248" s="1"/>
      <c r="AF1248" s="1"/>
      <c r="AG1248" s="1"/>
      <c r="AH1248" s="1"/>
    </row>
    <row r="1249" spans="1:34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  <c r="AC1249" s="1"/>
      <c r="AD1249" s="1"/>
      <c r="AE1249" s="1"/>
      <c r="AF1249" s="1"/>
      <c r="AG1249" s="1"/>
      <c r="AH1249" s="1"/>
    </row>
    <row r="1250" spans="1:34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  <c r="AC1250" s="1"/>
      <c r="AD1250" s="1"/>
      <c r="AE1250" s="1"/>
      <c r="AF1250" s="1"/>
      <c r="AG1250" s="1"/>
      <c r="AH1250" s="1"/>
    </row>
    <row r="1251" spans="1:34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  <c r="AC1251" s="1"/>
      <c r="AD1251" s="1"/>
      <c r="AE1251" s="1"/>
      <c r="AF1251" s="1"/>
      <c r="AG1251" s="1"/>
      <c r="AH1251" s="1"/>
    </row>
    <row r="1252" spans="1:34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  <c r="AC1252" s="1"/>
      <c r="AD1252" s="1"/>
      <c r="AE1252" s="1"/>
      <c r="AF1252" s="1"/>
      <c r="AG1252" s="1"/>
      <c r="AH1252" s="1"/>
    </row>
    <row r="1253" spans="1:34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  <c r="AC1253" s="1"/>
      <c r="AD1253" s="1"/>
      <c r="AE1253" s="1"/>
      <c r="AF1253" s="1"/>
      <c r="AG1253" s="1"/>
      <c r="AH1253" s="1"/>
    </row>
    <row r="1254" spans="1:34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  <c r="AC1254" s="1"/>
      <c r="AD1254" s="1"/>
      <c r="AE1254" s="1"/>
      <c r="AF1254" s="1"/>
      <c r="AG1254" s="1"/>
      <c r="AH1254" s="1"/>
    </row>
    <row r="1255" spans="1:34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  <c r="AC1255" s="1"/>
      <c r="AD1255" s="1"/>
      <c r="AE1255" s="1"/>
      <c r="AF1255" s="1"/>
      <c r="AG1255" s="1"/>
      <c r="AH1255" s="1"/>
    </row>
    <row r="1256" spans="1:34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  <c r="AC1256" s="1"/>
      <c r="AD1256" s="1"/>
      <c r="AE1256" s="1"/>
      <c r="AF1256" s="1"/>
      <c r="AG1256" s="1"/>
      <c r="AH1256" s="1"/>
    </row>
    <row r="1257" spans="1:34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  <c r="AC1257" s="1"/>
      <c r="AD1257" s="1"/>
      <c r="AE1257" s="1"/>
      <c r="AF1257" s="1"/>
      <c r="AG1257" s="1"/>
      <c r="AH1257" s="1"/>
    </row>
    <row r="1258" spans="1:34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  <c r="AC1258" s="1"/>
      <c r="AD1258" s="1"/>
      <c r="AE1258" s="1"/>
      <c r="AF1258" s="1"/>
      <c r="AG1258" s="1"/>
      <c r="AH1258" s="1"/>
    </row>
    <row r="1259" spans="1:34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  <c r="AC1259" s="1"/>
      <c r="AD1259" s="1"/>
      <c r="AE1259" s="1"/>
      <c r="AF1259" s="1"/>
      <c r="AG1259" s="1"/>
      <c r="AH1259" s="1"/>
    </row>
    <row r="1260" spans="1:34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  <c r="AC1260" s="1"/>
      <c r="AD1260" s="1"/>
      <c r="AE1260" s="1"/>
      <c r="AF1260" s="1"/>
      <c r="AG1260" s="1"/>
      <c r="AH1260" s="1"/>
    </row>
    <row r="1261" spans="1:34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  <c r="AC1261" s="1"/>
      <c r="AD1261" s="1"/>
      <c r="AE1261" s="1"/>
      <c r="AF1261" s="1"/>
      <c r="AG1261" s="1"/>
      <c r="AH1261" s="1"/>
    </row>
    <row r="1262" spans="1:34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  <c r="AC1262" s="1"/>
      <c r="AD1262" s="1"/>
      <c r="AE1262" s="1"/>
      <c r="AF1262" s="1"/>
      <c r="AG1262" s="1"/>
      <c r="AH1262" s="1"/>
    </row>
    <row r="1263" spans="1:34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  <c r="AC1263" s="1"/>
      <c r="AD1263" s="1"/>
      <c r="AE1263" s="1"/>
      <c r="AF1263" s="1"/>
      <c r="AG1263" s="1"/>
      <c r="AH1263" s="1"/>
    </row>
    <row r="1264" spans="1:34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"/>
      <c r="AC1264" s="1"/>
      <c r="AD1264" s="1"/>
      <c r="AE1264" s="1"/>
      <c r="AF1264" s="1"/>
      <c r="AG1264" s="1"/>
      <c r="AH1264" s="1"/>
    </row>
    <row r="1265" spans="1:34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  <c r="AC1265" s="1"/>
      <c r="AD1265" s="1"/>
      <c r="AE1265" s="1"/>
      <c r="AF1265" s="1"/>
      <c r="AG1265" s="1"/>
      <c r="AH1265" s="1"/>
    </row>
    <row r="1266" spans="1:34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  <c r="AC1266" s="1"/>
      <c r="AD1266" s="1"/>
      <c r="AE1266" s="1"/>
      <c r="AF1266" s="1"/>
      <c r="AG1266" s="1"/>
      <c r="AH1266" s="1"/>
    </row>
    <row r="1267" spans="1:34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  <c r="AC1267" s="1"/>
      <c r="AD1267" s="1"/>
      <c r="AE1267" s="1"/>
      <c r="AF1267" s="1"/>
      <c r="AG1267" s="1"/>
      <c r="AH1267" s="1"/>
    </row>
    <row r="1268" spans="1:34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  <c r="AC1268" s="1"/>
      <c r="AD1268" s="1"/>
      <c r="AE1268" s="1"/>
      <c r="AF1268" s="1"/>
      <c r="AG1268" s="1"/>
      <c r="AH1268" s="1"/>
    </row>
    <row r="1269" spans="1:34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  <c r="AC1269" s="1"/>
      <c r="AD1269" s="1"/>
      <c r="AE1269" s="1"/>
      <c r="AF1269" s="1"/>
      <c r="AG1269" s="1"/>
      <c r="AH1269" s="1"/>
    </row>
    <row r="1270" spans="1:34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  <c r="AC1270" s="1"/>
      <c r="AD1270" s="1"/>
      <c r="AE1270" s="1"/>
      <c r="AF1270" s="1"/>
      <c r="AG1270" s="1"/>
      <c r="AH1270" s="1"/>
    </row>
    <row r="1271" spans="1:34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  <c r="AC1271" s="1"/>
      <c r="AD1271" s="1"/>
      <c r="AE1271" s="1"/>
      <c r="AF1271" s="1"/>
      <c r="AG1271" s="1"/>
      <c r="AH1271" s="1"/>
    </row>
    <row r="1272" spans="1:34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  <c r="AC1272" s="1"/>
      <c r="AD1272" s="1"/>
      <c r="AE1272" s="1"/>
      <c r="AF1272" s="1"/>
      <c r="AG1272" s="1"/>
      <c r="AH1272" s="1"/>
    </row>
    <row r="1273" spans="1:34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  <c r="AC1273" s="1"/>
      <c r="AD1273" s="1"/>
      <c r="AE1273" s="1"/>
      <c r="AF1273" s="1"/>
      <c r="AG1273" s="1"/>
      <c r="AH1273" s="1"/>
    </row>
    <row r="1274" spans="1:34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  <c r="AC1274" s="1"/>
      <c r="AD1274" s="1"/>
      <c r="AE1274" s="1"/>
      <c r="AF1274" s="1"/>
      <c r="AG1274" s="1"/>
      <c r="AH1274" s="1"/>
    </row>
    <row r="1275" spans="1:34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  <c r="AC1275" s="1"/>
      <c r="AD1275" s="1"/>
      <c r="AE1275" s="1"/>
      <c r="AF1275" s="1"/>
      <c r="AG1275" s="1"/>
      <c r="AH1275" s="1"/>
    </row>
    <row r="1276" spans="1:34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  <c r="AC1276" s="1"/>
      <c r="AD1276" s="1"/>
      <c r="AE1276" s="1"/>
      <c r="AF1276" s="1"/>
      <c r="AG1276" s="1"/>
      <c r="AH1276" s="1"/>
    </row>
    <row r="1277" spans="1:34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  <c r="AC1277" s="1"/>
      <c r="AD1277" s="1"/>
      <c r="AE1277" s="1"/>
      <c r="AF1277" s="1"/>
      <c r="AG1277" s="1"/>
      <c r="AH1277" s="1"/>
    </row>
    <row r="1278" spans="1:34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  <c r="AC1278" s="1"/>
      <c r="AD1278" s="1"/>
      <c r="AE1278" s="1"/>
      <c r="AF1278" s="1"/>
      <c r="AG1278" s="1"/>
      <c r="AH1278" s="1"/>
    </row>
    <row r="1279" spans="1:34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  <c r="AC1279" s="1"/>
      <c r="AD1279" s="1"/>
      <c r="AE1279" s="1"/>
      <c r="AF1279" s="1"/>
      <c r="AG1279" s="1"/>
      <c r="AH1279" s="1"/>
    </row>
    <row r="1280" spans="1:34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  <c r="AC1280" s="1"/>
      <c r="AD1280" s="1"/>
      <c r="AE1280" s="1"/>
      <c r="AF1280" s="1"/>
      <c r="AG1280" s="1"/>
      <c r="AH1280" s="1"/>
    </row>
    <row r="1281" spans="1:34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  <c r="AC1281" s="1"/>
      <c r="AD1281" s="1"/>
      <c r="AE1281" s="1"/>
      <c r="AF1281" s="1"/>
      <c r="AG1281" s="1"/>
      <c r="AH1281" s="1"/>
    </row>
    <row r="1282" spans="1:34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  <c r="AC1282" s="1"/>
      <c r="AD1282" s="1"/>
      <c r="AE1282" s="1"/>
      <c r="AF1282" s="1"/>
      <c r="AG1282" s="1"/>
      <c r="AH1282" s="1"/>
    </row>
    <row r="1283" spans="1:34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  <c r="AC1283" s="1"/>
      <c r="AD1283" s="1"/>
      <c r="AE1283" s="1"/>
      <c r="AF1283" s="1"/>
      <c r="AG1283" s="1"/>
      <c r="AH1283" s="1"/>
    </row>
    <row r="1284" spans="1:34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  <c r="AC1284" s="1"/>
      <c r="AD1284" s="1"/>
      <c r="AE1284" s="1"/>
      <c r="AF1284" s="1"/>
      <c r="AG1284" s="1"/>
      <c r="AH1284" s="1"/>
    </row>
    <row r="1285" spans="1:34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  <c r="AC1285" s="1"/>
      <c r="AD1285" s="1"/>
      <c r="AE1285" s="1"/>
      <c r="AF1285" s="1"/>
      <c r="AG1285" s="1"/>
      <c r="AH1285" s="1"/>
    </row>
    <row r="1286" spans="1:34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  <c r="AC1286" s="1"/>
      <c r="AD1286" s="1"/>
      <c r="AE1286" s="1"/>
      <c r="AF1286" s="1"/>
      <c r="AG1286" s="1"/>
      <c r="AH1286" s="1"/>
    </row>
    <row r="1287" spans="1:34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  <c r="AC1287" s="1"/>
      <c r="AD1287" s="1"/>
      <c r="AE1287" s="1"/>
      <c r="AF1287" s="1"/>
      <c r="AG1287" s="1"/>
      <c r="AH1287" s="1"/>
    </row>
    <row r="1288" spans="1:34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"/>
      <c r="AC1288" s="1"/>
      <c r="AD1288" s="1"/>
      <c r="AE1288" s="1"/>
      <c r="AF1288" s="1"/>
      <c r="AG1288" s="1"/>
      <c r="AH1288" s="1"/>
    </row>
    <row r="1289" spans="1:34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  <c r="AC1289" s="1"/>
      <c r="AD1289" s="1"/>
      <c r="AE1289" s="1"/>
      <c r="AF1289" s="1"/>
      <c r="AG1289" s="1"/>
      <c r="AH1289" s="1"/>
    </row>
    <row r="1290" spans="1:34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  <c r="AC1290" s="1"/>
      <c r="AD1290" s="1"/>
      <c r="AE1290" s="1"/>
      <c r="AF1290" s="1"/>
      <c r="AG1290" s="1"/>
      <c r="AH1290" s="1"/>
    </row>
    <row r="1291" spans="1:34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  <c r="AC1291" s="1"/>
      <c r="AD1291" s="1"/>
      <c r="AE1291" s="1"/>
      <c r="AF1291" s="1"/>
      <c r="AG1291" s="1"/>
      <c r="AH1291" s="1"/>
    </row>
    <row r="1292" spans="1:34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  <c r="AC1292" s="1"/>
      <c r="AD1292" s="1"/>
      <c r="AE1292" s="1"/>
      <c r="AF1292" s="1"/>
      <c r="AG1292" s="1"/>
      <c r="AH1292" s="1"/>
    </row>
    <row r="1293" spans="1:34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"/>
      <c r="AC1293" s="1"/>
      <c r="AD1293" s="1"/>
      <c r="AE1293" s="1"/>
      <c r="AF1293" s="1"/>
      <c r="AG1293" s="1"/>
      <c r="AH1293" s="1"/>
    </row>
    <row r="1294" spans="1:34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  <c r="AC1294" s="1"/>
      <c r="AD1294" s="1"/>
      <c r="AE1294" s="1"/>
      <c r="AF1294" s="1"/>
      <c r="AG1294" s="1"/>
      <c r="AH1294" s="1"/>
    </row>
    <row r="1295" spans="1:34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  <c r="AC1295" s="1"/>
      <c r="AD1295" s="1"/>
      <c r="AE1295" s="1"/>
      <c r="AF1295" s="1"/>
      <c r="AG1295" s="1"/>
      <c r="AH1295" s="1"/>
    </row>
    <row r="1296" spans="1:34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  <c r="AC1296" s="1"/>
      <c r="AD1296" s="1"/>
      <c r="AE1296" s="1"/>
      <c r="AF1296" s="1"/>
      <c r="AG1296" s="1"/>
      <c r="AH1296" s="1"/>
    </row>
    <row r="1297" spans="1:34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  <c r="AC1297" s="1"/>
      <c r="AD1297" s="1"/>
      <c r="AE1297" s="1"/>
      <c r="AF1297" s="1"/>
      <c r="AG1297" s="1"/>
      <c r="AH1297" s="1"/>
    </row>
    <row r="1298" spans="1:34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  <c r="AC1298" s="1"/>
      <c r="AD1298" s="1"/>
      <c r="AE1298" s="1"/>
      <c r="AF1298" s="1"/>
      <c r="AG1298" s="1"/>
      <c r="AH1298" s="1"/>
    </row>
    <row r="1299" spans="1:34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  <c r="AC1299" s="1"/>
      <c r="AD1299" s="1"/>
      <c r="AE1299" s="1"/>
      <c r="AF1299" s="1"/>
      <c r="AG1299" s="1"/>
      <c r="AH1299" s="1"/>
    </row>
    <row r="1300" spans="1:34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  <c r="AC1300" s="1"/>
      <c r="AD1300" s="1"/>
      <c r="AE1300" s="1"/>
      <c r="AF1300" s="1"/>
      <c r="AG1300" s="1"/>
      <c r="AH1300" s="1"/>
    </row>
    <row r="1301" spans="1:34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  <c r="AC1301" s="1"/>
      <c r="AD1301" s="1"/>
      <c r="AE1301" s="1"/>
      <c r="AF1301" s="1"/>
      <c r="AG1301" s="1"/>
      <c r="AH1301" s="1"/>
    </row>
    <row r="1302" spans="1:34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  <c r="AC1302" s="1"/>
      <c r="AD1302" s="1"/>
      <c r="AE1302" s="1"/>
      <c r="AF1302" s="1"/>
      <c r="AG1302" s="1"/>
      <c r="AH1302" s="1"/>
    </row>
    <row r="1303" spans="1:34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  <c r="AC1303" s="1"/>
      <c r="AD1303" s="1"/>
      <c r="AE1303" s="1"/>
      <c r="AF1303" s="1"/>
      <c r="AG1303" s="1"/>
      <c r="AH1303" s="1"/>
    </row>
    <row r="1304" spans="1:34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  <c r="AC1304" s="1"/>
      <c r="AD1304" s="1"/>
      <c r="AE1304" s="1"/>
      <c r="AF1304" s="1"/>
      <c r="AG1304" s="1"/>
      <c r="AH1304" s="1"/>
    </row>
    <row r="1305" spans="1:34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"/>
      <c r="AC1305" s="1"/>
      <c r="AD1305" s="1"/>
      <c r="AE1305" s="1"/>
      <c r="AF1305" s="1"/>
      <c r="AG1305" s="1"/>
      <c r="AH1305" s="1"/>
    </row>
    <row r="1306" spans="1:34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  <c r="AC1306" s="1"/>
      <c r="AD1306" s="1"/>
      <c r="AE1306" s="1"/>
      <c r="AF1306" s="1"/>
      <c r="AG1306" s="1"/>
      <c r="AH1306" s="1"/>
    </row>
    <row r="1307" spans="1:34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  <c r="AC1307" s="1"/>
      <c r="AD1307" s="1"/>
      <c r="AE1307" s="1"/>
      <c r="AF1307" s="1"/>
      <c r="AG1307" s="1"/>
      <c r="AH1307" s="1"/>
    </row>
    <row r="1308" spans="1:34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  <c r="AD1308" s="1"/>
      <c r="AE1308" s="1"/>
      <c r="AF1308" s="1"/>
      <c r="AG1308" s="1"/>
      <c r="AH1308" s="1"/>
    </row>
    <row r="1309" spans="1:34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  <c r="AC1309" s="1"/>
      <c r="AD1309" s="1"/>
      <c r="AE1309" s="1"/>
      <c r="AF1309" s="1"/>
      <c r="AG1309" s="1"/>
      <c r="AH1309" s="1"/>
    </row>
    <row r="1310" spans="1:34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  <c r="AC1310" s="1"/>
      <c r="AD1310" s="1"/>
      <c r="AE1310" s="1"/>
      <c r="AF1310" s="1"/>
      <c r="AG1310" s="1"/>
      <c r="AH1310" s="1"/>
    </row>
    <row r="1311" spans="1:34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  <c r="AC1311" s="1"/>
      <c r="AD1311" s="1"/>
      <c r="AE1311" s="1"/>
      <c r="AF1311" s="1"/>
      <c r="AG1311" s="1"/>
      <c r="AH1311" s="1"/>
    </row>
    <row r="1312" spans="1:34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/>
      <c r="AC1312" s="1"/>
      <c r="AD1312" s="1"/>
      <c r="AE1312" s="1"/>
      <c r="AF1312" s="1"/>
      <c r="AG1312" s="1"/>
      <c r="AH1312" s="1"/>
    </row>
    <row r="1313" spans="1:34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"/>
      <c r="AC1313" s="1"/>
      <c r="AD1313" s="1"/>
      <c r="AE1313" s="1"/>
      <c r="AF1313" s="1"/>
      <c r="AG1313" s="1"/>
      <c r="AH1313" s="1"/>
    </row>
    <row r="1314" spans="1:34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/>
      <c r="AC1314" s="1"/>
      <c r="AD1314" s="1"/>
      <c r="AE1314" s="1"/>
      <c r="AF1314" s="1"/>
      <c r="AG1314" s="1"/>
      <c r="AH1314" s="1"/>
    </row>
    <row r="1315" spans="1:34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/>
      <c r="AC1315" s="1"/>
      <c r="AD1315" s="1"/>
      <c r="AE1315" s="1"/>
      <c r="AF1315" s="1"/>
      <c r="AG1315" s="1"/>
      <c r="AH1315" s="1"/>
    </row>
    <row r="1316" spans="1:34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"/>
      <c r="AC1316" s="1"/>
      <c r="AD1316" s="1"/>
      <c r="AE1316" s="1"/>
      <c r="AF1316" s="1"/>
      <c r="AG1316" s="1"/>
      <c r="AH1316" s="1"/>
    </row>
    <row r="1317" spans="1:34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"/>
      <c r="AC1317" s="1"/>
      <c r="AD1317" s="1"/>
      <c r="AE1317" s="1"/>
      <c r="AF1317" s="1"/>
      <c r="AG1317" s="1"/>
      <c r="AH1317" s="1"/>
    </row>
    <row r="1318" spans="1:34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"/>
      <c r="AC1318" s="1"/>
      <c r="AD1318" s="1"/>
      <c r="AE1318" s="1"/>
      <c r="AF1318" s="1"/>
      <c r="AG1318" s="1"/>
      <c r="AH1318" s="1"/>
    </row>
    <row r="1319" spans="1:34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"/>
      <c r="AC1319" s="1"/>
      <c r="AD1319" s="1"/>
      <c r="AE1319" s="1"/>
      <c r="AF1319" s="1"/>
      <c r="AG1319" s="1"/>
      <c r="AH1319" s="1"/>
    </row>
    <row r="1320" spans="1:34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"/>
      <c r="AC1320" s="1"/>
      <c r="AD1320" s="1"/>
      <c r="AE1320" s="1"/>
      <c r="AF1320" s="1"/>
      <c r="AG1320" s="1"/>
      <c r="AH1320" s="1"/>
    </row>
    <row r="1321" spans="1:34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"/>
      <c r="AC1321" s="1"/>
      <c r="AD1321" s="1"/>
      <c r="AE1321" s="1"/>
      <c r="AF1321" s="1"/>
      <c r="AG1321" s="1"/>
      <c r="AH1321" s="1"/>
    </row>
    <row r="1322" spans="1:34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"/>
      <c r="AC1322" s="1"/>
      <c r="AD1322" s="1"/>
      <c r="AE1322" s="1"/>
      <c r="AF1322" s="1"/>
      <c r="AG1322" s="1"/>
      <c r="AH1322" s="1"/>
    </row>
    <row r="1323" spans="1:34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"/>
      <c r="AC1323" s="1"/>
      <c r="AD1323" s="1"/>
      <c r="AE1323" s="1"/>
      <c r="AF1323" s="1"/>
      <c r="AG1323" s="1"/>
      <c r="AH1323" s="1"/>
    </row>
    <row r="1324" spans="1:34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"/>
      <c r="AC1324" s="1"/>
      <c r="AD1324" s="1"/>
      <c r="AE1324" s="1"/>
      <c r="AF1324" s="1"/>
      <c r="AG1324" s="1"/>
      <c r="AH1324" s="1"/>
    </row>
    <row r="1325" spans="1:34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"/>
      <c r="AC1325" s="1"/>
      <c r="AD1325" s="1"/>
      <c r="AE1325" s="1"/>
      <c r="AF1325" s="1"/>
      <c r="AG1325" s="1"/>
      <c r="AH1325" s="1"/>
    </row>
    <row r="1326" spans="1:34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"/>
      <c r="AC1326" s="1"/>
      <c r="AD1326" s="1"/>
      <c r="AE1326" s="1"/>
      <c r="AF1326" s="1"/>
      <c r="AG1326" s="1"/>
      <c r="AH1326" s="1"/>
    </row>
    <row r="1327" spans="1:34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"/>
      <c r="AC1327" s="1"/>
      <c r="AD1327" s="1"/>
      <c r="AE1327" s="1"/>
      <c r="AF1327" s="1"/>
      <c r="AG1327" s="1"/>
      <c r="AH1327" s="1"/>
    </row>
    <row r="1328" spans="1:34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"/>
      <c r="AC1328" s="1"/>
      <c r="AD1328" s="1"/>
      <c r="AE1328" s="1"/>
      <c r="AF1328" s="1"/>
      <c r="AG1328" s="1"/>
      <c r="AH1328" s="1"/>
    </row>
    <row r="1329" spans="1:34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"/>
      <c r="AC1329" s="1"/>
      <c r="AD1329" s="1"/>
      <c r="AE1329" s="1"/>
      <c r="AF1329" s="1"/>
      <c r="AG1329" s="1"/>
      <c r="AH1329" s="1"/>
    </row>
    <row r="1330" spans="1:34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"/>
      <c r="AC1330" s="1"/>
      <c r="AD1330" s="1"/>
      <c r="AE1330" s="1"/>
      <c r="AF1330" s="1"/>
      <c r="AG1330" s="1"/>
      <c r="AH1330" s="1"/>
    </row>
    <row r="1331" spans="1:34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"/>
      <c r="AC1331" s="1"/>
      <c r="AD1331" s="1"/>
      <c r="AE1331" s="1"/>
      <c r="AF1331" s="1"/>
      <c r="AG1331" s="1"/>
      <c r="AH1331" s="1"/>
    </row>
    <row r="1332" spans="1:34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"/>
      <c r="AC1332" s="1"/>
      <c r="AD1332" s="1"/>
      <c r="AE1332" s="1"/>
      <c r="AF1332" s="1"/>
      <c r="AG1332" s="1"/>
      <c r="AH1332" s="1"/>
    </row>
    <row r="1333" spans="1:34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"/>
      <c r="AC1333" s="1"/>
      <c r="AD1333" s="1"/>
      <c r="AE1333" s="1"/>
      <c r="AF1333" s="1"/>
      <c r="AG1333" s="1"/>
      <c r="AH1333" s="1"/>
    </row>
    <row r="1334" spans="1:34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"/>
      <c r="AC1334" s="1"/>
      <c r="AD1334" s="1"/>
      <c r="AE1334" s="1"/>
      <c r="AF1334" s="1"/>
      <c r="AG1334" s="1"/>
      <c r="AH1334" s="1"/>
    </row>
    <row r="1335" spans="1:34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"/>
      <c r="AC1335" s="1"/>
      <c r="AD1335" s="1"/>
      <c r="AE1335" s="1"/>
      <c r="AF1335" s="1"/>
      <c r="AG1335" s="1"/>
      <c r="AH1335" s="1"/>
    </row>
    <row r="1336" spans="1:34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"/>
      <c r="AC1336" s="1"/>
      <c r="AD1336" s="1"/>
      <c r="AE1336" s="1"/>
      <c r="AF1336" s="1"/>
      <c r="AG1336" s="1"/>
      <c r="AH1336" s="1"/>
    </row>
    <row r="1337" spans="1:34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"/>
      <c r="AC1337" s="1"/>
      <c r="AD1337" s="1"/>
      <c r="AE1337" s="1"/>
      <c r="AF1337" s="1"/>
      <c r="AG1337" s="1"/>
      <c r="AH1337" s="1"/>
    </row>
    <row r="1338" spans="1:34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"/>
      <c r="AC1338" s="1"/>
      <c r="AD1338" s="1"/>
      <c r="AE1338" s="1"/>
      <c r="AF1338" s="1"/>
      <c r="AG1338" s="1"/>
      <c r="AH1338" s="1"/>
    </row>
    <row r="1339" spans="1:34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"/>
      <c r="AC1339" s="1"/>
      <c r="AD1339" s="1"/>
      <c r="AE1339" s="1"/>
      <c r="AF1339" s="1"/>
      <c r="AG1339" s="1"/>
      <c r="AH1339" s="1"/>
    </row>
    <row r="1340" spans="1:34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"/>
      <c r="AC1340" s="1"/>
      <c r="AD1340" s="1"/>
      <c r="AE1340" s="1"/>
      <c r="AF1340" s="1"/>
      <c r="AG1340" s="1"/>
      <c r="AH1340" s="1"/>
    </row>
    <row r="1341" spans="1:34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"/>
      <c r="AC1341" s="1"/>
      <c r="AD1341" s="1"/>
      <c r="AE1341" s="1"/>
      <c r="AF1341" s="1"/>
      <c r="AG1341" s="1"/>
      <c r="AH1341" s="1"/>
    </row>
    <row r="1342" spans="1:34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"/>
      <c r="AC1342" s="1"/>
      <c r="AD1342" s="1"/>
      <c r="AE1342" s="1"/>
      <c r="AF1342" s="1"/>
      <c r="AG1342" s="1"/>
      <c r="AH1342" s="1"/>
    </row>
    <row r="1343" spans="1:34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"/>
      <c r="AC1343" s="1"/>
      <c r="AD1343" s="1"/>
      <c r="AE1343" s="1"/>
      <c r="AF1343" s="1"/>
      <c r="AG1343" s="1"/>
      <c r="AH1343" s="1"/>
    </row>
    <row r="1344" spans="1:34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"/>
      <c r="AC1344" s="1"/>
      <c r="AD1344" s="1"/>
      <c r="AE1344" s="1"/>
      <c r="AF1344" s="1"/>
      <c r="AG1344" s="1"/>
      <c r="AH1344" s="1"/>
    </row>
    <row r="1345" spans="1:34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"/>
      <c r="AC1345" s="1"/>
      <c r="AD1345" s="1"/>
      <c r="AE1345" s="1"/>
      <c r="AF1345" s="1"/>
      <c r="AG1345" s="1"/>
      <c r="AH1345" s="1"/>
    </row>
    <row r="1346" spans="1:34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"/>
      <c r="AC1346" s="1"/>
      <c r="AD1346" s="1"/>
      <c r="AE1346" s="1"/>
      <c r="AF1346" s="1"/>
      <c r="AG1346" s="1"/>
      <c r="AH1346" s="1"/>
    </row>
    <row r="1347" spans="1:34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"/>
      <c r="AC1347" s="1"/>
      <c r="AD1347" s="1"/>
      <c r="AE1347" s="1"/>
      <c r="AF1347" s="1"/>
      <c r="AG1347" s="1"/>
      <c r="AH1347" s="1"/>
    </row>
    <row r="1348" spans="1:34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/>
      <c r="AC1348" s="1"/>
      <c r="AD1348" s="1"/>
      <c r="AE1348" s="1"/>
      <c r="AF1348" s="1"/>
      <c r="AG1348" s="1"/>
      <c r="AH1348" s="1"/>
    </row>
    <row r="1349" spans="1:34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/>
      <c r="AC1349" s="1"/>
      <c r="AD1349" s="1"/>
      <c r="AE1349" s="1"/>
      <c r="AF1349" s="1"/>
      <c r="AG1349" s="1"/>
      <c r="AH1349" s="1"/>
    </row>
    <row r="1350" spans="1:34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/>
      <c r="AC1350" s="1"/>
      <c r="AD1350" s="1"/>
      <c r="AE1350" s="1"/>
      <c r="AF1350" s="1"/>
      <c r="AG1350" s="1"/>
      <c r="AH1350" s="1"/>
    </row>
    <row r="1351" spans="1:34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/>
      <c r="AC1351" s="1"/>
      <c r="AD1351" s="1"/>
      <c r="AE1351" s="1"/>
      <c r="AF1351" s="1"/>
      <c r="AG1351" s="1"/>
      <c r="AH1351" s="1"/>
    </row>
    <row r="1352" spans="1:34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"/>
      <c r="AC1352" s="1"/>
      <c r="AD1352" s="1"/>
      <c r="AE1352" s="1"/>
      <c r="AF1352" s="1"/>
      <c r="AG1352" s="1"/>
      <c r="AH1352" s="1"/>
    </row>
    <row r="1353" spans="1:34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/>
      <c r="AC1353" s="1"/>
      <c r="AD1353" s="1"/>
      <c r="AE1353" s="1"/>
      <c r="AF1353" s="1"/>
      <c r="AG1353" s="1"/>
      <c r="AH1353" s="1"/>
    </row>
    <row r="1354" spans="1:34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"/>
      <c r="AC1354" s="1"/>
      <c r="AD1354" s="1"/>
      <c r="AE1354" s="1"/>
      <c r="AF1354" s="1"/>
      <c r="AG1354" s="1"/>
      <c r="AH1354" s="1"/>
    </row>
    <row r="1355" spans="1:34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"/>
      <c r="AC1355" s="1"/>
      <c r="AD1355" s="1"/>
      <c r="AE1355" s="1"/>
      <c r="AF1355" s="1"/>
      <c r="AG1355" s="1"/>
      <c r="AH1355" s="1"/>
    </row>
    <row r="1356" spans="1:34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"/>
      <c r="AC1356" s="1"/>
      <c r="AD1356" s="1"/>
      <c r="AE1356" s="1"/>
      <c r="AF1356" s="1"/>
      <c r="AG1356" s="1"/>
      <c r="AH1356" s="1"/>
    </row>
    <row r="1357" spans="1:34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"/>
      <c r="AC1357" s="1"/>
      <c r="AD1357" s="1"/>
      <c r="AE1357" s="1"/>
      <c r="AF1357" s="1"/>
      <c r="AG1357" s="1"/>
      <c r="AH1357" s="1"/>
    </row>
    <row r="1358" spans="1:34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"/>
      <c r="AC1358" s="1"/>
      <c r="AD1358" s="1"/>
      <c r="AE1358" s="1"/>
      <c r="AF1358" s="1"/>
      <c r="AG1358" s="1"/>
      <c r="AH1358" s="1"/>
    </row>
    <row r="1359" spans="1:34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"/>
      <c r="AC1359" s="1"/>
      <c r="AD1359" s="1"/>
      <c r="AE1359" s="1"/>
      <c r="AF1359" s="1"/>
      <c r="AG1359" s="1"/>
      <c r="AH1359" s="1"/>
    </row>
    <row r="1360" spans="1:34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"/>
      <c r="AC1360" s="1"/>
      <c r="AD1360" s="1"/>
      <c r="AE1360" s="1"/>
      <c r="AF1360" s="1"/>
      <c r="AG1360" s="1"/>
      <c r="AH1360" s="1"/>
    </row>
    <row r="1361" spans="1:34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"/>
      <c r="AC1361" s="1"/>
      <c r="AD1361" s="1"/>
      <c r="AE1361" s="1"/>
      <c r="AF1361" s="1"/>
      <c r="AG1361" s="1"/>
      <c r="AH1361" s="1"/>
    </row>
    <row r="1362" spans="1:34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"/>
      <c r="AC1362" s="1"/>
      <c r="AD1362" s="1"/>
      <c r="AE1362" s="1"/>
      <c r="AF1362" s="1"/>
      <c r="AG1362" s="1"/>
      <c r="AH1362" s="1"/>
    </row>
    <row r="1363" spans="1:34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"/>
      <c r="AC1363" s="1"/>
      <c r="AD1363" s="1"/>
      <c r="AE1363" s="1"/>
      <c r="AF1363" s="1"/>
      <c r="AG1363" s="1"/>
      <c r="AH1363" s="1"/>
    </row>
    <row r="1364" spans="1:34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"/>
      <c r="AC1364" s="1"/>
      <c r="AD1364" s="1"/>
      <c r="AE1364" s="1"/>
      <c r="AF1364" s="1"/>
      <c r="AG1364" s="1"/>
      <c r="AH1364" s="1"/>
    </row>
    <row r="1365" spans="1:34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"/>
      <c r="AC1365" s="1"/>
      <c r="AD1365" s="1"/>
      <c r="AE1365" s="1"/>
      <c r="AF1365" s="1"/>
      <c r="AG1365" s="1"/>
      <c r="AH1365" s="1"/>
    </row>
    <row r="1366" spans="1:34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/>
      <c r="AC1366" s="1"/>
      <c r="AD1366" s="1"/>
      <c r="AE1366" s="1"/>
      <c r="AF1366" s="1"/>
      <c r="AG1366" s="1"/>
      <c r="AH1366" s="1"/>
    </row>
    <row r="1367" spans="1:34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/>
      <c r="AC1367" s="1"/>
      <c r="AD1367" s="1"/>
      <c r="AE1367" s="1"/>
      <c r="AF1367" s="1"/>
      <c r="AG1367" s="1"/>
      <c r="AH1367" s="1"/>
    </row>
    <row r="1368" spans="1:34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/>
      <c r="AC1368" s="1"/>
      <c r="AD1368" s="1"/>
      <c r="AE1368" s="1"/>
      <c r="AF1368" s="1"/>
      <c r="AG1368" s="1"/>
      <c r="AH1368" s="1"/>
    </row>
    <row r="1369" spans="1:34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/>
      <c r="AC1369" s="1"/>
      <c r="AD1369" s="1"/>
      <c r="AE1369" s="1"/>
      <c r="AF1369" s="1"/>
      <c r="AG1369" s="1"/>
      <c r="AH1369" s="1"/>
    </row>
    <row r="1370" spans="1:34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"/>
      <c r="AC1370" s="1"/>
      <c r="AD1370" s="1"/>
      <c r="AE1370" s="1"/>
      <c r="AF1370" s="1"/>
      <c r="AG1370" s="1"/>
      <c r="AH1370" s="1"/>
    </row>
    <row r="1371" spans="1:34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/>
      <c r="AC1371" s="1"/>
      <c r="AD1371" s="1"/>
      <c r="AE1371" s="1"/>
      <c r="AF1371" s="1"/>
      <c r="AG1371" s="1"/>
      <c r="AH1371" s="1"/>
    </row>
    <row r="1372" spans="1:34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/>
      <c r="AC1372" s="1"/>
      <c r="AD1372" s="1"/>
      <c r="AE1372" s="1"/>
      <c r="AF1372" s="1"/>
      <c r="AG1372" s="1"/>
      <c r="AH1372" s="1"/>
    </row>
    <row r="1373" spans="1:34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/>
      <c r="AC1373" s="1"/>
      <c r="AD1373" s="1"/>
      <c r="AE1373" s="1"/>
      <c r="AF1373" s="1"/>
      <c r="AG1373" s="1"/>
      <c r="AH1373" s="1"/>
    </row>
    <row r="1374" spans="1:34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/>
      <c r="AC1374" s="1"/>
      <c r="AD1374" s="1"/>
      <c r="AE1374" s="1"/>
      <c r="AF1374" s="1"/>
      <c r="AG1374" s="1"/>
      <c r="AH1374" s="1"/>
    </row>
    <row r="1375" spans="1:34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/>
      <c r="AC1375" s="1"/>
      <c r="AD1375" s="1"/>
      <c r="AE1375" s="1"/>
      <c r="AF1375" s="1"/>
      <c r="AG1375" s="1"/>
      <c r="AH1375" s="1"/>
    </row>
    <row r="1376" spans="1:34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/>
      <c r="AC1376" s="1"/>
      <c r="AD1376" s="1"/>
      <c r="AE1376" s="1"/>
      <c r="AF1376" s="1"/>
      <c r="AG1376" s="1"/>
      <c r="AH1376" s="1"/>
    </row>
    <row r="1377" spans="1:34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/>
      <c r="AC1377" s="1"/>
      <c r="AD1377" s="1"/>
      <c r="AE1377" s="1"/>
      <c r="AF1377" s="1"/>
      <c r="AG1377" s="1"/>
      <c r="AH1377" s="1"/>
    </row>
    <row r="1378" spans="1:34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"/>
      <c r="AC1378" s="1"/>
      <c r="AD1378" s="1"/>
      <c r="AE1378" s="1"/>
      <c r="AF1378" s="1"/>
      <c r="AG1378" s="1"/>
      <c r="AH1378" s="1"/>
    </row>
    <row r="1379" spans="1:34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"/>
      <c r="AC1379" s="1"/>
      <c r="AD1379" s="1"/>
      <c r="AE1379" s="1"/>
      <c r="AF1379" s="1"/>
      <c r="AG1379" s="1"/>
      <c r="AH1379" s="1"/>
    </row>
    <row r="1380" spans="1:34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"/>
      <c r="AC1380" s="1"/>
      <c r="AD1380" s="1"/>
      <c r="AE1380" s="1"/>
      <c r="AF1380" s="1"/>
      <c r="AG1380" s="1"/>
      <c r="AH1380" s="1"/>
    </row>
    <row r="1381" spans="1:34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"/>
      <c r="AC1381" s="1"/>
      <c r="AD1381" s="1"/>
      <c r="AE1381" s="1"/>
      <c r="AF1381" s="1"/>
      <c r="AG1381" s="1"/>
      <c r="AH1381" s="1"/>
    </row>
    <row r="1382" spans="1:34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  <c r="AC1382" s="1"/>
      <c r="AD1382" s="1"/>
      <c r="AE1382" s="1"/>
      <c r="AF1382" s="1"/>
      <c r="AG1382" s="1"/>
      <c r="AH1382" s="1"/>
    </row>
    <row r="1383" spans="1:34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  <c r="AC1383" s="1"/>
      <c r="AD1383" s="1"/>
      <c r="AE1383" s="1"/>
      <c r="AF1383" s="1"/>
      <c r="AG1383" s="1"/>
      <c r="AH1383" s="1"/>
    </row>
    <row r="1384" spans="1:34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"/>
      <c r="AC1384" s="1"/>
      <c r="AD1384" s="1"/>
      <c r="AE1384" s="1"/>
      <c r="AF1384" s="1"/>
      <c r="AG1384" s="1"/>
      <c r="AH1384" s="1"/>
    </row>
    <row r="1385" spans="1:34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"/>
      <c r="AC1385" s="1"/>
      <c r="AD1385" s="1"/>
      <c r="AE1385" s="1"/>
      <c r="AF1385" s="1"/>
      <c r="AG1385" s="1"/>
      <c r="AH1385" s="1"/>
    </row>
    <row r="1386" spans="1:34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/>
      <c r="AC1386" s="1"/>
      <c r="AD1386" s="1"/>
      <c r="AE1386" s="1"/>
      <c r="AF1386" s="1"/>
      <c r="AG1386" s="1"/>
      <c r="AH1386" s="1"/>
    </row>
    <row r="1387" spans="1:34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/>
      <c r="AC1387" s="1"/>
      <c r="AD1387" s="1"/>
      <c r="AE1387" s="1"/>
      <c r="AF1387" s="1"/>
      <c r="AG1387" s="1"/>
      <c r="AH1387" s="1"/>
    </row>
    <row r="1388" spans="1:34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"/>
      <c r="AC1388" s="1"/>
      <c r="AD1388" s="1"/>
      <c r="AE1388" s="1"/>
      <c r="AF1388" s="1"/>
      <c r="AG1388" s="1"/>
      <c r="AH1388" s="1"/>
    </row>
    <row r="1389" spans="1:34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/>
      <c r="AC1389" s="1"/>
      <c r="AD1389" s="1"/>
      <c r="AE1389" s="1"/>
      <c r="AF1389" s="1"/>
      <c r="AG1389" s="1"/>
      <c r="AH1389" s="1"/>
    </row>
    <row r="1390" spans="1:34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/>
      <c r="AC1390" s="1"/>
      <c r="AD1390" s="1"/>
      <c r="AE1390" s="1"/>
      <c r="AF1390" s="1"/>
      <c r="AG1390" s="1"/>
      <c r="AH1390" s="1"/>
    </row>
    <row r="1391" spans="1:34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"/>
      <c r="AC1391" s="1"/>
      <c r="AD1391" s="1"/>
      <c r="AE1391" s="1"/>
      <c r="AF1391" s="1"/>
      <c r="AG1391" s="1"/>
      <c r="AH1391" s="1"/>
    </row>
    <row r="1392" spans="1:34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"/>
      <c r="AC1392" s="1"/>
      <c r="AD1392" s="1"/>
      <c r="AE1392" s="1"/>
      <c r="AF1392" s="1"/>
      <c r="AG1392" s="1"/>
      <c r="AH1392" s="1"/>
    </row>
    <row r="1393" spans="1:34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"/>
      <c r="AC1393" s="1"/>
      <c r="AD1393" s="1"/>
      <c r="AE1393" s="1"/>
      <c r="AF1393" s="1"/>
      <c r="AG1393" s="1"/>
      <c r="AH1393" s="1"/>
    </row>
    <row r="1394" spans="1:34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  <c r="AC1394" s="1"/>
      <c r="AD1394" s="1"/>
      <c r="AE1394" s="1"/>
      <c r="AF1394" s="1"/>
      <c r="AG1394" s="1"/>
      <c r="AH1394" s="1"/>
    </row>
    <row r="1395" spans="1:34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"/>
      <c r="AC1395" s="1"/>
      <c r="AD1395" s="1"/>
      <c r="AE1395" s="1"/>
      <c r="AF1395" s="1"/>
      <c r="AG1395" s="1"/>
      <c r="AH1395" s="1"/>
    </row>
    <row r="1396" spans="1:34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"/>
      <c r="AC1396" s="1"/>
      <c r="AD1396" s="1"/>
      <c r="AE1396" s="1"/>
      <c r="AF1396" s="1"/>
      <c r="AG1396" s="1"/>
      <c r="AH1396" s="1"/>
    </row>
    <row r="1397" spans="1:34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"/>
      <c r="AC1397" s="1"/>
      <c r="AD1397" s="1"/>
      <c r="AE1397" s="1"/>
      <c r="AF1397" s="1"/>
      <c r="AG1397" s="1"/>
      <c r="AH1397" s="1"/>
    </row>
    <row r="1398" spans="1:34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"/>
      <c r="AC1398" s="1"/>
      <c r="AD1398" s="1"/>
      <c r="AE1398" s="1"/>
      <c r="AF1398" s="1"/>
      <c r="AG1398" s="1"/>
      <c r="AH1398" s="1"/>
    </row>
    <row r="1399" spans="1:34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"/>
      <c r="AC1399" s="1"/>
      <c r="AD1399" s="1"/>
      <c r="AE1399" s="1"/>
      <c r="AF1399" s="1"/>
      <c r="AG1399" s="1"/>
      <c r="AH1399" s="1"/>
    </row>
    <row r="1400" spans="1:34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"/>
      <c r="AC1400" s="1"/>
      <c r="AD1400" s="1"/>
      <c r="AE1400" s="1"/>
      <c r="AF1400" s="1"/>
      <c r="AG1400" s="1"/>
      <c r="AH1400" s="1"/>
    </row>
    <row r="1401" spans="1:34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"/>
      <c r="AC1401" s="1"/>
      <c r="AD1401" s="1"/>
      <c r="AE1401" s="1"/>
      <c r="AF1401" s="1"/>
      <c r="AG1401" s="1"/>
      <c r="AH1401" s="1"/>
    </row>
    <row r="1402" spans="1:34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"/>
      <c r="AC1402" s="1"/>
      <c r="AD1402" s="1"/>
      <c r="AE1402" s="1"/>
      <c r="AF1402" s="1"/>
      <c r="AG1402" s="1"/>
      <c r="AH1402" s="1"/>
    </row>
    <row r="1403" spans="1:34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"/>
      <c r="AC1403" s="1"/>
      <c r="AD1403" s="1"/>
      <c r="AE1403" s="1"/>
      <c r="AF1403" s="1"/>
      <c r="AG1403" s="1"/>
      <c r="AH1403" s="1"/>
    </row>
    <row r="1404" spans="1:34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  <c r="AC1404" s="1"/>
      <c r="AD1404" s="1"/>
      <c r="AE1404" s="1"/>
      <c r="AF1404" s="1"/>
      <c r="AG1404" s="1"/>
      <c r="AH1404" s="1"/>
    </row>
    <row r="1405" spans="1:34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"/>
      <c r="AC1405" s="1"/>
      <c r="AD1405" s="1"/>
      <c r="AE1405" s="1"/>
      <c r="AF1405" s="1"/>
      <c r="AG1405" s="1"/>
      <c r="AH1405" s="1"/>
    </row>
    <row r="1406" spans="1:34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"/>
      <c r="AC1406" s="1"/>
      <c r="AD1406" s="1"/>
      <c r="AE1406" s="1"/>
      <c r="AF1406" s="1"/>
      <c r="AG1406" s="1"/>
      <c r="AH1406" s="1"/>
    </row>
    <row r="1407" spans="1:34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"/>
      <c r="AC1407" s="1"/>
      <c r="AD1407" s="1"/>
      <c r="AE1407" s="1"/>
      <c r="AF1407" s="1"/>
      <c r="AG1407" s="1"/>
      <c r="AH1407" s="1"/>
    </row>
    <row r="1408" spans="1:34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"/>
      <c r="AC1408" s="1"/>
      <c r="AD1408" s="1"/>
      <c r="AE1408" s="1"/>
      <c r="AF1408" s="1"/>
      <c r="AG1408" s="1"/>
      <c r="AH1408" s="1"/>
    </row>
    <row r="1409" spans="1:34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"/>
      <c r="AC1409" s="1"/>
      <c r="AD1409" s="1"/>
      <c r="AE1409" s="1"/>
      <c r="AF1409" s="1"/>
      <c r="AG1409" s="1"/>
      <c r="AH1409" s="1"/>
    </row>
    <row r="1410" spans="1:34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"/>
      <c r="AC1410" s="1"/>
      <c r="AD1410" s="1"/>
      <c r="AE1410" s="1"/>
      <c r="AF1410" s="1"/>
      <c r="AG1410" s="1"/>
      <c r="AH1410" s="1"/>
    </row>
    <row r="1411" spans="1:34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"/>
      <c r="AC1411" s="1"/>
      <c r="AD1411" s="1"/>
      <c r="AE1411" s="1"/>
      <c r="AF1411" s="1"/>
      <c r="AG1411" s="1"/>
      <c r="AH1411" s="1"/>
    </row>
    <row r="1412" spans="1:34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"/>
      <c r="AC1412" s="1"/>
      <c r="AD1412" s="1"/>
      <c r="AE1412" s="1"/>
      <c r="AF1412" s="1"/>
      <c r="AG1412" s="1"/>
      <c r="AH1412" s="1"/>
    </row>
    <row r="1413" spans="1:34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"/>
      <c r="AC1413" s="1"/>
      <c r="AD1413" s="1"/>
      <c r="AE1413" s="1"/>
      <c r="AF1413" s="1"/>
      <c r="AG1413" s="1"/>
      <c r="AH1413" s="1"/>
    </row>
    <row r="1414" spans="1:34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"/>
      <c r="AC1414" s="1"/>
      <c r="AD1414" s="1"/>
      <c r="AE1414" s="1"/>
      <c r="AF1414" s="1"/>
      <c r="AG1414" s="1"/>
      <c r="AH1414" s="1"/>
    </row>
    <row r="1415" spans="1:34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"/>
      <c r="AC1415" s="1"/>
      <c r="AD1415" s="1"/>
      <c r="AE1415" s="1"/>
      <c r="AF1415" s="1"/>
      <c r="AG1415" s="1"/>
      <c r="AH1415" s="1"/>
    </row>
    <row r="1416" spans="1:34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"/>
      <c r="AC1416" s="1"/>
      <c r="AD1416" s="1"/>
      <c r="AE1416" s="1"/>
      <c r="AF1416" s="1"/>
      <c r="AG1416" s="1"/>
      <c r="AH1416" s="1"/>
    </row>
    <row r="1417" spans="1:34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  <c r="AD1417" s="1"/>
      <c r="AE1417" s="1"/>
      <c r="AF1417" s="1"/>
      <c r="AG1417" s="1"/>
      <c r="AH1417" s="1"/>
    </row>
    <row r="1418" spans="1:34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"/>
      <c r="AC1418" s="1"/>
      <c r="AD1418" s="1"/>
      <c r="AE1418" s="1"/>
      <c r="AF1418" s="1"/>
      <c r="AG1418" s="1"/>
      <c r="AH1418" s="1"/>
    </row>
    <row r="1419" spans="1:34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"/>
      <c r="AC1419" s="1"/>
      <c r="AD1419" s="1"/>
      <c r="AE1419" s="1"/>
      <c r="AF1419" s="1"/>
      <c r="AG1419" s="1"/>
      <c r="AH1419" s="1"/>
    </row>
    <row r="1420" spans="1:34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"/>
      <c r="AC1420" s="1"/>
      <c r="AD1420" s="1"/>
      <c r="AE1420" s="1"/>
      <c r="AF1420" s="1"/>
      <c r="AG1420" s="1"/>
      <c r="AH1420" s="1"/>
    </row>
    <row r="1421" spans="1:34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"/>
      <c r="AC1421" s="1"/>
      <c r="AD1421" s="1"/>
      <c r="AE1421" s="1"/>
      <c r="AF1421" s="1"/>
      <c r="AG1421" s="1"/>
      <c r="AH1421" s="1"/>
    </row>
    <row r="1422" spans="1:34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"/>
      <c r="AC1422" s="1"/>
      <c r="AD1422" s="1"/>
      <c r="AE1422" s="1"/>
      <c r="AF1422" s="1"/>
      <c r="AG1422" s="1"/>
      <c r="AH1422" s="1"/>
    </row>
    <row r="1423" spans="1:34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"/>
      <c r="AC1423" s="1"/>
      <c r="AD1423" s="1"/>
      <c r="AE1423" s="1"/>
      <c r="AF1423" s="1"/>
      <c r="AG1423" s="1"/>
      <c r="AH1423" s="1"/>
    </row>
    <row r="1424" spans="1:34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"/>
      <c r="AC1424" s="1"/>
      <c r="AD1424" s="1"/>
      <c r="AE1424" s="1"/>
      <c r="AF1424" s="1"/>
      <c r="AG1424" s="1"/>
      <c r="AH1424" s="1"/>
    </row>
    <row r="1425" spans="1:34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"/>
      <c r="AC1425" s="1"/>
      <c r="AD1425" s="1"/>
      <c r="AE1425" s="1"/>
      <c r="AF1425" s="1"/>
      <c r="AG1425" s="1"/>
      <c r="AH1425" s="1"/>
    </row>
    <row r="1426" spans="1:34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"/>
      <c r="AC1426" s="1"/>
      <c r="AD1426" s="1"/>
      <c r="AE1426" s="1"/>
      <c r="AF1426" s="1"/>
      <c r="AG1426" s="1"/>
      <c r="AH1426" s="1"/>
    </row>
    <row r="1427" spans="1:34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"/>
      <c r="AC1427" s="1"/>
      <c r="AD1427" s="1"/>
      <c r="AE1427" s="1"/>
      <c r="AF1427" s="1"/>
      <c r="AG1427" s="1"/>
      <c r="AH1427" s="1"/>
    </row>
    <row r="1428" spans="1:34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"/>
      <c r="AC1428" s="1"/>
      <c r="AD1428" s="1"/>
      <c r="AE1428" s="1"/>
      <c r="AF1428" s="1"/>
      <c r="AG1428" s="1"/>
      <c r="AH1428" s="1"/>
    </row>
    <row r="1429" spans="1:34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"/>
      <c r="AC1429" s="1"/>
      <c r="AD1429" s="1"/>
      <c r="AE1429" s="1"/>
      <c r="AF1429" s="1"/>
      <c r="AG1429" s="1"/>
      <c r="AH1429" s="1"/>
    </row>
    <row r="1430" spans="1:34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"/>
      <c r="AC1430" s="1"/>
      <c r="AD1430" s="1"/>
      <c r="AE1430" s="1"/>
      <c r="AF1430" s="1"/>
      <c r="AG1430" s="1"/>
      <c r="AH1430" s="1"/>
    </row>
    <row r="1431" spans="1:34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"/>
      <c r="AC1431" s="1"/>
      <c r="AD1431" s="1"/>
      <c r="AE1431" s="1"/>
      <c r="AF1431" s="1"/>
      <c r="AG1431" s="1"/>
      <c r="AH1431" s="1"/>
    </row>
    <row r="1432" spans="1:34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"/>
      <c r="AC1432" s="1"/>
      <c r="AD1432" s="1"/>
      <c r="AE1432" s="1"/>
      <c r="AF1432" s="1"/>
      <c r="AG1432" s="1"/>
      <c r="AH1432" s="1"/>
    </row>
    <row r="1433" spans="1:34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"/>
      <c r="AC1433" s="1"/>
      <c r="AD1433" s="1"/>
      <c r="AE1433" s="1"/>
      <c r="AF1433" s="1"/>
      <c r="AG1433" s="1"/>
      <c r="AH1433" s="1"/>
    </row>
    <row r="1434" spans="1:34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"/>
      <c r="AC1434" s="1"/>
      <c r="AD1434" s="1"/>
      <c r="AE1434" s="1"/>
      <c r="AF1434" s="1"/>
      <c r="AG1434" s="1"/>
      <c r="AH1434" s="1"/>
    </row>
    <row r="1435" spans="1:34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"/>
      <c r="AC1435" s="1"/>
      <c r="AD1435" s="1"/>
      <c r="AE1435" s="1"/>
      <c r="AF1435" s="1"/>
      <c r="AG1435" s="1"/>
      <c r="AH1435" s="1"/>
    </row>
    <row r="1436" spans="1:34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"/>
      <c r="AC1436" s="1"/>
      <c r="AD1436" s="1"/>
      <c r="AE1436" s="1"/>
      <c r="AF1436" s="1"/>
      <c r="AG1436" s="1"/>
      <c r="AH1436" s="1"/>
    </row>
    <row r="1437" spans="1:34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"/>
      <c r="AC1437" s="1"/>
      <c r="AD1437" s="1"/>
      <c r="AE1437" s="1"/>
      <c r="AF1437" s="1"/>
      <c r="AG1437" s="1"/>
      <c r="AH1437" s="1"/>
    </row>
    <row r="1438" spans="1:34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"/>
      <c r="AC1438" s="1"/>
      <c r="AD1438" s="1"/>
      <c r="AE1438" s="1"/>
      <c r="AF1438" s="1"/>
      <c r="AG1438" s="1"/>
      <c r="AH1438" s="1"/>
    </row>
    <row r="1439" spans="1:34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"/>
      <c r="AC1439" s="1"/>
      <c r="AD1439" s="1"/>
      <c r="AE1439" s="1"/>
      <c r="AF1439" s="1"/>
      <c r="AG1439" s="1"/>
      <c r="AH1439" s="1"/>
    </row>
    <row r="1440" spans="1:34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"/>
      <c r="AC1440" s="1"/>
      <c r="AD1440" s="1"/>
      <c r="AE1440" s="1"/>
      <c r="AF1440" s="1"/>
      <c r="AG1440" s="1"/>
      <c r="AH1440" s="1"/>
    </row>
    <row r="1441" spans="1:34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"/>
      <c r="AC1441" s="1"/>
      <c r="AD1441" s="1"/>
      <c r="AE1441" s="1"/>
      <c r="AF1441" s="1"/>
      <c r="AG1441" s="1"/>
      <c r="AH1441" s="1"/>
    </row>
    <row r="1442" spans="1:34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"/>
      <c r="AC1442" s="1"/>
      <c r="AD1442" s="1"/>
      <c r="AE1442" s="1"/>
      <c r="AF1442" s="1"/>
      <c r="AG1442" s="1"/>
      <c r="AH1442" s="1"/>
    </row>
    <row r="1443" spans="1:34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"/>
      <c r="AC1443" s="1"/>
      <c r="AD1443" s="1"/>
      <c r="AE1443" s="1"/>
      <c r="AF1443" s="1"/>
      <c r="AG1443" s="1"/>
      <c r="AH1443" s="1"/>
    </row>
    <row r="1444" spans="1:34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"/>
      <c r="AC1444" s="1"/>
      <c r="AD1444" s="1"/>
      <c r="AE1444" s="1"/>
      <c r="AF1444" s="1"/>
      <c r="AG1444" s="1"/>
      <c r="AH1444" s="1"/>
    </row>
    <row r="1445" spans="1:34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"/>
      <c r="AC1445" s="1"/>
      <c r="AD1445" s="1"/>
      <c r="AE1445" s="1"/>
      <c r="AF1445" s="1"/>
      <c r="AG1445" s="1"/>
      <c r="AH1445" s="1"/>
    </row>
    <row r="1446" spans="1:34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"/>
      <c r="AC1446" s="1"/>
      <c r="AD1446" s="1"/>
      <c r="AE1446" s="1"/>
      <c r="AF1446" s="1"/>
      <c r="AG1446" s="1"/>
      <c r="AH1446" s="1"/>
    </row>
    <row r="1447" spans="1:34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"/>
      <c r="AC1447" s="1"/>
      <c r="AD1447" s="1"/>
      <c r="AE1447" s="1"/>
      <c r="AF1447" s="1"/>
      <c r="AG1447" s="1"/>
      <c r="AH1447" s="1"/>
    </row>
    <row r="1448" spans="1:34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"/>
      <c r="AC1448" s="1"/>
      <c r="AD1448" s="1"/>
      <c r="AE1448" s="1"/>
      <c r="AF1448" s="1"/>
      <c r="AG1448" s="1"/>
      <c r="AH1448" s="1"/>
    </row>
    <row r="1449" spans="1:34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"/>
      <c r="AC1449" s="1"/>
      <c r="AD1449" s="1"/>
      <c r="AE1449" s="1"/>
      <c r="AF1449" s="1"/>
      <c r="AG1449" s="1"/>
      <c r="AH1449" s="1"/>
    </row>
    <row r="1450" spans="1:34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"/>
      <c r="AC1450" s="1"/>
      <c r="AD1450" s="1"/>
      <c r="AE1450" s="1"/>
      <c r="AF1450" s="1"/>
      <c r="AG1450" s="1"/>
      <c r="AH1450" s="1"/>
    </row>
    <row r="1451" spans="1:34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"/>
      <c r="AC1451" s="1"/>
      <c r="AD1451" s="1"/>
      <c r="AE1451" s="1"/>
      <c r="AF1451" s="1"/>
      <c r="AG1451" s="1"/>
      <c r="AH1451" s="1"/>
    </row>
    <row r="1452" spans="1:34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"/>
      <c r="AC1452" s="1"/>
      <c r="AD1452" s="1"/>
      <c r="AE1452" s="1"/>
      <c r="AF1452" s="1"/>
      <c r="AG1452" s="1"/>
      <c r="AH1452" s="1"/>
    </row>
    <row r="1453" spans="1:34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"/>
      <c r="AC1453" s="1"/>
      <c r="AD1453" s="1"/>
      <c r="AE1453" s="1"/>
      <c r="AF1453" s="1"/>
      <c r="AG1453" s="1"/>
      <c r="AH1453" s="1"/>
    </row>
    <row r="1454" spans="1:34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"/>
      <c r="AC1454" s="1"/>
      <c r="AD1454" s="1"/>
      <c r="AE1454" s="1"/>
      <c r="AF1454" s="1"/>
      <c r="AG1454" s="1"/>
      <c r="AH1454" s="1"/>
    </row>
    <row r="1455" spans="1:34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"/>
      <c r="AC1455" s="1"/>
      <c r="AD1455" s="1"/>
      <c r="AE1455" s="1"/>
      <c r="AF1455" s="1"/>
      <c r="AG1455" s="1"/>
      <c r="AH1455" s="1"/>
    </row>
    <row r="1456" spans="1:34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"/>
      <c r="AC1456" s="1"/>
      <c r="AD1456" s="1"/>
      <c r="AE1456" s="1"/>
      <c r="AF1456" s="1"/>
      <c r="AG1456" s="1"/>
      <c r="AH1456" s="1"/>
    </row>
    <row r="1457" spans="1:34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"/>
      <c r="AC1457" s="1"/>
      <c r="AD1457" s="1"/>
      <c r="AE1457" s="1"/>
      <c r="AF1457" s="1"/>
      <c r="AG1457" s="1"/>
      <c r="AH1457" s="1"/>
    </row>
    <row r="1458" spans="1:34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"/>
      <c r="AC1458" s="1"/>
      <c r="AD1458" s="1"/>
      <c r="AE1458" s="1"/>
      <c r="AF1458" s="1"/>
      <c r="AG1458" s="1"/>
      <c r="AH1458" s="1"/>
    </row>
    <row r="1459" spans="1:34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"/>
      <c r="AC1459" s="1"/>
      <c r="AD1459" s="1"/>
      <c r="AE1459" s="1"/>
      <c r="AF1459" s="1"/>
      <c r="AG1459" s="1"/>
      <c r="AH1459" s="1"/>
    </row>
    <row r="1460" spans="1:34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"/>
      <c r="AC1460" s="1"/>
      <c r="AD1460" s="1"/>
      <c r="AE1460" s="1"/>
      <c r="AF1460" s="1"/>
      <c r="AG1460" s="1"/>
      <c r="AH1460" s="1"/>
    </row>
    <row r="1461" spans="1:34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"/>
      <c r="AC1461" s="1"/>
      <c r="AD1461" s="1"/>
      <c r="AE1461" s="1"/>
      <c r="AF1461" s="1"/>
      <c r="AG1461" s="1"/>
      <c r="AH1461" s="1"/>
    </row>
    <row r="1462" spans="1:34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  <c r="AD1462" s="1"/>
      <c r="AE1462" s="1"/>
      <c r="AF1462" s="1"/>
      <c r="AG1462" s="1"/>
      <c r="AH1462" s="1"/>
    </row>
    <row r="1463" spans="1:34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  <c r="AD1463" s="1"/>
      <c r="AE1463" s="1"/>
      <c r="AF1463" s="1"/>
      <c r="AG1463" s="1"/>
      <c r="AH1463" s="1"/>
    </row>
    <row r="1464" spans="1:34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"/>
      <c r="AC1464" s="1"/>
      <c r="AD1464" s="1"/>
      <c r="AE1464" s="1"/>
      <c r="AF1464" s="1"/>
      <c r="AG1464" s="1"/>
      <c r="AH1464" s="1"/>
    </row>
    <row r="1465" spans="1:34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"/>
      <c r="AC1465" s="1"/>
      <c r="AD1465" s="1"/>
      <c r="AE1465" s="1"/>
      <c r="AF1465" s="1"/>
      <c r="AG1465" s="1"/>
      <c r="AH1465" s="1"/>
    </row>
    <row r="1466" spans="1:34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"/>
      <c r="AC1466" s="1"/>
      <c r="AD1466" s="1"/>
      <c r="AE1466" s="1"/>
      <c r="AF1466" s="1"/>
      <c r="AG1466" s="1"/>
      <c r="AH1466" s="1"/>
    </row>
    <row r="1467" spans="1:34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"/>
      <c r="AC1467" s="1"/>
      <c r="AD1467" s="1"/>
      <c r="AE1467" s="1"/>
      <c r="AF1467" s="1"/>
      <c r="AG1467" s="1"/>
      <c r="AH1467" s="1"/>
    </row>
    <row r="1468" spans="1:34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"/>
      <c r="AC1468" s="1"/>
      <c r="AD1468" s="1"/>
      <c r="AE1468" s="1"/>
      <c r="AF1468" s="1"/>
      <c r="AG1468" s="1"/>
      <c r="AH1468" s="1"/>
    </row>
    <row r="1469" spans="1:34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"/>
      <c r="AC1469" s="1"/>
      <c r="AD1469" s="1"/>
      <c r="AE1469" s="1"/>
      <c r="AF1469" s="1"/>
      <c r="AG1469" s="1"/>
      <c r="AH1469" s="1"/>
    </row>
    <row r="1470" spans="1:34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"/>
      <c r="AC1470" s="1"/>
      <c r="AD1470" s="1"/>
      <c r="AE1470" s="1"/>
      <c r="AF1470" s="1"/>
      <c r="AG1470" s="1"/>
      <c r="AH1470" s="1"/>
    </row>
    <row r="1471" spans="1:34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"/>
      <c r="AC1471" s="1"/>
      <c r="AD1471" s="1"/>
      <c r="AE1471" s="1"/>
      <c r="AF1471" s="1"/>
      <c r="AG1471" s="1"/>
      <c r="AH1471" s="1"/>
    </row>
    <row r="1472" spans="1:34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"/>
      <c r="AC1472" s="1"/>
      <c r="AD1472" s="1"/>
      <c r="AE1472" s="1"/>
      <c r="AF1472" s="1"/>
      <c r="AG1472" s="1"/>
      <c r="AH1472" s="1"/>
    </row>
    <row r="1473" spans="1:34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"/>
      <c r="AC1473" s="1"/>
      <c r="AD1473" s="1"/>
      <c r="AE1473" s="1"/>
      <c r="AF1473" s="1"/>
      <c r="AG1473" s="1"/>
      <c r="AH1473" s="1"/>
    </row>
    <row r="1474" spans="1:34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"/>
      <c r="AC1474" s="1"/>
      <c r="AD1474" s="1"/>
      <c r="AE1474" s="1"/>
      <c r="AF1474" s="1"/>
      <c r="AG1474" s="1"/>
      <c r="AH1474" s="1"/>
    </row>
    <row r="1475" spans="1:34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"/>
      <c r="AC1475" s="1"/>
      <c r="AD1475" s="1"/>
      <c r="AE1475" s="1"/>
      <c r="AF1475" s="1"/>
      <c r="AG1475" s="1"/>
      <c r="AH1475" s="1"/>
    </row>
    <row r="1476" spans="1:34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"/>
      <c r="AC1476" s="1"/>
      <c r="AD1476" s="1"/>
      <c r="AE1476" s="1"/>
      <c r="AF1476" s="1"/>
      <c r="AG1476" s="1"/>
      <c r="AH1476" s="1"/>
    </row>
    <row r="1477" spans="1:34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"/>
      <c r="AC1477" s="1"/>
      <c r="AD1477" s="1"/>
      <c r="AE1477" s="1"/>
      <c r="AF1477" s="1"/>
      <c r="AG1477" s="1"/>
      <c r="AH1477" s="1"/>
    </row>
    <row r="1478" spans="1:34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"/>
      <c r="AC1478" s="1"/>
      <c r="AD1478" s="1"/>
      <c r="AE1478" s="1"/>
      <c r="AF1478" s="1"/>
      <c r="AG1478" s="1"/>
      <c r="AH1478" s="1"/>
    </row>
    <row r="1479" spans="1:34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"/>
      <c r="AC1479" s="1"/>
      <c r="AD1479" s="1"/>
      <c r="AE1479" s="1"/>
      <c r="AF1479" s="1"/>
      <c r="AG1479" s="1"/>
      <c r="AH1479" s="1"/>
    </row>
    <row r="1480" spans="1:34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"/>
      <c r="AC1480" s="1"/>
      <c r="AD1480" s="1"/>
      <c r="AE1480" s="1"/>
      <c r="AF1480" s="1"/>
      <c r="AG1480" s="1"/>
      <c r="AH1480" s="1"/>
    </row>
    <row r="1481" spans="1:34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"/>
      <c r="AC1481" s="1"/>
      <c r="AD1481" s="1"/>
      <c r="AE1481" s="1"/>
      <c r="AF1481" s="1"/>
      <c r="AG1481" s="1"/>
      <c r="AH1481" s="1"/>
    </row>
    <row r="1482" spans="1:34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  <c r="AD1482" s="1"/>
      <c r="AE1482" s="1"/>
      <c r="AF1482" s="1"/>
      <c r="AG1482" s="1"/>
      <c r="AH1482" s="1"/>
    </row>
    <row r="1483" spans="1:34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  <c r="AD1483" s="1"/>
      <c r="AE1483" s="1"/>
      <c r="AF1483" s="1"/>
      <c r="AG1483" s="1"/>
      <c r="AH1483" s="1"/>
    </row>
    <row r="1484" spans="1:34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"/>
      <c r="AC1484" s="1"/>
      <c r="AD1484" s="1"/>
      <c r="AE1484" s="1"/>
      <c r="AF1484" s="1"/>
      <c r="AG1484" s="1"/>
      <c r="AH1484" s="1"/>
    </row>
    <row r="1485" spans="1:34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"/>
      <c r="AC1485" s="1"/>
      <c r="AD1485" s="1"/>
      <c r="AE1485" s="1"/>
      <c r="AF1485" s="1"/>
      <c r="AG1485" s="1"/>
      <c r="AH1485" s="1"/>
    </row>
    <row r="1486" spans="1:34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"/>
      <c r="AC1486" s="1"/>
      <c r="AD1486" s="1"/>
      <c r="AE1486" s="1"/>
      <c r="AF1486" s="1"/>
      <c r="AG1486" s="1"/>
      <c r="AH1486" s="1"/>
    </row>
    <row r="1487" spans="1:34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"/>
      <c r="AC1487" s="1"/>
      <c r="AD1487" s="1"/>
      <c r="AE1487" s="1"/>
      <c r="AF1487" s="1"/>
      <c r="AG1487" s="1"/>
      <c r="AH1487" s="1"/>
    </row>
    <row r="1488" spans="1:34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"/>
      <c r="AC1488" s="1"/>
      <c r="AD1488" s="1"/>
      <c r="AE1488" s="1"/>
      <c r="AF1488" s="1"/>
      <c r="AG1488" s="1"/>
      <c r="AH1488" s="1"/>
    </row>
    <row r="1489" spans="1:34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"/>
      <c r="AC1489" s="1"/>
      <c r="AD1489" s="1"/>
      <c r="AE1489" s="1"/>
      <c r="AF1489" s="1"/>
      <c r="AG1489" s="1"/>
      <c r="AH1489" s="1"/>
    </row>
    <row r="1490" spans="1:34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"/>
      <c r="AC1490" s="1"/>
      <c r="AD1490" s="1"/>
      <c r="AE1490" s="1"/>
      <c r="AF1490" s="1"/>
      <c r="AG1490" s="1"/>
      <c r="AH1490" s="1"/>
    </row>
    <row r="1491" spans="1:34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"/>
      <c r="AC1491" s="1"/>
      <c r="AD1491" s="1"/>
      <c r="AE1491" s="1"/>
      <c r="AF1491" s="1"/>
      <c r="AG1491" s="1"/>
      <c r="AH1491" s="1"/>
    </row>
    <row r="1492" spans="1:34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"/>
      <c r="AC1492" s="1"/>
      <c r="AD1492" s="1"/>
      <c r="AE1492" s="1"/>
      <c r="AF1492" s="1"/>
      <c r="AG1492" s="1"/>
      <c r="AH1492" s="1"/>
    </row>
    <row r="1493" spans="1:34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"/>
      <c r="AC1493" s="1"/>
      <c r="AD1493" s="1"/>
      <c r="AE1493" s="1"/>
      <c r="AF1493" s="1"/>
      <c r="AG1493" s="1"/>
      <c r="AH1493" s="1"/>
    </row>
    <row r="1494" spans="1:34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"/>
      <c r="AC1494" s="1"/>
      <c r="AD1494" s="1"/>
      <c r="AE1494" s="1"/>
      <c r="AF1494" s="1"/>
      <c r="AG1494" s="1"/>
      <c r="AH1494" s="1"/>
    </row>
    <row r="1495" spans="1:34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"/>
      <c r="AC1495" s="1"/>
      <c r="AD1495" s="1"/>
      <c r="AE1495" s="1"/>
      <c r="AF1495" s="1"/>
      <c r="AG1495" s="1"/>
      <c r="AH1495" s="1"/>
    </row>
    <row r="1496" spans="1:34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"/>
      <c r="AC1496" s="1"/>
      <c r="AD1496" s="1"/>
      <c r="AE1496" s="1"/>
      <c r="AF1496" s="1"/>
      <c r="AG1496" s="1"/>
      <c r="AH1496" s="1"/>
    </row>
    <row r="1497" spans="1:34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"/>
      <c r="AC1497" s="1"/>
      <c r="AD1497" s="1"/>
      <c r="AE1497" s="1"/>
      <c r="AF1497" s="1"/>
      <c r="AG1497" s="1"/>
      <c r="AH1497" s="1"/>
    </row>
    <row r="1498" spans="1:34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"/>
      <c r="AC1498" s="1"/>
      <c r="AD1498" s="1"/>
      <c r="AE1498" s="1"/>
      <c r="AF1498" s="1"/>
      <c r="AG1498" s="1"/>
      <c r="AH1498" s="1"/>
    </row>
    <row r="1499" spans="1:34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"/>
      <c r="AC1499" s="1"/>
      <c r="AD1499" s="1"/>
      <c r="AE1499" s="1"/>
      <c r="AF1499" s="1"/>
      <c r="AG1499" s="1"/>
      <c r="AH1499" s="1"/>
    </row>
    <row r="1500" spans="1:34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"/>
      <c r="AC1500" s="1"/>
      <c r="AD1500" s="1"/>
      <c r="AE1500" s="1"/>
      <c r="AF1500" s="1"/>
      <c r="AG1500" s="1"/>
      <c r="AH1500" s="1"/>
    </row>
    <row r="1501" spans="1:34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"/>
      <c r="AC1501" s="1"/>
      <c r="AD1501" s="1"/>
      <c r="AE1501" s="1"/>
      <c r="AF1501" s="1"/>
      <c r="AG1501" s="1"/>
      <c r="AH1501" s="1"/>
    </row>
    <row r="1502" spans="1:34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  <c r="AD1502" s="1"/>
      <c r="AE1502" s="1"/>
      <c r="AF1502" s="1"/>
      <c r="AG1502" s="1"/>
      <c r="AH1502" s="1"/>
    </row>
    <row r="1503" spans="1:34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  <c r="AD1503" s="1"/>
      <c r="AE1503" s="1"/>
      <c r="AF1503" s="1"/>
      <c r="AG1503" s="1"/>
      <c r="AH1503" s="1"/>
    </row>
    <row r="1504" spans="1:34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"/>
      <c r="AC1504" s="1"/>
      <c r="AD1504" s="1"/>
      <c r="AE1504" s="1"/>
      <c r="AF1504" s="1"/>
      <c r="AG1504" s="1"/>
      <c r="AH1504" s="1"/>
    </row>
    <row r="1505" spans="1:34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"/>
      <c r="AC1505" s="1"/>
      <c r="AD1505" s="1"/>
      <c r="AE1505" s="1"/>
      <c r="AF1505" s="1"/>
      <c r="AG1505" s="1"/>
      <c r="AH1505" s="1"/>
    </row>
    <row r="1506" spans="1:34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"/>
      <c r="AC1506" s="1"/>
      <c r="AD1506" s="1"/>
      <c r="AE1506" s="1"/>
      <c r="AF1506" s="1"/>
      <c r="AG1506" s="1"/>
      <c r="AH1506" s="1"/>
    </row>
    <row r="1507" spans="1:34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"/>
      <c r="AC1507" s="1"/>
      <c r="AD1507" s="1"/>
      <c r="AE1507" s="1"/>
      <c r="AF1507" s="1"/>
      <c r="AG1507" s="1"/>
      <c r="AH1507" s="1"/>
    </row>
    <row r="1508" spans="1:34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"/>
      <c r="AC1508" s="1"/>
      <c r="AD1508" s="1"/>
      <c r="AE1508" s="1"/>
      <c r="AF1508" s="1"/>
      <c r="AG1508" s="1"/>
      <c r="AH1508" s="1"/>
    </row>
    <row r="1509" spans="1:34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"/>
      <c r="AC1509" s="1"/>
      <c r="AD1509" s="1"/>
      <c r="AE1509" s="1"/>
      <c r="AF1509" s="1"/>
      <c r="AG1509" s="1"/>
      <c r="AH1509" s="1"/>
    </row>
    <row r="1510" spans="1:34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"/>
      <c r="AC1510" s="1"/>
      <c r="AD1510" s="1"/>
      <c r="AE1510" s="1"/>
      <c r="AF1510" s="1"/>
      <c r="AG1510" s="1"/>
      <c r="AH1510" s="1"/>
    </row>
    <row r="1511" spans="1:34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"/>
      <c r="AC1511" s="1"/>
      <c r="AD1511" s="1"/>
      <c r="AE1511" s="1"/>
      <c r="AF1511" s="1"/>
      <c r="AG1511" s="1"/>
      <c r="AH1511" s="1"/>
    </row>
    <row r="1512" spans="1:34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"/>
      <c r="AC1512" s="1"/>
      <c r="AD1512" s="1"/>
      <c r="AE1512" s="1"/>
      <c r="AF1512" s="1"/>
      <c r="AG1512" s="1"/>
      <c r="AH1512" s="1"/>
    </row>
    <row r="1513" spans="1:34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"/>
      <c r="AC1513" s="1"/>
      <c r="AD1513" s="1"/>
      <c r="AE1513" s="1"/>
      <c r="AF1513" s="1"/>
      <c r="AG1513" s="1"/>
      <c r="AH1513" s="1"/>
    </row>
    <row r="1514" spans="1:34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"/>
      <c r="AC1514" s="1"/>
      <c r="AD1514" s="1"/>
      <c r="AE1514" s="1"/>
      <c r="AF1514" s="1"/>
      <c r="AG1514" s="1"/>
      <c r="AH1514" s="1"/>
    </row>
    <row r="1515" spans="1:34">
      <c r="A1515" s="1"/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"/>
      <c r="AC1515" s="1"/>
      <c r="AD1515" s="1"/>
      <c r="AE1515" s="1"/>
      <c r="AF1515" s="1"/>
      <c r="AG1515" s="1"/>
      <c r="AH1515" s="1"/>
    </row>
    <row r="1516" spans="1:34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"/>
      <c r="AC1516" s="1"/>
      <c r="AD1516" s="1"/>
      <c r="AE1516" s="1"/>
      <c r="AF1516" s="1"/>
      <c r="AG1516" s="1"/>
      <c r="AH1516" s="1"/>
    </row>
    <row r="1517" spans="1:34">
      <c r="A1517" s="1"/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"/>
      <c r="AC1517" s="1"/>
      <c r="AD1517" s="1"/>
      <c r="AE1517" s="1"/>
      <c r="AF1517" s="1"/>
      <c r="AG1517" s="1"/>
      <c r="AH1517" s="1"/>
    </row>
    <row r="1518" spans="1:34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"/>
      <c r="AC1518" s="1"/>
      <c r="AD1518" s="1"/>
      <c r="AE1518" s="1"/>
      <c r="AF1518" s="1"/>
      <c r="AG1518" s="1"/>
      <c r="AH1518" s="1"/>
    </row>
    <row r="1519" spans="1:34">
      <c r="A1519" s="1"/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"/>
      <c r="AC1519" s="1"/>
      <c r="AD1519" s="1"/>
      <c r="AE1519" s="1"/>
      <c r="AF1519" s="1"/>
      <c r="AG1519" s="1"/>
      <c r="AH1519" s="1"/>
    </row>
    <row r="1520" spans="1:34">
      <c r="A1520" s="1"/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"/>
      <c r="AC1520" s="1"/>
      <c r="AD1520" s="1"/>
      <c r="AE1520" s="1"/>
      <c r="AF1520" s="1"/>
      <c r="AG1520" s="1"/>
      <c r="AH1520" s="1"/>
    </row>
    <row r="1521" spans="1:34">
      <c r="A1521" s="1"/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"/>
      <c r="AC1521" s="1"/>
      <c r="AD1521" s="1"/>
      <c r="AE1521" s="1"/>
      <c r="AF1521" s="1"/>
      <c r="AG1521" s="1"/>
      <c r="AH1521" s="1"/>
    </row>
    <row r="1522" spans="1:34">
      <c r="A1522" s="1"/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"/>
      <c r="AC1522" s="1"/>
      <c r="AD1522" s="1"/>
      <c r="AE1522" s="1"/>
      <c r="AF1522" s="1"/>
      <c r="AG1522" s="1"/>
      <c r="AH1522" s="1"/>
    </row>
    <row r="1523" spans="1:34">
      <c r="A1523" s="1"/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"/>
      <c r="AC1523" s="1"/>
      <c r="AD1523" s="1"/>
      <c r="AE1523" s="1"/>
      <c r="AF1523" s="1"/>
      <c r="AG1523" s="1"/>
      <c r="AH1523" s="1"/>
    </row>
    <row r="1524" spans="1:34">
      <c r="A1524" s="1"/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"/>
      <c r="AC1524" s="1"/>
      <c r="AD1524" s="1"/>
      <c r="AE1524" s="1"/>
      <c r="AF1524" s="1"/>
      <c r="AG1524" s="1"/>
      <c r="AH1524" s="1"/>
    </row>
    <row r="1525" spans="1:34">
      <c r="A1525" s="1"/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"/>
      <c r="AC1525" s="1"/>
      <c r="AD1525" s="1"/>
      <c r="AE1525" s="1"/>
      <c r="AF1525" s="1"/>
      <c r="AG1525" s="1"/>
      <c r="AH1525" s="1"/>
    </row>
    <row r="1526" spans="1:34">
      <c r="A1526" s="1"/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"/>
      <c r="AC1526" s="1"/>
      <c r="AD1526" s="1"/>
      <c r="AE1526" s="1"/>
      <c r="AF1526" s="1"/>
      <c r="AG1526" s="1"/>
      <c r="AH1526" s="1"/>
    </row>
    <row r="1527" spans="1:34">
      <c r="A1527" s="1"/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"/>
      <c r="AC1527" s="1"/>
      <c r="AD1527" s="1"/>
      <c r="AE1527" s="1"/>
      <c r="AF1527" s="1"/>
      <c r="AG1527" s="1"/>
      <c r="AH1527" s="1"/>
    </row>
    <row r="1528" spans="1:34">
      <c r="A1528" s="1"/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1"/>
      <c r="AC1528" s="1"/>
      <c r="AD1528" s="1"/>
      <c r="AE1528" s="1"/>
      <c r="AF1528" s="1"/>
      <c r="AG1528" s="1"/>
      <c r="AH1528" s="1"/>
    </row>
    <row r="1529" spans="1:34">
      <c r="A1529" s="1"/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"/>
      <c r="AC1529" s="1"/>
      <c r="AD1529" s="1"/>
      <c r="AE1529" s="1"/>
      <c r="AF1529" s="1"/>
      <c r="AG1529" s="1"/>
      <c r="AH1529" s="1"/>
    </row>
    <row r="1530" spans="1:34">
      <c r="A1530" s="1"/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"/>
      <c r="AC1530" s="1"/>
      <c r="AD1530" s="1"/>
      <c r="AE1530" s="1"/>
      <c r="AF1530" s="1"/>
      <c r="AG1530" s="1"/>
      <c r="AH1530" s="1"/>
    </row>
    <row r="1531" spans="1:34">
      <c r="A1531" s="1"/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"/>
      <c r="AC1531" s="1"/>
      <c r="AD1531" s="1"/>
      <c r="AE1531" s="1"/>
      <c r="AF1531" s="1"/>
      <c r="AG1531" s="1"/>
      <c r="AH1531" s="1"/>
    </row>
    <row r="1532" spans="1:34">
      <c r="A1532" s="1"/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"/>
      <c r="AC1532" s="1"/>
      <c r="AD1532" s="1"/>
      <c r="AE1532" s="1"/>
      <c r="AF1532" s="1"/>
      <c r="AG1532" s="1"/>
      <c r="AH1532" s="1"/>
    </row>
    <row r="1533" spans="1:34">
      <c r="A1533" s="1"/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"/>
      <c r="AC1533" s="1"/>
      <c r="AD1533" s="1"/>
      <c r="AE1533" s="1"/>
      <c r="AF1533" s="1"/>
      <c r="AG1533" s="1"/>
      <c r="AH1533" s="1"/>
    </row>
    <row r="1534" spans="1:34">
      <c r="A1534" s="1"/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"/>
      <c r="AC1534" s="1"/>
      <c r="AD1534" s="1"/>
      <c r="AE1534" s="1"/>
      <c r="AF1534" s="1"/>
      <c r="AG1534" s="1"/>
      <c r="AH1534" s="1"/>
    </row>
    <row r="1535" spans="1:34">
      <c r="A1535" s="1"/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1"/>
      <c r="AC1535" s="1"/>
      <c r="AD1535" s="1"/>
      <c r="AE1535" s="1"/>
      <c r="AF1535" s="1"/>
      <c r="AG1535" s="1"/>
      <c r="AH1535" s="1"/>
    </row>
    <row r="1536" spans="1:34">
      <c r="A1536" s="1"/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"/>
      <c r="AC1536" s="1"/>
      <c r="AD1536" s="1"/>
      <c r="AE1536" s="1"/>
      <c r="AF1536" s="1"/>
      <c r="AG1536" s="1"/>
      <c r="AH1536" s="1"/>
    </row>
    <row r="1537" spans="1:34">
      <c r="A1537" s="1"/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"/>
      <c r="AC1537" s="1"/>
      <c r="AD1537" s="1"/>
      <c r="AE1537" s="1"/>
      <c r="AF1537" s="1"/>
      <c r="AG1537" s="1"/>
      <c r="AH1537" s="1"/>
    </row>
    <row r="1538" spans="1:34">
      <c r="A1538" s="1"/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"/>
      <c r="AC1538" s="1"/>
      <c r="AD1538" s="1"/>
      <c r="AE1538" s="1"/>
      <c r="AF1538" s="1"/>
      <c r="AG1538" s="1"/>
      <c r="AH1538" s="1"/>
    </row>
    <row r="1539" spans="1:34">
      <c r="A1539" s="1"/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"/>
      <c r="AC1539" s="1"/>
      <c r="AD1539" s="1"/>
      <c r="AE1539" s="1"/>
      <c r="AF1539" s="1"/>
      <c r="AG1539" s="1"/>
      <c r="AH1539" s="1"/>
    </row>
    <row r="1540" spans="1:34">
      <c r="A1540" s="1"/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1"/>
      <c r="AC1540" s="1"/>
      <c r="AD1540" s="1"/>
      <c r="AE1540" s="1"/>
      <c r="AF1540" s="1"/>
      <c r="AG1540" s="1"/>
      <c r="AH1540" s="1"/>
    </row>
    <row r="1541" spans="1:34">
      <c r="A1541" s="1"/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"/>
      <c r="AC1541" s="1"/>
      <c r="AD1541" s="1"/>
      <c r="AE1541" s="1"/>
      <c r="AF1541" s="1"/>
      <c r="AG1541" s="1"/>
      <c r="AH1541" s="1"/>
    </row>
    <row r="1542" spans="1:34">
      <c r="A1542" s="1"/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"/>
      <c r="AC1542" s="1"/>
      <c r="AD1542" s="1"/>
      <c r="AE1542" s="1"/>
      <c r="AF1542" s="1"/>
      <c r="AG1542" s="1"/>
      <c r="AH1542" s="1"/>
    </row>
    <row r="1543" spans="1:34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"/>
      <c r="AC1543" s="1"/>
      <c r="AD1543" s="1"/>
      <c r="AE1543" s="1"/>
      <c r="AF1543" s="1"/>
      <c r="AG1543" s="1"/>
      <c r="AH1543" s="1"/>
    </row>
    <row r="1544" spans="1:34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"/>
      <c r="AC1544" s="1"/>
      <c r="AD1544" s="1"/>
      <c r="AE1544" s="1"/>
      <c r="AF1544" s="1"/>
      <c r="AG1544" s="1"/>
      <c r="AH1544" s="1"/>
    </row>
    <row r="1545" spans="1:34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  <c r="AB1545" s="1"/>
      <c r="AC1545" s="1"/>
      <c r="AD1545" s="1"/>
      <c r="AE1545" s="1"/>
      <c r="AF1545" s="1"/>
      <c r="AG1545" s="1"/>
      <c r="AH1545" s="1"/>
    </row>
    <row r="1546" spans="1:34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"/>
      <c r="AC1546" s="1"/>
      <c r="AD1546" s="1"/>
      <c r="AE1546" s="1"/>
      <c r="AF1546" s="1"/>
      <c r="AG1546" s="1"/>
      <c r="AH1546" s="1"/>
    </row>
    <row r="1547" spans="1:34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"/>
      <c r="AC1547" s="1"/>
      <c r="AD1547" s="1"/>
      <c r="AE1547" s="1"/>
      <c r="AF1547" s="1"/>
      <c r="AG1547" s="1"/>
      <c r="AH1547" s="1"/>
    </row>
    <row r="1548" spans="1:34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"/>
      <c r="AC1548" s="1"/>
      <c r="AD1548" s="1"/>
      <c r="AE1548" s="1"/>
      <c r="AF1548" s="1"/>
      <c r="AG1548" s="1"/>
      <c r="AH1548" s="1"/>
    </row>
    <row r="1549" spans="1:34">
      <c r="A1549" s="1"/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"/>
      <c r="AC1549" s="1"/>
      <c r="AD1549" s="1"/>
      <c r="AE1549" s="1"/>
      <c r="AF1549" s="1"/>
      <c r="AG1549" s="1"/>
      <c r="AH1549" s="1"/>
    </row>
    <row r="1550" spans="1:34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"/>
      <c r="AC1550" s="1"/>
      <c r="AD1550" s="1"/>
      <c r="AE1550" s="1"/>
      <c r="AF1550" s="1"/>
      <c r="AG1550" s="1"/>
      <c r="AH1550" s="1"/>
    </row>
    <row r="1551" spans="1:34">
      <c r="A1551" s="1"/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"/>
      <c r="AC1551" s="1"/>
      <c r="AD1551" s="1"/>
      <c r="AE1551" s="1"/>
      <c r="AF1551" s="1"/>
      <c r="AG1551" s="1"/>
      <c r="AH1551" s="1"/>
    </row>
    <row r="1552" spans="1:34">
      <c r="A1552" s="1"/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"/>
      <c r="AC1552" s="1"/>
      <c r="AD1552" s="1"/>
      <c r="AE1552" s="1"/>
      <c r="AF1552" s="1"/>
      <c r="AG1552" s="1"/>
      <c r="AH1552" s="1"/>
    </row>
    <row r="1553" spans="1:34">
      <c r="A1553" s="1"/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"/>
      <c r="AC1553" s="1"/>
      <c r="AD1553" s="1"/>
      <c r="AE1553" s="1"/>
      <c r="AF1553" s="1"/>
      <c r="AG1553" s="1"/>
      <c r="AH1553" s="1"/>
    </row>
    <row r="1554" spans="1:34">
      <c r="A1554" s="1"/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  <c r="AB1554" s="1"/>
      <c r="AC1554" s="1"/>
      <c r="AD1554" s="1"/>
      <c r="AE1554" s="1"/>
      <c r="AF1554" s="1"/>
      <c r="AG1554" s="1"/>
      <c r="AH1554" s="1"/>
    </row>
    <row r="1555" spans="1:34">
      <c r="A1555" s="1"/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"/>
      <c r="AC1555" s="1"/>
      <c r="AD1555" s="1"/>
      <c r="AE1555" s="1"/>
      <c r="AF1555" s="1"/>
      <c r="AG1555" s="1"/>
      <c r="AH1555" s="1"/>
    </row>
    <row r="1556" spans="1:34">
      <c r="A1556" s="1"/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"/>
      <c r="AC1556" s="1"/>
      <c r="AD1556" s="1"/>
      <c r="AE1556" s="1"/>
      <c r="AF1556" s="1"/>
      <c r="AG1556" s="1"/>
      <c r="AH1556" s="1"/>
    </row>
    <row r="1557" spans="1:34">
      <c r="A1557" s="1"/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"/>
      <c r="AC1557" s="1"/>
      <c r="AD1557" s="1"/>
      <c r="AE1557" s="1"/>
      <c r="AF1557" s="1"/>
      <c r="AG1557" s="1"/>
      <c r="AH1557" s="1"/>
    </row>
    <row r="1558" spans="1:34">
      <c r="A1558" s="1"/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"/>
      <c r="AC1558" s="1"/>
      <c r="AD1558" s="1"/>
      <c r="AE1558" s="1"/>
      <c r="AF1558" s="1"/>
      <c r="AG1558" s="1"/>
      <c r="AH1558" s="1"/>
    </row>
    <row r="1559" spans="1:34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  <c r="AB1559" s="1"/>
      <c r="AC1559" s="1"/>
      <c r="AD1559" s="1"/>
      <c r="AE1559" s="1"/>
      <c r="AF1559" s="1"/>
      <c r="AG1559" s="1"/>
      <c r="AH1559" s="1"/>
    </row>
    <row r="1560" spans="1:34">
      <c r="A1560" s="1"/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"/>
      <c r="AC1560" s="1"/>
      <c r="AD1560" s="1"/>
      <c r="AE1560" s="1"/>
      <c r="AF1560" s="1"/>
      <c r="AG1560" s="1"/>
      <c r="AH1560" s="1"/>
    </row>
    <row r="1561" spans="1:34">
      <c r="A1561" s="1"/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"/>
      <c r="AC1561" s="1"/>
      <c r="AD1561" s="1"/>
      <c r="AE1561" s="1"/>
      <c r="AF1561" s="1"/>
      <c r="AG1561" s="1"/>
      <c r="AH1561" s="1"/>
    </row>
    <row r="1562" spans="1:34">
      <c r="A1562" s="1"/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"/>
      <c r="AC1562" s="1"/>
      <c r="AD1562" s="1"/>
      <c r="AE1562" s="1"/>
      <c r="AF1562" s="1"/>
      <c r="AG1562" s="1"/>
      <c r="AH1562" s="1"/>
    </row>
    <row r="1563" spans="1:34">
      <c r="A1563" s="1"/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"/>
      <c r="AC1563" s="1"/>
      <c r="AD1563" s="1"/>
      <c r="AE1563" s="1"/>
      <c r="AF1563" s="1"/>
      <c r="AG1563" s="1"/>
      <c r="AH1563" s="1"/>
    </row>
    <row r="1564" spans="1:34">
      <c r="A1564" s="1"/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"/>
      <c r="AC1564" s="1"/>
      <c r="AD1564" s="1"/>
      <c r="AE1564" s="1"/>
      <c r="AF1564" s="1"/>
      <c r="AG1564" s="1"/>
      <c r="AH1564" s="1"/>
    </row>
    <row r="1565" spans="1:34">
      <c r="A1565" s="1"/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"/>
      <c r="AC1565" s="1"/>
      <c r="AD1565" s="1"/>
      <c r="AE1565" s="1"/>
      <c r="AF1565" s="1"/>
      <c r="AG1565" s="1"/>
      <c r="AH1565" s="1"/>
    </row>
    <row r="1566" spans="1:34">
      <c r="A1566" s="1"/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"/>
      <c r="AC1566" s="1"/>
      <c r="AD1566" s="1"/>
      <c r="AE1566" s="1"/>
      <c r="AF1566" s="1"/>
      <c r="AG1566" s="1"/>
      <c r="AH1566" s="1"/>
    </row>
    <row r="1567" spans="1:34">
      <c r="A1567" s="1"/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"/>
      <c r="AC1567" s="1"/>
      <c r="AD1567" s="1"/>
      <c r="AE1567" s="1"/>
      <c r="AF1567" s="1"/>
      <c r="AG1567" s="1"/>
      <c r="AH1567" s="1"/>
    </row>
    <row r="1568" spans="1:34">
      <c r="A1568" s="1"/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"/>
      <c r="AC1568" s="1"/>
      <c r="AD1568" s="1"/>
      <c r="AE1568" s="1"/>
      <c r="AF1568" s="1"/>
      <c r="AG1568" s="1"/>
      <c r="AH1568" s="1"/>
    </row>
    <row r="1569" spans="1:34">
      <c r="A1569" s="1"/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"/>
      <c r="AC1569" s="1"/>
      <c r="AD1569" s="1"/>
      <c r="AE1569" s="1"/>
      <c r="AF1569" s="1"/>
      <c r="AG1569" s="1"/>
      <c r="AH1569" s="1"/>
    </row>
    <row r="1570" spans="1:34">
      <c r="A1570" s="1"/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"/>
      <c r="AC1570" s="1"/>
      <c r="AD1570" s="1"/>
      <c r="AE1570" s="1"/>
      <c r="AF1570" s="1"/>
      <c r="AG1570" s="1"/>
      <c r="AH1570" s="1"/>
    </row>
    <row r="1571" spans="1:34">
      <c r="A1571" s="1"/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"/>
      <c r="AC1571" s="1"/>
      <c r="AD1571" s="1"/>
      <c r="AE1571" s="1"/>
      <c r="AF1571" s="1"/>
      <c r="AG1571" s="1"/>
      <c r="AH1571" s="1"/>
    </row>
    <row r="1572" spans="1:34">
      <c r="A1572" s="1"/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"/>
      <c r="AC1572" s="1"/>
      <c r="AD1572" s="1"/>
      <c r="AE1572" s="1"/>
      <c r="AF1572" s="1"/>
      <c r="AG1572" s="1"/>
      <c r="AH1572" s="1"/>
    </row>
    <row r="1573" spans="1:34">
      <c r="A1573" s="1"/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"/>
      <c r="AC1573" s="1"/>
      <c r="AD1573" s="1"/>
      <c r="AE1573" s="1"/>
      <c r="AF1573" s="1"/>
      <c r="AG1573" s="1"/>
      <c r="AH1573" s="1"/>
    </row>
    <row r="1574" spans="1:34">
      <c r="A1574" s="1"/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  <c r="AB1574" s="1"/>
      <c r="AC1574" s="1"/>
      <c r="AD1574" s="1"/>
      <c r="AE1574" s="1"/>
      <c r="AF1574" s="1"/>
      <c r="AG1574" s="1"/>
      <c r="AH1574" s="1"/>
    </row>
    <row r="1575" spans="1:34">
      <c r="A1575" s="1"/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"/>
      <c r="AC1575" s="1"/>
      <c r="AD1575" s="1"/>
      <c r="AE1575" s="1"/>
      <c r="AF1575" s="1"/>
      <c r="AG1575" s="1"/>
      <c r="AH1575" s="1"/>
    </row>
    <row r="1576" spans="1:34">
      <c r="A1576" s="1"/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"/>
      <c r="AC1576" s="1"/>
      <c r="AD1576" s="1"/>
      <c r="AE1576" s="1"/>
      <c r="AF1576" s="1"/>
      <c r="AG1576" s="1"/>
      <c r="AH1576" s="1"/>
    </row>
    <row r="1577" spans="1:34">
      <c r="A1577" s="1"/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"/>
      <c r="AC1577" s="1"/>
      <c r="AD1577" s="1"/>
      <c r="AE1577" s="1"/>
      <c r="AF1577" s="1"/>
      <c r="AG1577" s="1"/>
      <c r="AH1577" s="1"/>
    </row>
    <row r="1578" spans="1:34">
      <c r="A1578" s="1"/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"/>
      <c r="AC1578" s="1"/>
      <c r="AD1578" s="1"/>
      <c r="AE1578" s="1"/>
      <c r="AF1578" s="1"/>
      <c r="AG1578" s="1"/>
      <c r="AH1578" s="1"/>
    </row>
    <row r="1579" spans="1:34">
      <c r="A1579" s="1"/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1"/>
      <c r="AC1579" s="1"/>
      <c r="AD1579" s="1"/>
      <c r="AE1579" s="1"/>
      <c r="AF1579" s="1"/>
      <c r="AG1579" s="1"/>
      <c r="AH1579" s="1"/>
    </row>
    <row r="1580" spans="1:34">
      <c r="A1580" s="1"/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"/>
      <c r="AC1580" s="1"/>
      <c r="AD1580" s="1"/>
      <c r="AE1580" s="1"/>
      <c r="AF1580" s="1"/>
      <c r="AG1580" s="1"/>
      <c r="AH1580" s="1"/>
    </row>
    <row r="1581" spans="1:34">
      <c r="A1581" s="1"/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"/>
      <c r="AC1581" s="1"/>
      <c r="AD1581" s="1"/>
      <c r="AE1581" s="1"/>
      <c r="AF1581" s="1"/>
      <c r="AG1581" s="1"/>
      <c r="AH1581" s="1"/>
    </row>
    <row r="1582" spans="1:34">
      <c r="A1582" s="1"/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"/>
      <c r="AC1582" s="1"/>
      <c r="AD1582" s="1"/>
      <c r="AE1582" s="1"/>
      <c r="AF1582" s="1"/>
      <c r="AG1582" s="1"/>
      <c r="AH1582" s="1"/>
    </row>
    <row r="1583" spans="1:34">
      <c r="A1583" s="1"/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"/>
      <c r="AC1583" s="1"/>
      <c r="AD1583" s="1"/>
      <c r="AE1583" s="1"/>
      <c r="AF1583" s="1"/>
      <c r="AG1583" s="1"/>
      <c r="AH1583" s="1"/>
    </row>
    <row r="1584" spans="1:34">
      <c r="A1584" s="1"/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"/>
      <c r="AC1584" s="1"/>
      <c r="AD1584" s="1"/>
      <c r="AE1584" s="1"/>
      <c r="AF1584" s="1"/>
      <c r="AG1584" s="1"/>
      <c r="AH1584" s="1"/>
    </row>
    <row r="1585" spans="1:34">
      <c r="A1585" s="1"/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  <c r="AB1585" s="1"/>
      <c r="AC1585" s="1"/>
      <c r="AD1585" s="1"/>
      <c r="AE1585" s="1"/>
      <c r="AF1585" s="1"/>
      <c r="AG1585" s="1"/>
      <c r="AH1585" s="1"/>
    </row>
    <row r="1586" spans="1:34">
      <c r="A1586" s="1"/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"/>
      <c r="AC1586" s="1"/>
      <c r="AD1586" s="1"/>
      <c r="AE1586" s="1"/>
      <c r="AF1586" s="1"/>
      <c r="AG1586" s="1"/>
      <c r="AH1586" s="1"/>
    </row>
    <row r="1587" spans="1:34">
      <c r="A1587" s="1"/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"/>
      <c r="AC1587" s="1"/>
      <c r="AD1587" s="1"/>
      <c r="AE1587" s="1"/>
      <c r="AF1587" s="1"/>
      <c r="AG1587" s="1"/>
      <c r="AH1587" s="1"/>
    </row>
    <row r="1588" spans="1:34">
      <c r="A1588" s="1"/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"/>
      <c r="AC1588" s="1"/>
      <c r="AD1588" s="1"/>
      <c r="AE1588" s="1"/>
      <c r="AF1588" s="1"/>
      <c r="AG1588" s="1"/>
      <c r="AH1588" s="1"/>
    </row>
    <row r="1589" spans="1:34">
      <c r="A1589" s="1"/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"/>
      <c r="AC1589" s="1"/>
      <c r="AD1589" s="1"/>
      <c r="AE1589" s="1"/>
      <c r="AF1589" s="1"/>
      <c r="AG1589" s="1"/>
      <c r="AH1589" s="1"/>
    </row>
    <row r="1590" spans="1:34">
      <c r="A1590" s="1"/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"/>
      <c r="AC1590" s="1"/>
      <c r="AD1590" s="1"/>
      <c r="AE1590" s="1"/>
      <c r="AF1590" s="1"/>
      <c r="AG1590" s="1"/>
      <c r="AH1590" s="1"/>
    </row>
    <row r="1591" spans="1:34">
      <c r="A1591" s="1"/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"/>
      <c r="AC1591" s="1"/>
      <c r="AD1591" s="1"/>
      <c r="AE1591" s="1"/>
      <c r="AF1591" s="1"/>
      <c r="AG1591" s="1"/>
      <c r="AH1591" s="1"/>
    </row>
    <row r="1592" spans="1:34">
      <c r="A1592" s="1"/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"/>
      <c r="AC1592" s="1"/>
      <c r="AD1592" s="1"/>
      <c r="AE1592" s="1"/>
      <c r="AF1592" s="1"/>
      <c r="AG1592" s="1"/>
      <c r="AH1592" s="1"/>
    </row>
    <row r="1593" spans="1:34">
      <c r="A1593" s="1"/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  <c r="AB1593" s="1"/>
      <c r="AC1593" s="1"/>
      <c r="AD1593" s="1"/>
      <c r="AE1593" s="1"/>
      <c r="AF1593" s="1"/>
      <c r="AG1593" s="1"/>
      <c r="AH1593" s="1"/>
    </row>
    <row r="1594" spans="1:34">
      <c r="A1594" s="1"/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"/>
      <c r="AC1594" s="1"/>
      <c r="AD1594" s="1"/>
      <c r="AE1594" s="1"/>
      <c r="AF1594" s="1"/>
      <c r="AG1594" s="1"/>
      <c r="AH1594" s="1"/>
    </row>
    <row r="1595" spans="1:34">
      <c r="A1595" s="1"/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"/>
      <c r="AC1595" s="1"/>
      <c r="AD1595" s="1"/>
      <c r="AE1595" s="1"/>
      <c r="AF1595" s="1"/>
      <c r="AG1595" s="1"/>
      <c r="AH1595" s="1"/>
    </row>
    <row r="1596" spans="1:34">
      <c r="A1596" s="1"/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"/>
      <c r="AC1596" s="1"/>
      <c r="AD1596" s="1"/>
      <c r="AE1596" s="1"/>
      <c r="AF1596" s="1"/>
      <c r="AG1596" s="1"/>
      <c r="AH1596" s="1"/>
    </row>
    <row r="1597" spans="1:34">
      <c r="A1597" s="1"/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"/>
      <c r="AC1597" s="1"/>
      <c r="AD1597" s="1"/>
      <c r="AE1597" s="1"/>
      <c r="AF1597" s="1"/>
      <c r="AG1597" s="1"/>
      <c r="AH1597" s="1"/>
    </row>
    <row r="1598" spans="1:34">
      <c r="A1598" s="1"/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"/>
      <c r="AC1598" s="1"/>
      <c r="AD1598" s="1"/>
      <c r="AE1598" s="1"/>
      <c r="AF1598" s="1"/>
      <c r="AG1598" s="1"/>
      <c r="AH1598" s="1"/>
    </row>
    <row r="1599" spans="1:34">
      <c r="A1599" s="1"/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"/>
      <c r="AC1599" s="1"/>
      <c r="AD1599" s="1"/>
      <c r="AE1599" s="1"/>
      <c r="AF1599" s="1"/>
      <c r="AG1599" s="1"/>
      <c r="AH1599" s="1"/>
    </row>
    <row r="1600" spans="1:34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"/>
      <c r="AC1600" s="1"/>
      <c r="AD1600" s="1"/>
      <c r="AE1600" s="1"/>
      <c r="AF1600" s="1"/>
      <c r="AG1600" s="1"/>
      <c r="AH1600" s="1"/>
    </row>
    <row r="1601" spans="1:34">
      <c r="A1601" s="1"/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"/>
      <c r="AC1601" s="1"/>
      <c r="AD1601" s="1"/>
      <c r="AE1601" s="1"/>
      <c r="AF1601" s="1"/>
      <c r="AG1601" s="1"/>
      <c r="AH1601" s="1"/>
    </row>
    <row r="1602" spans="1:34">
      <c r="A1602" s="1"/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  <c r="AB1602" s="1"/>
      <c r="AC1602" s="1"/>
      <c r="AD1602" s="1"/>
      <c r="AE1602" s="1"/>
      <c r="AF1602" s="1"/>
      <c r="AG1602" s="1"/>
      <c r="AH1602" s="1"/>
    </row>
    <row r="1603" spans="1:34">
      <c r="A1603" s="1"/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"/>
      <c r="AC1603" s="1"/>
      <c r="AD1603" s="1"/>
      <c r="AE1603" s="1"/>
      <c r="AF1603" s="1"/>
      <c r="AG1603" s="1"/>
      <c r="AH1603" s="1"/>
    </row>
    <row r="1604" spans="1:34">
      <c r="A1604" s="1"/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"/>
      <c r="AC1604" s="1"/>
      <c r="AD1604" s="1"/>
      <c r="AE1604" s="1"/>
      <c r="AF1604" s="1"/>
      <c r="AG1604" s="1"/>
      <c r="AH1604" s="1"/>
    </row>
    <row r="1605" spans="1:34">
      <c r="A1605" s="1"/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"/>
      <c r="AC1605" s="1"/>
      <c r="AD1605" s="1"/>
      <c r="AE1605" s="1"/>
      <c r="AF1605" s="1"/>
      <c r="AG1605" s="1"/>
      <c r="AH1605" s="1"/>
    </row>
    <row r="1606" spans="1:34">
      <c r="A1606" s="1"/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"/>
      <c r="AC1606" s="1"/>
      <c r="AD1606" s="1"/>
      <c r="AE1606" s="1"/>
      <c r="AF1606" s="1"/>
      <c r="AG1606" s="1"/>
      <c r="AH1606" s="1"/>
    </row>
    <row r="1607" spans="1:34">
      <c r="A1607" s="1"/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  <c r="AB1607" s="1"/>
      <c r="AC1607" s="1"/>
      <c r="AD1607" s="1"/>
      <c r="AE1607" s="1"/>
      <c r="AF1607" s="1"/>
      <c r="AG1607" s="1"/>
      <c r="AH1607" s="1"/>
    </row>
    <row r="1608" spans="1:34">
      <c r="A1608" s="1"/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"/>
      <c r="AC1608" s="1"/>
      <c r="AD1608" s="1"/>
      <c r="AE1608" s="1"/>
      <c r="AF1608" s="1"/>
      <c r="AG1608" s="1"/>
      <c r="AH1608" s="1"/>
    </row>
    <row r="1609" spans="1:34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"/>
      <c r="AC1609" s="1"/>
      <c r="AD1609" s="1"/>
      <c r="AE1609" s="1"/>
      <c r="AF1609" s="1"/>
      <c r="AG1609" s="1"/>
      <c r="AH1609" s="1"/>
    </row>
    <row r="1610" spans="1:34">
      <c r="A1610" s="1"/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"/>
      <c r="AC1610" s="1"/>
      <c r="AD1610" s="1"/>
      <c r="AE1610" s="1"/>
      <c r="AF1610" s="1"/>
      <c r="AG1610" s="1"/>
      <c r="AH1610" s="1"/>
    </row>
    <row r="1611" spans="1:34">
      <c r="A1611" s="1"/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"/>
      <c r="AC1611" s="1"/>
      <c r="AD1611" s="1"/>
      <c r="AE1611" s="1"/>
      <c r="AF1611" s="1"/>
      <c r="AG1611" s="1"/>
      <c r="AH1611" s="1"/>
    </row>
    <row r="1612" spans="1:34">
      <c r="A1612" s="1"/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"/>
      <c r="AC1612" s="1"/>
      <c r="AD1612" s="1"/>
      <c r="AE1612" s="1"/>
      <c r="AF1612" s="1"/>
      <c r="AG1612" s="1"/>
      <c r="AH1612" s="1"/>
    </row>
    <row r="1613" spans="1:34">
      <c r="A1613" s="1"/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"/>
      <c r="AC1613" s="1"/>
      <c r="AD1613" s="1"/>
      <c r="AE1613" s="1"/>
      <c r="AF1613" s="1"/>
      <c r="AG1613" s="1"/>
      <c r="AH1613" s="1"/>
    </row>
    <row r="1614" spans="1:34">
      <c r="A1614" s="1"/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"/>
      <c r="AC1614" s="1"/>
      <c r="AD1614" s="1"/>
      <c r="AE1614" s="1"/>
      <c r="AF1614" s="1"/>
      <c r="AG1614" s="1"/>
      <c r="AH1614" s="1"/>
    </row>
    <row r="1615" spans="1:34">
      <c r="A1615" s="1"/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"/>
      <c r="AC1615" s="1"/>
      <c r="AD1615" s="1"/>
      <c r="AE1615" s="1"/>
      <c r="AF1615" s="1"/>
      <c r="AG1615" s="1"/>
      <c r="AH1615" s="1"/>
    </row>
    <row r="1616" spans="1:34">
      <c r="A1616" s="1"/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"/>
      <c r="AC1616" s="1"/>
      <c r="AD1616" s="1"/>
      <c r="AE1616" s="1"/>
      <c r="AF1616" s="1"/>
      <c r="AG1616" s="1"/>
      <c r="AH1616" s="1"/>
    </row>
    <row r="1617" spans="1:34">
      <c r="A1617" s="1"/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"/>
      <c r="AC1617" s="1"/>
      <c r="AD1617" s="1"/>
      <c r="AE1617" s="1"/>
      <c r="AF1617" s="1"/>
      <c r="AG1617" s="1"/>
      <c r="AH1617" s="1"/>
    </row>
    <row r="1618" spans="1:34">
      <c r="A1618" s="1"/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"/>
      <c r="AC1618" s="1"/>
      <c r="AD1618" s="1"/>
      <c r="AE1618" s="1"/>
      <c r="AF1618" s="1"/>
      <c r="AG1618" s="1"/>
      <c r="AH1618" s="1"/>
    </row>
    <row r="1619" spans="1:34">
      <c r="A1619" s="1"/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"/>
      <c r="AC1619" s="1"/>
      <c r="AD1619" s="1"/>
      <c r="AE1619" s="1"/>
      <c r="AF1619" s="1"/>
      <c r="AG1619" s="1"/>
      <c r="AH1619" s="1"/>
    </row>
    <row r="1620" spans="1:34">
      <c r="A1620" s="1"/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"/>
      <c r="AC1620" s="1"/>
      <c r="AD1620" s="1"/>
      <c r="AE1620" s="1"/>
      <c r="AF1620" s="1"/>
      <c r="AG1620" s="1"/>
      <c r="AH1620" s="1"/>
    </row>
    <row r="1621" spans="1:34">
      <c r="A1621" s="1"/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"/>
      <c r="AC1621" s="1"/>
      <c r="AD1621" s="1"/>
      <c r="AE1621" s="1"/>
      <c r="AF1621" s="1"/>
      <c r="AG1621" s="1"/>
      <c r="AH1621" s="1"/>
    </row>
    <row r="1622" spans="1:34">
      <c r="A1622" s="1"/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"/>
      <c r="AC1622" s="1"/>
      <c r="AD1622" s="1"/>
      <c r="AE1622" s="1"/>
      <c r="AF1622" s="1"/>
      <c r="AG1622" s="1"/>
      <c r="AH1622" s="1"/>
    </row>
    <row r="1623" spans="1:34">
      <c r="A1623" s="1"/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"/>
      <c r="AC1623" s="1"/>
      <c r="AD1623" s="1"/>
      <c r="AE1623" s="1"/>
      <c r="AF1623" s="1"/>
      <c r="AG1623" s="1"/>
      <c r="AH1623" s="1"/>
    </row>
    <row r="1624" spans="1:34">
      <c r="A1624" s="1"/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"/>
      <c r="AC1624" s="1"/>
      <c r="AD1624" s="1"/>
      <c r="AE1624" s="1"/>
      <c r="AF1624" s="1"/>
      <c r="AG1624" s="1"/>
      <c r="AH1624" s="1"/>
    </row>
    <row r="1625" spans="1:34">
      <c r="A1625" s="1"/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"/>
      <c r="AC1625" s="1"/>
      <c r="AD1625" s="1"/>
      <c r="AE1625" s="1"/>
      <c r="AF1625" s="1"/>
      <c r="AG1625" s="1"/>
      <c r="AH1625" s="1"/>
    </row>
    <row r="1626" spans="1:34">
      <c r="A1626" s="1"/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"/>
      <c r="AC1626" s="1"/>
      <c r="AD1626" s="1"/>
      <c r="AE1626" s="1"/>
      <c r="AF1626" s="1"/>
      <c r="AG1626" s="1"/>
      <c r="AH1626" s="1"/>
    </row>
    <row r="1627" spans="1:34">
      <c r="A1627" s="1"/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"/>
      <c r="AC1627" s="1"/>
      <c r="AD1627" s="1"/>
      <c r="AE1627" s="1"/>
      <c r="AF1627" s="1"/>
      <c r="AG1627" s="1"/>
      <c r="AH1627" s="1"/>
    </row>
    <row r="1628" spans="1:34">
      <c r="A1628" s="1"/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"/>
      <c r="AC1628" s="1"/>
      <c r="AD1628" s="1"/>
      <c r="AE1628" s="1"/>
      <c r="AF1628" s="1"/>
      <c r="AG1628" s="1"/>
      <c r="AH1628" s="1"/>
    </row>
    <row r="1629" spans="1:34">
      <c r="A1629" s="1"/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1"/>
      <c r="AC1629" s="1"/>
      <c r="AD1629" s="1"/>
      <c r="AE1629" s="1"/>
      <c r="AF1629" s="1"/>
      <c r="AG1629" s="1"/>
      <c r="AH1629" s="1"/>
    </row>
    <row r="1630" spans="1:34">
      <c r="A1630" s="1"/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1"/>
      <c r="AC1630" s="1"/>
      <c r="AD1630" s="1"/>
      <c r="AE1630" s="1"/>
      <c r="AF1630" s="1"/>
      <c r="AG1630" s="1"/>
      <c r="AH1630" s="1"/>
    </row>
    <row r="1631" spans="1:34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1"/>
      <c r="AC1631" s="1"/>
      <c r="AD1631" s="1"/>
      <c r="AE1631" s="1"/>
      <c r="AF1631" s="1"/>
      <c r="AG1631" s="1"/>
      <c r="AH1631" s="1"/>
    </row>
    <row r="1632" spans="1:34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1"/>
      <c r="AC1632" s="1"/>
      <c r="AD1632" s="1"/>
      <c r="AE1632" s="1"/>
      <c r="AF1632" s="1"/>
      <c r="AG1632" s="1"/>
      <c r="AH1632" s="1"/>
    </row>
    <row r="1633" spans="1:34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1"/>
      <c r="AC1633" s="1"/>
      <c r="AD1633" s="1"/>
      <c r="AE1633" s="1"/>
      <c r="AF1633" s="1"/>
      <c r="AG1633" s="1"/>
      <c r="AH1633" s="1"/>
    </row>
    <row r="1634" spans="1:34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1"/>
      <c r="AC1634" s="1"/>
      <c r="AD1634" s="1"/>
      <c r="AE1634" s="1"/>
      <c r="AF1634" s="1"/>
      <c r="AG1634" s="1"/>
      <c r="AH1634" s="1"/>
    </row>
    <row r="1635" spans="1:34">
      <c r="A1635" s="1"/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"/>
      <c r="AC1635" s="1"/>
      <c r="AD1635" s="1"/>
      <c r="AE1635" s="1"/>
      <c r="AF1635" s="1"/>
      <c r="AG1635" s="1"/>
      <c r="AH1635" s="1"/>
    </row>
    <row r="1636" spans="1:34">
      <c r="A1636" s="1"/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  <c r="AB1636" s="1"/>
      <c r="AC1636" s="1"/>
      <c r="AD1636" s="1"/>
      <c r="AE1636" s="1"/>
      <c r="AF1636" s="1"/>
      <c r="AG1636" s="1"/>
      <c r="AH1636" s="1"/>
    </row>
    <row r="1637" spans="1:34">
      <c r="A1637" s="1"/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  <c r="AB1637" s="1"/>
      <c r="AC1637" s="1"/>
      <c r="AD1637" s="1"/>
      <c r="AE1637" s="1"/>
      <c r="AF1637" s="1"/>
      <c r="AG1637" s="1"/>
      <c r="AH1637" s="1"/>
    </row>
    <row r="1638" spans="1:34">
      <c r="A1638" s="1"/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  <c r="AB1638" s="1"/>
      <c r="AC1638" s="1"/>
      <c r="AD1638" s="1"/>
      <c r="AE1638" s="1"/>
      <c r="AF1638" s="1"/>
      <c r="AG1638" s="1"/>
      <c r="AH1638" s="1"/>
    </row>
    <row r="1639" spans="1:34">
      <c r="A1639" s="1"/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  <c r="AB1639" s="1"/>
      <c r="AC1639" s="1"/>
      <c r="AD1639" s="1"/>
      <c r="AE1639" s="1"/>
      <c r="AF1639" s="1"/>
      <c r="AG1639" s="1"/>
      <c r="AH1639" s="1"/>
    </row>
    <row r="1640" spans="1:34">
      <c r="A1640" s="1"/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  <c r="AB1640" s="1"/>
      <c r="AC1640" s="1"/>
      <c r="AD1640" s="1"/>
      <c r="AE1640" s="1"/>
      <c r="AF1640" s="1"/>
      <c r="AG1640" s="1"/>
      <c r="AH1640" s="1"/>
    </row>
    <row r="1641" spans="1:34">
      <c r="A1641" s="1"/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  <c r="AB1641" s="1"/>
      <c r="AC1641" s="1"/>
      <c r="AD1641" s="1"/>
      <c r="AE1641" s="1"/>
      <c r="AF1641" s="1"/>
      <c r="AG1641" s="1"/>
      <c r="AH1641" s="1"/>
    </row>
    <row r="1642" spans="1:34">
      <c r="A1642" s="1"/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  <c r="AB1642" s="1"/>
      <c r="AC1642" s="1"/>
      <c r="AD1642" s="1"/>
      <c r="AE1642" s="1"/>
      <c r="AF1642" s="1"/>
      <c r="AG1642" s="1"/>
      <c r="AH1642" s="1"/>
    </row>
    <row r="1643" spans="1:34">
      <c r="A1643" s="1"/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  <c r="AB1643" s="1"/>
      <c r="AC1643" s="1"/>
      <c r="AD1643" s="1"/>
      <c r="AE1643" s="1"/>
      <c r="AF1643" s="1"/>
      <c r="AG1643" s="1"/>
      <c r="AH1643" s="1"/>
    </row>
    <row r="1644" spans="1:34">
      <c r="A1644" s="1"/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  <c r="AB1644" s="1"/>
      <c r="AC1644" s="1"/>
      <c r="AD1644" s="1"/>
      <c r="AE1644" s="1"/>
      <c r="AF1644" s="1"/>
      <c r="AG1644" s="1"/>
      <c r="AH1644" s="1"/>
    </row>
    <row r="1645" spans="1:34">
      <c r="A1645" s="1"/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  <c r="AB1645" s="1"/>
      <c r="AC1645" s="1"/>
      <c r="AD1645" s="1"/>
      <c r="AE1645" s="1"/>
      <c r="AF1645" s="1"/>
      <c r="AG1645" s="1"/>
      <c r="AH1645" s="1"/>
    </row>
    <row r="1646" spans="1:34">
      <c r="A1646" s="1"/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  <c r="AB1646" s="1"/>
      <c r="AC1646" s="1"/>
      <c r="AD1646" s="1"/>
      <c r="AE1646" s="1"/>
      <c r="AF1646" s="1"/>
      <c r="AG1646" s="1"/>
      <c r="AH1646" s="1"/>
    </row>
    <row r="1647" spans="1:34">
      <c r="A1647" s="1"/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  <c r="AB1647" s="1"/>
      <c r="AC1647" s="1"/>
      <c r="AD1647" s="1"/>
      <c r="AE1647" s="1"/>
      <c r="AF1647" s="1"/>
      <c r="AG1647" s="1"/>
      <c r="AH1647" s="1"/>
    </row>
    <row r="1648" spans="1:34">
      <c r="A1648" s="1"/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  <c r="AB1648" s="1"/>
      <c r="AC1648" s="1"/>
      <c r="AD1648" s="1"/>
      <c r="AE1648" s="1"/>
      <c r="AF1648" s="1"/>
      <c r="AG1648" s="1"/>
      <c r="AH1648" s="1"/>
    </row>
    <row r="1649" spans="1:34">
      <c r="A1649" s="1"/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  <c r="AB1649" s="1"/>
      <c r="AC1649" s="1"/>
      <c r="AD1649" s="1"/>
      <c r="AE1649" s="1"/>
      <c r="AF1649" s="1"/>
      <c r="AG1649" s="1"/>
      <c r="AH1649" s="1"/>
    </row>
    <row r="1650" spans="1:34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  <c r="AB1650" s="1"/>
      <c r="AC1650" s="1"/>
      <c r="AD1650" s="1"/>
      <c r="AE1650" s="1"/>
      <c r="AF1650" s="1"/>
      <c r="AG1650" s="1"/>
      <c r="AH1650" s="1"/>
    </row>
    <row r="1651" spans="1:34">
      <c r="A1651" s="1"/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  <c r="AB1651" s="1"/>
      <c r="AC1651" s="1"/>
      <c r="AD1651" s="1"/>
      <c r="AE1651" s="1"/>
      <c r="AF1651" s="1"/>
      <c r="AG1651" s="1"/>
      <c r="AH1651" s="1"/>
    </row>
    <row r="1652" spans="1:34">
      <c r="A1652" s="1"/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  <c r="AB1652" s="1"/>
      <c r="AC1652" s="1"/>
      <c r="AD1652" s="1"/>
      <c r="AE1652" s="1"/>
      <c r="AF1652" s="1"/>
      <c r="AG1652" s="1"/>
      <c r="AH1652" s="1"/>
    </row>
    <row r="1653" spans="1:34">
      <c r="A1653" s="1"/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  <c r="AB1653" s="1"/>
      <c r="AC1653" s="1"/>
      <c r="AD1653" s="1"/>
      <c r="AE1653" s="1"/>
      <c r="AF1653" s="1"/>
      <c r="AG1653" s="1"/>
      <c r="AH1653" s="1"/>
    </row>
    <row r="1654" spans="1:34">
      <c r="A1654" s="1"/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  <c r="AB1654" s="1"/>
      <c r="AC1654" s="1"/>
      <c r="AD1654" s="1"/>
      <c r="AE1654" s="1"/>
      <c r="AF1654" s="1"/>
      <c r="AG1654" s="1"/>
      <c r="AH1654" s="1"/>
    </row>
    <row r="1655" spans="1:34">
      <c r="A1655" s="1"/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  <c r="AB1655" s="1"/>
      <c r="AC1655" s="1"/>
      <c r="AD1655" s="1"/>
      <c r="AE1655" s="1"/>
      <c r="AF1655" s="1"/>
      <c r="AG1655" s="1"/>
      <c r="AH1655" s="1"/>
    </row>
    <row r="1656" spans="1:34">
      <c r="A1656" s="1"/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  <c r="AB1656" s="1"/>
      <c r="AC1656" s="1"/>
      <c r="AD1656" s="1"/>
      <c r="AE1656" s="1"/>
      <c r="AF1656" s="1"/>
      <c r="AG1656" s="1"/>
      <c r="AH1656" s="1"/>
    </row>
    <row r="1657" spans="1:34">
      <c r="A1657" s="1"/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  <c r="AB1657" s="1"/>
      <c r="AC1657" s="1"/>
      <c r="AD1657" s="1"/>
      <c r="AE1657" s="1"/>
      <c r="AF1657" s="1"/>
      <c r="AG1657" s="1"/>
      <c r="AH1657" s="1"/>
    </row>
    <row r="1658" spans="1:34">
      <c r="A1658" s="1"/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  <c r="AB1658" s="1"/>
      <c r="AC1658" s="1"/>
      <c r="AD1658" s="1"/>
      <c r="AE1658" s="1"/>
      <c r="AF1658" s="1"/>
      <c r="AG1658" s="1"/>
      <c r="AH1658" s="1"/>
    </row>
    <row r="1659" spans="1:34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  <c r="AB1659" s="1"/>
      <c r="AC1659" s="1"/>
      <c r="AD1659" s="1"/>
      <c r="AE1659" s="1"/>
      <c r="AF1659" s="1"/>
      <c r="AG1659" s="1"/>
      <c r="AH1659" s="1"/>
    </row>
    <row r="1660" spans="1:34">
      <c r="A1660" s="1"/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  <c r="AB1660" s="1"/>
      <c r="AC1660" s="1"/>
      <c r="AD1660" s="1"/>
      <c r="AE1660" s="1"/>
      <c r="AF1660" s="1"/>
      <c r="AG1660" s="1"/>
      <c r="AH1660" s="1"/>
    </row>
    <row r="1661" spans="1:34">
      <c r="A1661" s="1"/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  <c r="AB1661" s="1"/>
      <c r="AC1661" s="1"/>
      <c r="AD1661" s="1"/>
      <c r="AE1661" s="1"/>
      <c r="AF1661" s="1"/>
      <c r="AG1661" s="1"/>
      <c r="AH1661" s="1"/>
    </row>
    <row r="1662" spans="1:34">
      <c r="A1662" s="1"/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  <c r="AB1662" s="1"/>
      <c r="AC1662" s="1"/>
      <c r="AD1662" s="1"/>
      <c r="AE1662" s="1"/>
      <c r="AF1662" s="1"/>
      <c r="AG1662" s="1"/>
      <c r="AH1662" s="1"/>
    </row>
    <row r="1663" spans="1:34">
      <c r="A1663" s="1"/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  <c r="AB1663" s="1"/>
      <c r="AC1663" s="1"/>
      <c r="AD1663" s="1"/>
      <c r="AE1663" s="1"/>
      <c r="AF1663" s="1"/>
      <c r="AG1663" s="1"/>
      <c r="AH1663" s="1"/>
    </row>
    <row r="1664" spans="1:34">
      <c r="A1664" s="1"/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  <c r="AB1664" s="1"/>
      <c r="AC1664" s="1"/>
      <c r="AD1664" s="1"/>
      <c r="AE1664" s="1"/>
      <c r="AF1664" s="1"/>
      <c r="AG1664" s="1"/>
      <c r="AH1664" s="1"/>
    </row>
    <row r="1665" spans="1:34">
      <c r="A1665" s="1"/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  <c r="AB1665" s="1"/>
      <c r="AC1665" s="1"/>
      <c r="AD1665" s="1"/>
      <c r="AE1665" s="1"/>
      <c r="AF1665" s="1"/>
      <c r="AG1665" s="1"/>
      <c r="AH1665" s="1"/>
    </row>
    <row r="1666" spans="1:34">
      <c r="A1666" s="1"/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  <c r="AB1666" s="1"/>
      <c r="AC1666" s="1"/>
      <c r="AD1666" s="1"/>
      <c r="AE1666" s="1"/>
      <c r="AF1666" s="1"/>
      <c r="AG1666" s="1"/>
      <c r="AH1666" s="1"/>
    </row>
    <row r="1667" spans="1:34">
      <c r="A1667" s="1"/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  <c r="AB1667" s="1"/>
      <c r="AC1667" s="1"/>
      <c r="AD1667" s="1"/>
      <c r="AE1667" s="1"/>
      <c r="AF1667" s="1"/>
      <c r="AG1667" s="1"/>
      <c r="AH1667" s="1"/>
    </row>
    <row r="1668" spans="1:34">
      <c r="A1668" s="1"/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  <c r="AB1668" s="1"/>
      <c r="AC1668" s="1"/>
      <c r="AD1668" s="1"/>
      <c r="AE1668" s="1"/>
      <c r="AF1668" s="1"/>
      <c r="AG1668" s="1"/>
      <c r="AH1668" s="1"/>
    </row>
    <row r="1669" spans="1:34">
      <c r="A1669" s="1"/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  <c r="AB1669" s="1"/>
      <c r="AC1669" s="1"/>
      <c r="AD1669" s="1"/>
      <c r="AE1669" s="1"/>
      <c r="AF1669" s="1"/>
      <c r="AG1669" s="1"/>
      <c r="AH1669" s="1"/>
    </row>
    <row r="1670" spans="1:34">
      <c r="A1670" s="1"/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  <c r="AB1670" s="1"/>
      <c r="AC1670" s="1"/>
      <c r="AD1670" s="1"/>
      <c r="AE1670" s="1"/>
      <c r="AF1670" s="1"/>
      <c r="AG1670" s="1"/>
      <c r="AH1670" s="1"/>
    </row>
    <row r="1671" spans="1:34">
      <c r="A1671" s="1"/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  <c r="AB1671" s="1"/>
      <c r="AC1671" s="1"/>
      <c r="AD1671" s="1"/>
      <c r="AE1671" s="1"/>
      <c r="AF1671" s="1"/>
      <c r="AG1671" s="1"/>
      <c r="AH1671" s="1"/>
    </row>
    <row r="1672" spans="1:34">
      <c r="A1672" s="1"/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  <c r="AB1672" s="1"/>
      <c r="AC1672" s="1"/>
      <c r="AD1672" s="1"/>
      <c r="AE1672" s="1"/>
      <c r="AF1672" s="1"/>
      <c r="AG1672" s="1"/>
      <c r="AH1672" s="1"/>
    </row>
    <row r="1673" spans="1:34">
      <c r="A1673" s="1"/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  <c r="AB1673" s="1"/>
      <c r="AC1673" s="1"/>
      <c r="AD1673" s="1"/>
      <c r="AE1673" s="1"/>
      <c r="AF1673" s="1"/>
      <c r="AG1673" s="1"/>
      <c r="AH1673" s="1"/>
    </row>
    <row r="1674" spans="1:34">
      <c r="A1674" s="1"/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  <c r="AB1674" s="1"/>
      <c r="AC1674" s="1"/>
      <c r="AD1674" s="1"/>
      <c r="AE1674" s="1"/>
      <c r="AF1674" s="1"/>
      <c r="AG1674" s="1"/>
      <c r="AH1674" s="1"/>
    </row>
    <row r="1675" spans="1:34">
      <c r="A1675" s="1"/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  <c r="AB1675" s="1"/>
      <c r="AC1675" s="1"/>
      <c r="AD1675" s="1"/>
      <c r="AE1675" s="1"/>
      <c r="AF1675" s="1"/>
      <c r="AG1675" s="1"/>
      <c r="AH1675" s="1"/>
    </row>
    <row r="1676" spans="1:34">
      <c r="A1676" s="1"/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  <c r="AB1676" s="1"/>
      <c r="AC1676" s="1"/>
      <c r="AD1676" s="1"/>
      <c r="AE1676" s="1"/>
      <c r="AF1676" s="1"/>
      <c r="AG1676" s="1"/>
      <c r="AH1676" s="1"/>
    </row>
    <row r="1677" spans="1:34">
      <c r="A1677" s="1"/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  <c r="AB1677" s="1"/>
      <c r="AC1677" s="1"/>
      <c r="AD1677" s="1"/>
      <c r="AE1677" s="1"/>
      <c r="AF1677" s="1"/>
      <c r="AG1677" s="1"/>
      <c r="AH1677" s="1"/>
    </row>
    <row r="1678" spans="1:34">
      <c r="A1678" s="1"/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  <c r="AB1678" s="1"/>
      <c r="AC1678" s="1"/>
      <c r="AD1678" s="1"/>
      <c r="AE1678" s="1"/>
      <c r="AF1678" s="1"/>
      <c r="AG1678" s="1"/>
      <c r="AH1678" s="1"/>
    </row>
    <row r="1679" spans="1:34">
      <c r="A1679" s="1"/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  <c r="AB1679" s="1"/>
      <c r="AC1679" s="1"/>
      <c r="AD1679" s="1"/>
      <c r="AE1679" s="1"/>
      <c r="AF1679" s="1"/>
      <c r="AG1679" s="1"/>
      <c r="AH1679" s="1"/>
    </row>
    <row r="1680" spans="1:34">
      <c r="A1680" s="1"/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  <c r="AB1680" s="1"/>
      <c r="AC1680" s="1"/>
      <c r="AD1680" s="1"/>
      <c r="AE1680" s="1"/>
      <c r="AF1680" s="1"/>
      <c r="AG1680" s="1"/>
      <c r="AH1680" s="1"/>
    </row>
    <row r="1681" spans="1:34">
      <c r="A1681" s="1"/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  <c r="AB1681" s="1"/>
      <c r="AC1681" s="1"/>
      <c r="AD1681" s="1"/>
      <c r="AE1681" s="1"/>
      <c r="AF1681" s="1"/>
      <c r="AG1681" s="1"/>
      <c r="AH1681" s="1"/>
    </row>
    <row r="1682" spans="1:34">
      <c r="A1682" s="1"/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  <c r="AB1682" s="1"/>
      <c r="AC1682" s="1"/>
      <c r="AD1682" s="1"/>
      <c r="AE1682" s="1"/>
      <c r="AF1682" s="1"/>
      <c r="AG1682" s="1"/>
      <c r="AH1682" s="1"/>
    </row>
    <row r="1683" spans="1:34">
      <c r="A1683" s="1"/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  <c r="AB1683" s="1"/>
      <c r="AC1683" s="1"/>
      <c r="AD1683" s="1"/>
      <c r="AE1683" s="1"/>
      <c r="AF1683" s="1"/>
      <c r="AG1683" s="1"/>
      <c r="AH1683" s="1"/>
    </row>
    <row r="1684" spans="1:34">
      <c r="A1684" s="1"/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  <c r="AB1684" s="1"/>
      <c r="AC1684" s="1"/>
      <c r="AD1684" s="1"/>
      <c r="AE1684" s="1"/>
      <c r="AF1684" s="1"/>
      <c r="AG1684" s="1"/>
      <c r="AH1684" s="1"/>
    </row>
    <row r="1685" spans="1:34">
      <c r="A1685" s="1"/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  <c r="AB1685" s="1"/>
      <c r="AC1685" s="1"/>
      <c r="AD1685" s="1"/>
      <c r="AE1685" s="1"/>
      <c r="AF1685" s="1"/>
      <c r="AG1685" s="1"/>
      <c r="AH1685" s="1"/>
    </row>
    <row r="1686" spans="1:34">
      <c r="A1686" s="1"/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  <c r="AB1686" s="1"/>
      <c r="AC1686" s="1"/>
      <c r="AD1686" s="1"/>
      <c r="AE1686" s="1"/>
      <c r="AF1686" s="1"/>
      <c r="AG1686" s="1"/>
      <c r="AH1686" s="1"/>
    </row>
    <row r="1687" spans="1:34">
      <c r="A1687" s="1"/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  <c r="AB1687" s="1"/>
      <c r="AC1687" s="1"/>
      <c r="AD1687" s="1"/>
      <c r="AE1687" s="1"/>
      <c r="AF1687" s="1"/>
      <c r="AG1687" s="1"/>
      <c r="AH1687" s="1"/>
    </row>
    <row r="1688" spans="1:34">
      <c r="A1688" s="1"/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  <c r="AB1688" s="1"/>
      <c r="AC1688" s="1"/>
      <c r="AD1688" s="1"/>
      <c r="AE1688" s="1"/>
      <c r="AF1688" s="1"/>
      <c r="AG1688" s="1"/>
      <c r="AH1688" s="1"/>
    </row>
    <row r="1689" spans="1:34">
      <c r="A1689" s="1"/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  <c r="AB1689" s="1"/>
      <c r="AC1689" s="1"/>
      <c r="AD1689" s="1"/>
      <c r="AE1689" s="1"/>
      <c r="AF1689" s="1"/>
      <c r="AG1689" s="1"/>
      <c r="AH1689" s="1"/>
    </row>
    <row r="1690" spans="1:34">
      <c r="A1690" s="1"/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  <c r="AB1690" s="1"/>
      <c r="AC1690" s="1"/>
      <c r="AD1690" s="1"/>
      <c r="AE1690" s="1"/>
      <c r="AF1690" s="1"/>
      <c r="AG1690" s="1"/>
      <c r="AH1690" s="1"/>
    </row>
    <row r="1691" spans="1:34">
      <c r="A1691" s="1"/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  <c r="AB1691" s="1"/>
      <c r="AC1691" s="1"/>
      <c r="AD1691" s="1"/>
      <c r="AE1691" s="1"/>
      <c r="AF1691" s="1"/>
      <c r="AG1691" s="1"/>
      <c r="AH1691" s="1"/>
    </row>
    <row r="1692" spans="1:34">
      <c r="A1692" s="1"/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  <c r="AB1692" s="1"/>
      <c r="AC1692" s="1"/>
      <c r="AD1692" s="1"/>
      <c r="AE1692" s="1"/>
      <c r="AF1692" s="1"/>
      <c r="AG1692" s="1"/>
      <c r="AH1692" s="1"/>
    </row>
    <row r="1693" spans="1:34">
      <c r="A1693" s="1"/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  <c r="AB1693" s="1"/>
      <c r="AC1693" s="1"/>
      <c r="AD1693" s="1"/>
      <c r="AE1693" s="1"/>
      <c r="AF1693" s="1"/>
      <c r="AG1693" s="1"/>
      <c r="AH1693" s="1"/>
    </row>
    <row r="1694" spans="1:34">
      <c r="A1694" s="1"/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  <c r="AB1694" s="1"/>
      <c r="AC1694" s="1"/>
      <c r="AD1694" s="1"/>
      <c r="AE1694" s="1"/>
      <c r="AF1694" s="1"/>
      <c r="AG1694" s="1"/>
      <c r="AH1694" s="1"/>
    </row>
    <row r="1695" spans="1:34">
      <c r="A1695" s="1"/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  <c r="AB1695" s="1"/>
      <c r="AC1695" s="1"/>
      <c r="AD1695" s="1"/>
      <c r="AE1695" s="1"/>
      <c r="AF1695" s="1"/>
      <c r="AG1695" s="1"/>
      <c r="AH1695" s="1"/>
    </row>
    <row r="1696" spans="1:34">
      <c r="A1696" s="1"/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  <c r="AB1696" s="1"/>
      <c r="AC1696" s="1"/>
      <c r="AD1696" s="1"/>
      <c r="AE1696" s="1"/>
      <c r="AF1696" s="1"/>
      <c r="AG1696" s="1"/>
      <c r="AH1696" s="1"/>
    </row>
    <row r="1697" spans="1:34">
      <c r="A1697" s="1"/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  <c r="AB1697" s="1"/>
      <c r="AC1697" s="1"/>
      <c r="AD1697" s="1"/>
      <c r="AE1697" s="1"/>
      <c r="AF1697" s="1"/>
      <c r="AG1697" s="1"/>
      <c r="AH1697" s="1"/>
    </row>
    <row r="1698" spans="1:34">
      <c r="A1698" s="1"/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  <c r="AB1698" s="1"/>
      <c r="AC1698" s="1"/>
      <c r="AD1698" s="1"/>
      <c r="AE1698" s="1"/>
      <c r="AF1698" s="1"/>
      <c r="AG1698" s="1"/>
      <c r="AH1698" s="1"/>
    </row>
    <row r="1699" spans="1:34">
      <c r="A1699" s="1"/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  <c r="AB1699" s="1"/>
      <c r="AC1699" s="1"/>
      <c r="AD1699" s="1"/>
      <c r="AE1699" s="1"/>
      <c r="AF1699" s="1"/>
      <c r="AG1699" s="1"/>
      <c r="AH1699" s="1"/>
    </row>
    <row r="1700" spans="1:34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  <c r="AB1700" s="1"/>
      <c r="AC1700" s="1"/>
      <c r="AD1700" s="1"/>
      <c r="AE1700" s="1"/>
      <c r="AF1700" s="1"/>
      <c r="AG1700" s="1"/>
      <c r="AH1700" s="1"/>
    </row>
    <row r="1701" spans="1:34">
      <c r="A1701" s="1"/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  <c r="AB1701" s="1"/>
      <c r="AC1701" s="1"/>
      <c r="AD1701" s="1"/>
      <c r="AE1701" s="1"/>
      <c r="AF1701" s="1"/>
      <c r="AG1701" s="1"/>
      <c r="AH1701" s="1"/>
    </row>
    <row r="1702" spans="1:34">
      <c r="A1702" s="1"/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  <c r="AB1702" s="1"/>
      <c r="AC1702" s="1"/>
      <c r="AD1702" s="1"/>
      <c r="AE1702" s="1"/>
      <c r="AF1702" s="1"/>
      <c r="AG1702" s="1"/>
      <c r="AH1702" s="1"/>
    </row>
    <row r="1703" spans="1:34">
      <c r="A1703" s="1"/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  <c r="AB1703" s="1"/>
      <c r="AC1703" s="1"/>
      <c r="AD1703" s="1"/>
      <c r="AE1703" s="1"/>
      <c r="AF1703" s="1"/>
      <c r="AG1703" s="1"/>
      <c r="AH1703" s="1"/>
    </row>
    <row r="1704" spans="1:34">
      <c r="A1704" s="1"/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  <c r="AB1704" s="1"/>
      <c r="AC1704" s="1"/>
      <c r="AD1704" s="1"/>
      <c r="AE1704" s="1"/>
      <c r="AF1704" s="1"/>
      <c r="AG1704" s="1"/>
      <c r="AH1704" s="1"/>
    </row>
    <row r="1705" spans="1:34">
      <c r="A1705" s="1"/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  <c r="AB1705" s="1"/>
      <c r="AC1705" s="1"/>
      <c r="AD1705" s="1"/>
      <c r="AE1705" s="1"/>
      <c r="AF1705" s="1"/>
      <c r="AG1705" s="1"/>
      <c r="AH1705" s="1"/>
    </row>
    <row r="1706" spans="1:34">
      <c r="A1706" s="1"/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  <c r="AB1706" s="1"/>
      <c r="AC1706" s="1"/>
      <c r="AD1706" s="1"/>
      <c r="AE1706" s="1"/>
      <c r="AF1706" s="1"/>
      <c r="AG1706" s="1"/>
      <c r="AH1706" s="1"/>
    </row>
    <row r="1707" spans="1:34">
      <c r="A1707" s="1"/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  <c r="AB1707" s="1"/>
      <c r="AC1707" s="1"/>
      <c r="AD1707" s="1"/>
      <c r="AE1707" s="1"/>
      <c r="AF1707" s="1"/>
      <c r="AG1707" s="1"/>
      <c r="AH1707" s="1"/>
    </row>
    <row r="1708" spans="1:34">
      <c r="A1708" s="1"/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  <c r="AB1708" s="1"/>
      <c r="AC1708" s="1"/>
      <c r="AD1708" s="1"/>
      <c r="AE1708" s="1"/>
      <c r="AF1708" s="1"/>
      <c r="AG1708" s="1"/>
      <c r="AH1708" s="1"/>
    </row>
    <row r="1709" spans="1:34">
      <c r="A1709" s="1"/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  <c r="AB1709" s="1"/>
      <c r="AC1709" s="1"/>
      <c r="AD1709" s="1"/>
      <c r="AE1709" s="1"/>
      <c r="AF1709" s="1"/>
      <c r="AG1709" s="1"/>
      <c r="AH1709" s="1"/>
    </row>
    <row r="1710" spans="1:34">
      <c r="A1710" s="1"/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  <c r="AB1710" s="1"/>
      <c r="AC1710" s="1"/>
      <c r="AD1710" s="1"/>
      <c r="AE1710" s="1"/>
      <c r="AF1710" s="1"/>
      <c r="AG1710" s="1"/>
      <c r="AH1710" s="1"/>
    </row>
    <row r="1711" spans="1:34">
      <c r="A1711" s="1"/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  <c r="AB1711" s="1"/>
      <c r="AC1711" s="1"/>
      <c r="AD1711" s="1"/>
      <c r="AE1711" s="1"/>
      <c r="AF1711" s="1"/>
      <c r="AG1711" s="1"/>
      <c r="AH1711" s="1"/>
    </row>
    <row r="1712" spans="1:34">
      <c r="A1712" s="1"/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  <c r="AB1712" s="1"/>
      <c r="AC1712" s="1"/>
      <c r="AD1712" s="1"/>
      <c r="AE1712" s="1"/>
      <c r="AF1712" s="1"/>
      <c r="AG1712" s="1"/>
      <c r="AH1712" s="1"/>
    </row>
    <row r="1713" spans="1:34">
      <c r="A1713" s="1"/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  <c r="AB1713" s="1"/>
      <c r="AC1713" s="1"/>
      <c r="AD1713" s="1"/>
      <c r="AE1713" s="1"/>
      <c r="AF1713" s="1"/>
      <c r="AG1713" s="1"/>
      <c r="AH1713" s="1"/>
    </row>
    <row r="1714" spans="1:34">
      <c r="A1714" s="1"/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  <c r="AB1714" s="1"/>
      <c r="AC1714" s="1"/>
      <c r="AD1714" s="1"/>
      <c r="AE1714" s="1"/>
      <c r="AF1714" s="1"/>
      <c r="AG1714" s="1"/>
      <c r="AH1714" s="1"/>
    </row>
    <row r="1715" spans="1:34">
      <c r="A1715" s="1"/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  <c r="AB1715" s="1"/>
      <c r="AC1715" s="1"/>
      <c r="AD1715" s="1"/>
      <c r="AE1715" s="1"/>
      <c r="AF1715" s="1"/>
      <c r="AG1715" s="1"/>
      <c r="AH1715" s="1"/>
    </row>
    <row r="1716" spans="1:34">
      <c r="A1716" s="1"/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  <c r="AB1716" s="1"/>
      <c r="AC1716" s="1"/>
      <c r="AD1716" s="1"/>
      <c r="AE1716" s="1"/>
      <c r="AF1716" s="1"/>
      <c r="AG1716" s="1"/>
      <c r="AH1716" s="1"/>
    </row>
    <row r="1717" spans="1:34">
      <c r="A1717" s="1"/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  <c r="AB1717" s="1"/>
      <c r="AC1717" s="1"/>
      <c r="AD1717" s="1"/>
      <c r="AE1717" s="1"/>
      <c r="AF1717" s="1"/>
      <c r="AG1717" s="1"/>
      <c r="AH1717" s="1"/>
    </row>
    <row r="1718" spans="1:34">
      <c r="A1718" s="1"/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  <c r="AB1718" s="1"/>
      <c r="AC1718" s="1"/>
      <c r="AD1718" s="1"/>
      <c r="AE1718" s="1"/>
      <c r="AF1718" s="1"/>
      <c r="AG1718" s="1"/>
      <c r="AH1718" s="1"/>
    </row>
    <row r="1719" spans="1:34">
      <c r="A1719" s="1"/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  <c r="AB1719" s="1"/>
      <c r="AC1719" s="1"/>
      <c r="AD1719" s="1"/>
      <c r="AE1719" s="1"/>
      <c r="AF1719" s="1"/>
      <c r="AG1719" s="1"/>
      <c r="AH1719" s="1"/>
    </row>
    <row r="1720" spans="1:34">
      <c r="A1720" s="1"/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  <c r="AB1720" s="1"/>
      <c r="AC1720" s="1"/>
      <c r="AD1720" s="1"/>
      <c r="AE1720" s="1"/>
      <c r="AF1720" s="1"/>
      <c r="AG1720" s="1"/>
      <c r="AH1720" s="1"/>
    </row>
    <row r="1721" spans="1:34">
      <c r="A1721" s="1"/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  <c r="AB1721" s="1"/>
      <c r="AC1721" s="1"/>
      <c r="AD1721" s="1"/>
      <c r="AE1721" s="1"/>
      <c r="AF1721" s="1"/>
      <c r="AG1721" s="1"/>
      <c r="AH1721" s="1"/>
    </row>
    <row r="1722" spans="1:34">
      <c r="A1722" s="1"/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  <c r="AB1722" s="1"/>
      <c r="AC1722" s="1"/>
      <c r="AD1722" s="1"/>
      <c r="AE1722" s="1"/>
      <c r="AF1722" s="1"/>
      <c r="AG1722" s="1"/>
      <c r="AH1722" s="1"/>
    </row>
    <row r="1723" spans="1:34">
      <c r="A1723" s="1"/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  <c r="AB1723" s="1"/>
      <c r="AC1723" s="1"/>
      <c r="AD1723" s="1"/>
      <c r="AE1723" s="1"/>
      <c r="AF1723" s="1"/>
      <c r="AG1723" s="1"/>
      <c r="AH1723" s="1"/>
    </row>
    <row r="1724" spans="1:34">
      <c r="A1724" s="1"/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  <c r="AB1724" s="1"/>
      <c r="AC1724" s="1"/>
      <c r="AD1724" s="1"/>
      <c r="AE1724" s="1"/>
      <c r="AF1724" s="1"/>
      <c r="AG1724" s="1"/>
      <c r="AH1724" s="1"/>
    </row>
    <row r="1725" spans="1:34">
      <c r="A1725" s="1"/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  <c r="AB1725" s="1"/>
      <c r="AC1725" s="1"/>
      <c r="AD1725" s="1"/>
      <c r="AE1725" s="1"/>
      <c r="AF1725" s="1"/>
      <c r="AG1725" s="1"/>
      <c r="AH1725" s="1"/>
    </row>
    <row r="1726" spans="1:34">
      <c r="A1726" s="1"/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  <c r="AB1726" s="1"/>
      <c r="AC1726" s="1"/>
      <c r="AD1726" s="1"/>
      <c r="AE1726" s="1"/>
      <c r="AF1726" s="1"/>
      <c r="AG1726" s="1"/>
      <c r="AH1726" s="1"/>
    </row>
    <row r="1727" spans="1:34">
      <c r="A1727" s="1"/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  <c r="AB1727" s="1"/>
      <c r="AC1727" s="1"/>
      <c r="AD1727" s="1"/>
      <c r="AE1727" s="1"/>
      <c r="AF1727" s="1"/>
      <c r="AG1727" s="1"/>
      <c r="AH1727" s="1"/>
    </row>
    <row r="1728" spans="1:34">
      <c r="A1728" s="1"/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  <c r="AB1728" s="1"/>
      <c r="AC1728" s="1"/>
      <c r="AD1728" s="1"/>
      <c r="AE1728" s="1"/>
      <c r="AF1728" s="1"/>
      <c r="AG1728" s="1"/>
      <c r="AH1728" s="1"/>
    </row>
    <row r="1729" spans="1:34">
      <c r="A1729" s="1"/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  <c r="AB1729" s="1"/>
      <c r="AC1729" s="1"/>
      <c r="AD1729" s="1"/>
      <c r="AE1729" s="1"/>
      <c r="AF1729" s="1"/>
      <c r="AG1729" s="1"/>
      <c r="AH1729" s="1"/>
    </row>
    <row r="1730" spans="1:34">
      <c r="A1730" s="1"/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  <c r="AB1730" s="1"/>
      <c r="AC1730" s="1"/>
      <c r="AD1730" s="1"/>
      <c r="AE1730" s="1"/>
      <c r="AF1730" s="1"/>
      <c r="AG1730" s="1"/>
      <c r="AH1730" s="1"/>
    </row>
    <row r="1731" spans="1:34">
      <c r="A1731" s="1"/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  <c r="AB1731" s="1"/>
      <c r="AC1731" s="1"/>
      <c r="AD1731" s="1"/>
      <c r="AE1731" s="1"/>
      <c r="AF1731" s="1"/>
      <c r="AG1731" s="1"/>
      <c r="AH1731" s="1"/>
    </row>
    <row r="1732" spans="1:34">
      <c r="A1732" s="1"/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  <c r="AB1732" s="1"/>
      <c r="AC1732" s="1"/>
      <c r="AD1732" s="1"/>
      <c r="AE1732" s="1"/>
      <c r="AF1732" s="1"/>
      <c r="AG1732" s="1"/>
      <c r="AH1732" s="1"/>
    </row>
    <row r="1733" spans="1:34">
      <c r="A1733" s="1"/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  <c r="AB1733" s="1"/>
      <c r="AC1733" s="1"/>
      <c r="AD1733" s="1"/>
      <c r="AE1733" s="1"/>
      <c r="AF1733" s="1"/>
      <c r="AG1733" s="1"/>
      <c r="AH1733" s="1"/>
    </row>
    <row r="1734" spans="1:34">
      <c r="A1734" s="1"/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  <c r="AB1734" s="1"/>
      <c r="AC1734" s="1"/>
      <c r="AD1734" s="1"/>
      <c r="AE1734" s="1"/>
      <c r="AF1734" s="1"/>
      <c r="AG1734" s="1"/>
      <c r="AH1734" s="1"/>
    </row>
    <row r="1735" spans="1:34">
      <c r="A1735" s="1"/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  <c r="AB1735" s="1"/>
      <c r="AC1735" s="1"/>
      <c r="AD1735" s="1"/>
      <c r="AE1735" s="1"/>
      <c r="AF1735" s="1"/>
      <c r="AG1735" s="1"/>
      <c r="AH1735" s="1"/>
    </row>
    <row r="1736" spans="1:34">
      <c r="A1736" s="1"/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  <c r="AB1736" s="1"/>
      <c r="AC1736" s="1"/>
      <c r="AD1736" s="1"/>
      <c r="AE1736" s="1"/>
      <c r="AF1736" s="1"/>
      <c r="AG1736" s="1"/>
      <c r="AH1736" s="1"/>
    </row>
    <row r="1737" spans="1:34">
      <c r="A1737" s="1"/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  <c r="AB1737" s="1"/>
      <c r="AC1737" s="1"/>
      <c r="AD1737" s="1"/>
      <c r="AE1737" s="1"/>
      <c r="AF1737" s="1"/>
      <c r="AG1737" s="1"/>
      <c r="AH1737" s="1"/>
    </row>
    <row r="1738" spans="1:34">
      <c r="A1738" s="1"/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  <c r="AB1738" s="1"/>
      <c r="AC1738" s="1"/>
      <c r="AD1738" s="1"/>
      <c r="AE1738" s="1"/>
      <c r="AF1738" s="1"/>
      <c r="AG1738" s="1"/>
      <c r="AH1738" s="1"/>
    </row>
    <row r="1739" spans="1:34">
      <c r="A1739" s="1"/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  <c r="AB1739" s="1"/>
      <c r="AC1739" s="1"/>
      <c r="AD1739" s="1"/>
      <c r="AE1739" s="1"/>
      <c r="AF1739" s="1"/>
      <c r="AG1739" s="1"/>
      <c r="AH1739" s="1"/>
    </row>
    <row r="1740" spans="1:34">
      <c r="A1740" s="1"/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  <c r="AB1740" s="1"/>
      <c r="AC1740" s="1"/>
      <c r="AD1740" s="1"/>
      <c r="AE1740" s="1"/>
      <c r="AF1740" s="1"/>
      <c r="AG1740" s="1"/>
      <c r="AH1740" s="1"/>
    </row>
    <row r="1741" spans="1:34">
      <c r="A1741" s="1"/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  <c r="AB1741" s="1"/>
      <c r="AC1741" s="1"/>
      <c r="AD1741" s="1"/>
      <c r="AE1741" s="1"/>
      <c r="AF1741" s="1"/>
      <c r="AG1741" s="1"/>
      <c r="AH1741" s="1"/>
    </row>
    <row r="1742" spans="1:34">
      <c r="A1742" s="1"/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  <c r="AB1742" s="1"/>
      <c r="AC1742" s="1"/>
      <c r="AD1742" s="1"/>
      <c r="AE1742" s="1"/>
      <c r="AF1742" s="1"/>
      <c r="AG1742" s="1"/>
      <c r="AH1742" s="1"/>
    </row>
    <row r="1743" spans="1:34">
      <c r="A1743" s="1"/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  <c r="AB1743" s="1"/>
      <c r="AC1743" s="1"/>
      <c r="AD1743" s="1"/>
      <c r="AE1743" s="1"/>
      <c r="AF1743" s="1"/>
      <c r="AG1743" s="1"/>
      <c r="AH1743" s="1"/>
    </row>
    <row r="1744" spans="1:34">
      <c r="A1744" s="1"/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"/>
      <c r="AC1744" s="1"/>
      <c r="AD1744" s="1"/>
      <c r="AE1744" s="1"/>
      <c r="AF1744" s="1"/>
      <c r="AG1744" s="1"/>
      <c r="AH1744" s="1"/>
    </row>
    <row r="1745" spans="1:34">
      <c r="A1745" s="1"/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  <c r="AB1745" s="1"/>
      <c r="AC1745" s="1"/>
      <c r="AD1745" s="1"/>
      <c r="AE1745" s="1"/>
      <c r="AF1745" s="1"/>
      <c r="AG1745" s="1"/>
      <c r="AH1745" s="1"/>
    </row>
    <row r="1746" spans="1:34">
      <c r="A1746" s="1"/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  <c r="AB1746" s="1"/>
      <c r="AC1746" s="1"/>
      <c r="AD1746" s="1"/>
      <c r="AE1746" s="1"/>
      <c r="AF1746" s="1"/>
      <c r="AG1746" s="1"/>
      <c r="AH1746" s="1"/>
    </row>
    <row r="1747" spans="1:34">
      <c r="A1747" s="1"/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  <c r="AB1747" s="1"/>
      <c r="AC1747" s="1"/>
      <c r="AD1747" s="1"/>
      <c r="AE1747" s="1"/>
      <c r="AF1747" s="1"/>
      <c r="AG1747" s="1"/>
      <c r="AH1747" s="1"/>
    </row>
    <row r="1748" spans="1:34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"/>
      <c r="AC1748" s="1"/>
      <c r="AD1748" s="1"/>
      <c r="AE1748" s="1"/>
      <c r="AF1748" s="1"/>
      <c r="AG1748" s="1"/>
      <c r="AH1748" s="1"/>
    </row>
    <row r="1749" spans="1:34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"/>
      <c r="AC1749" s="1"/>
      <c r="AD1749" s="1"/>
      <c r="AE1749" s="1"/>
      <c r="AF1749" s="1"/>
      <c r="AG1749" s="1"/>
      <c r="AH1749" s="1"/>
    </row>
    <row r="1750" spans="1:34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"/>
      <c r="AC1750" s="1"/>
      <c r="AD1750" s="1"/>
      <c r="AE1750" s="1"/>
      <c r="AF1750" s="1"/>
      <c r="AG1750" s="1"/>
      <c r="AH1750" s="1"/>
    </row>
    <row r="1751" spans="1:34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"/>
      <c r="AC1751" s="1"/>
      <c r="AD1751" s="1"/>
      <c r="AE1751" s="1"/>
      <c r="AF1751" s="1"/>
      <c r="AG1751" s="1"/>
      <c r="AH1751" s="1"/>
    </row>
    <row r="1752" spans="1:34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"/>
      <c r="AC1752" s="1"/>
      <c r="AD1752" s="1"/>
      <c r="AE1752" s="1"/>
      <c r="AF1752" s="1"/>
      <c r="AG1752" s="1"/>
      <c r="AH1752" s="1"/>
    </row>
    <row r="1753" spans="1:34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"/>
      <c r="AC1753" s="1"/>
      <c r="AD1753" s="1"/>
      <c r="AE1753" s="1"/>
      <c r="AF1753" s="1"/>
      <c r="AG1753" s="1"/>
      <c r="AH1753" s="1"/>
    </row>
    <row r="1754" spans="1:34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"/>
      <c r="AC1754" s="1"/>
      <c r="AD1754" s="1"/>
      <c r="AE1754" s="1"/>
      <c r="AF1754" s="1"/>
      <c r="AG1754" s="1"/>
      <c r="AH1754" s="1"/>
    </row>
    <row r="1755" spans="1:34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"/>
      <c r="AC1755" s="1"/>
      <c r="AD1755" s="1"/>
      <c r="AE1755" s="1"/>
      <c r="AF1755" s="1"/>
      <c r="AG1755" s="1"/>
      <c r="AH1755" s="1"/>
    </row>
    <row r="1756" spans="1:34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"/>
      <c r="AC1756" s="1"/>
      <c r="AD1756" s="1"/>
      <c r="AE1756" s="1"/>
      <c r="AF1756" s="1"/>
      <c r="AG1756" s="1"/>
      <c r="AH1756" s="1"/>
    </row>
    <row r="1757" spans="1:34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"/>
      <c r="AC1757" s="1"/>
      <c r="AD1757" s="1"/>
      <c r="AE1757" s="1"/>
      <c r="AF1757" s="1"/>
      <c r="AG1757" s="1"/>
      <c r="AH1757" s="1"/>
    </row>
    <row r="1758" spans="1:34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"/>
      <c r="AC1758" s="1"/>
      <c r="AD1758" s="1"/>
      <c r="AE1758" s="1"/>
      <c r="AF1758" s="1"/>
      <c r="AG1758" s="1"/>
      <c r="AH1758" s="1"/>
    </row>
    <row r="1759" spans="1:34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"/>
      <c r="AC1759" s="1"/>
      <c r="AD1759" s="1"/>
      <c r="AE1759" s="1"/>
      <c r="AF1759" s="1"/>
      <c r="AG1759" s="1"/>
      <c r="AH1759" s="1"/>
    </row>
    <row r="1760" spans="1:34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"/>
      <c r="AC1760" s="1"/>
      <c r="AD1760" s="1"/>
      <c r="AE1760" s="1"/>
      <c r="AF1760" s="1"/>
      <c r="AG1760" s="1"/>
      <c r="AH1760" s="1"/>
    </row>
    <row r="1761" spans="1:34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"/>
      <c r="AC1761" s="1"/>
      <c r="AD1761" s="1"/>
      <c r="AE1761" s="1"/>
      <c r="AF1761" s="1"/>
      <c r="AG1761" s="1"/>
      <c r="AH1761" s="1"/>
    </row>
    <row r="1762" spans="1:34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"/>
      <c r="AC1762" s="1"/>
      <c r="AD1762" s="1"/>
      <c r="AE1762" s="1"/>
      <c r="AF1762" s="1"/>
      <c r="AG1762" s="1"/>
      <c r="AH1762" s="1"/>
    </row>
    <row r="1763" spans="1:34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"/>
      <c r="AC1763" s="1"/>
      <c r="AD1763" s="1"/>
      <c r="AE1763" s="1"/>
      <c r="AF1763" s="1"/>
      <c r="AG1763" s="1"/>
      <c r="AH1763" s="1"/>
    </row>
    <row r="1764" spans="1:34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"/>
      <c r="AC1764" s="1"/>
      <c r="AD1764" s="1"/>
      <c r="AE1764" s="1"/>
      <c r="AF1764" s="1"/>
      <c r="AG1764" s="1"/>
      <c r="AH1764" s="1"/>
    </row>
    <row r="1765" spans="1:34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"/>
      <c r="AC1765" s="1"/>
      <c r="AD1765" s="1"/>
      <c r="AE1765" s="1"/>
      <c r="AF1765" s="1"/>
      <c r="AG1765" s="1"/>
      <c r="AH1765" s="1"/>
    </row>
    <row r="1766" spans="1:34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"/>
      <c r="AC1766" s="1"/>
      <c r="AD1766" s="1"/>
      <c r="AE1766" s="1"/>
      <c r="AF1766" s="1"/>
      <c r="AG1766" s="1"/>
      <c r="AH1766" s="1"/>
    </row>
    <row r="1767" spans="1:34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"/>
      <c r="AC1767" s="1"/>
      <c r="AD1767" s="1"/>
      <c r="AE1767" s="1"/>
      <c r="AF1767" s="1"/>
      <c r="AG1767" s="1"/>
      <c r="AH1767" s="1"/>
    </row>
    <row r="1768" spans="1:34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"/>
      <c r="AC1768" s="1"/>
      <c r="AD1768" s="1"/>
      <c r="AE1768" s="1"/>
      <c r="AF1768" s="1"/>
      <c r="AG1768" s="1"/>
      <c r="AH1768" s="1"/>
    </row>
    <row r="1769" spans="1:34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"/>
      <c r="AC1769" s="1"/>
      <c r="AD1769" s="1"/>
      <c r="AE1769" s="1"/>
      <c r="AF1769" s="1"/>
      <c r="AG1769" s="1"/>
      <c r="AH1769" s="1"/>
    </row>
    <row r="1770" spans="1:34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"/>
      <c r="AC1770" s="1"/>
      <c r="AD1770" s="1"/>
      <c r="AE1770" s="1"/>
      <c r="AF1770" s="1"/>
      <c r="AG1770" s="1"/>
      <c r="AH1770" s="1"/>
    </row>
    <row r="1771" spans="1:34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"/>
      <c r="AC1771" s="1"/>
      <c r="AD1771" s="1"/>
      <c r="AE1771" s="1"/>
      <c r="AF1771" s="1"/>
      <c r="AG1771" s="1"/>
      <c r="AH1771" s="1"/>
    </row>
    <row r="1772" spans="1:34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"/>
      <c r="AC1772" s="1"/>
      <c r="AD1772" s="1"/>
      <c r="AE1772" s="1"/>
      <c r="AF1772" s="1"/>
      <c r="AG1772" s="1"/>
      <c r="AH1772" s="1"/>
    </row>
    <row r="1773" spans="1:34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"/>
      <c r="AC1773" s="1"/>
      <c r="AD1773" s="1"/>
      <c r="AE1773" s="1"/>
      <c r="AF1773" s="1"/>
      <c r="AG1773" s="1"/>
      <c r="AH1773" s="1"/>
    </row>
    <row r="1774" spans="1:34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1"/>
      <c r="AC1774" s="1"/>
      <c r="AD1774" s="1"/>
      <c r="AE1774" s="1"/>
      <c r="AF1774" s="1"/>
      <c r="AG1774" s="1"/>
      <c r="AH1774" s="1"/>
    </row>
    <row r="1775" spans="1:34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1"/>
      <c r="AC1775" s="1"/>
      <c r="AD1775" s="1"/>
      <c r="AE1775" s="1"/>
      <c r="AF1775" s="1"/>
      <c r="AG1775" s="1"/>
      <c r="AH1775" s="1"/>
    </row>
    <row r="1776" spans="1:34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1"/>
      <c r="AC1776" s="1"/>
      <c r="AD1776" s="1"/>
      <c r="AE1776" s="1"/>
      <c r="AF1776" s="1"/>
      <c r="AG1776" s="1"/>
      <c r="AH1776" s="1"/>
    </row>
    <row r="1777" spans="1:34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1"/>
      <c r="AC1777" s="1"/>
      <c r="AD1777" s="1"/>
      <c r="AE1777" s="1"/>
      <c r="AF1777" s="1"/>
      <c r="AG1777" s="1"/>
      <c r="AH1777" s="1"/>
    </row>
    <row r="1778" spans="1:34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1"/>
      <c r="AC1778" s="1"/>
      <c r="AD1778" s="1"/>
      <c r="AE1778" s="1"/>
      <c r="AF1778" s="1"/>
      <c r="AG1778" s="1"/>
      <c r="AH1778" s="1"/>
    </row>
    <row r="1779" spans="1:34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1"/>
      <c r="AC1779" s="1"/>
      <c r="AD1779" s="1"/>
      <c r="AE1779" s="1"/>
      <c r="AF1779" s="1"/>
      <c r="AG1779" s="1"/>
      <c r="AH1779" s="1"/>
    </row>
    <row r="1780" spans="1:34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1"/>
      <c r="AC1780" s="1"/>
      <c r="AD1780" s="1"/>
      <c r="AE1780" s="1"/>
      <c r="AF1780" s="1"/>
      <c r="AG1780" s="1"/>
      <c r="AH1780" s="1"/>
    </row>
    <row r="1781" spans="1:34">
      <c r="A1781" s="1"/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  <c r="AB1781" s="1"/>
      <c r="AC1781" s="1"/>
      <c r="AD1781" s="1"/>
      <c r="AE1781" s="1"/>
      <c r="AF1781" s="1"/>
      <c r="AG1781" s="1"/>
      <c r="AH1781" s="1"/>
    </row>
    <row r="1782" spans="1:34">
      <c r="A1782" s="1"/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  <c r="AB1782" s="1"/>
      <c r="AC1782" s="1"/>
      <c r="AD1782" s="1"/>
      <c r="AE1782" s="1"/>
      <c r="AF1782" s="1"/>
      <c r="AG1782" s="1"/>
      <c r="AH1782" s="1"/>
    </row>
    <row r="1783" spans="1:34">
      <c r="A1783" s="1"/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  <c r="AB1783" s="1"/>
      <c r="AC1783" s="1"/>
      <c r="AD1783" s="1"/>
      <c r="AE1783" s="1"/>
      <c r="AF1783" s="1"/>
      <c r="AG1783" s="1"/>
      <c r="AH1783" s="1"/>
    </row>
    <row r="1784" spans="1:34">
      <c r="A1784" s="1"/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  <c r="AB1784" s="1"/>
      <c r="AC1784" s="1"/>
      <c r="AD1784" s="1"/>
      <c r="AE1784" s="1"/>
      <c r="AF1784" s="1"/>
      <c r="AG1784" s="1"/>
      <c r="AH1784" s="1"/>
    </row>
    <row r="1785" spans="1:34">
      <c r="A1785" s="1"/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  <c r="AB1785" s="1"/>
      <c r="AC1785" s="1"/>
      <c r="AD1785" s="1"/>
      <c r="AE1785" s="1"/>
      <c r="AF1785" s="1"/>
      <c r="AG1785" s="1"/>
      <c r="AH1785" s="1"/>
    </row>
    <row r="1786" spans="1:34">
      <c r="A1786" s="1"/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  <c r="AB1786" s="1"/>
      <c r="AC1786" s="1"/>
      <c r="AD1786" s="1"/>
      <c r="AE1786" s="1"/>
      <c r="AF1786" s="1"/>
      <c r="AG1786" s="1"/>
      <c r="AH1786" s="1"/>
    </row>
    <row r="1787" spans="1:34">
      <c r="A1787" s="1"/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  <c r="AB1787" s="1"/>
      <c r="AC1787" s="1"/>
      <c r="AD1787" s="1"/>
      <c r="AE1787" s="1"/>
      <c r="AF1787" s="1"/>
      <c r="AG1787" s="1"/>
      <c r="AH1787" s="1"/>
    </row>
    <row r="1788" spans="1:34">
      <c r="A1788" s="1"/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  <c r="AB1788" s="1"/>
      <c r="AC1788" s="1"/>
      <c r="AD1788" s="1"/>
      <c r="AE1788" s="1"/>
      <c r="AF1788" s="1"/>
      <c r="AG1788" s="1"/>
      <c r="AH1788" s="1"/>
    </row>
    <row r="1789" spans="1:34">
      <c r="A1789" s="1"/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  <c r="AB1789" s="1"/>
      <c r="AC1789" s="1"/>
      <c r="AD1789" s="1"/>
      <c r="AE1789" s="1"/>
      <c r="AF1789" s="1"/>
      <c r="AG1789" s="1"/>
      <c r="AH1789" s="1"/>
    </row>
    <row r="1790" spans="1:34">
      <c r="A1790" s="1"/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  <c r="AB1790" s="1"/>
      <c r="AC1790" s="1"/>
      <c r="AD1790" s="1"/>
      <c r="AE1790" s="1"/>
      <c r="AF1790" s="1"/>
      <c r="AG1790" s="1"/>
      <c r="AH1790" s="1"/>
    </row>
    <row r="1791" spans="1:34">
      <c r="A1791" s="1"/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  <c r="AB1791" s="1"/>
      <c r="AC1791" s="1"/>
      <c r="AD1791" s="1"/>
      <c r="AE1791" s="1"/>
      <c r="AF1791" s="1"/>
      <c r="AG1791" s="1"/>
      <c r="AH1791" s="1"/>
    </row>
    <row r="1792" spans="1:34">
      <c r="A1792" s="1"/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  <c r="AB1792" s="1"/>
      <c r="AC1792" s="1"/>
      <c r="AD1792" s="1"/>
      <c r="AE1792" s="1"/>
      <c r="AF1792" s="1"/>
      <c r="AG1792" s="1"/>
      <c r="AH1792" s="1"/>
    </row>
    <row r="1793" spans="1:34">
      <c r="A1793" s="1"/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  <c r="AB1793" s="1"/>
      <c r="AC1793" s="1"/>
      <c r="AD1793" s="1"/>
      <c r="AE1793" s="1"/>
      <c r="AF1793" s="1"/>
      <c r="AG1793" s="1"/>
      <c r="AH1793" s="1"/>
    </row>
    <row r="1794" spans="1:34">
      <c r="A1794" s="1"/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  <c r="AB1794" s="1"/>
      <c r="AC1794" s="1"/>
      <c r="AD1794" s="1"/>
      <c r="AE1794" s="1"/>
      <c r="AF1794" s="1"/>
      <c r="AG1794" s="1"/>
      <c r="AH1794" s="1"/>
    </row>
    <row r="1795" spans="1:34">
      <c r="A1795" s="1"/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  <c r="AB1795" s="1"/>
      <c r="AC1795" s="1"/>
      <c r="AD1795" s="1"/>
      <c r="AE1795" s="1"/>
      <c r="AF1795" s="1"/>
      <c r="AG1795" s="1"/>
      <c r="AH1795" s="1"/>
    </row>
    <row r="1796" spans="1:34">
      <c r="A1796" s="1"/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  <c r="AB1796" s="1"/>
      <c r="AC1796" s="1"/>
      <c r="AD1796" s="1"/>
      <c r="AE1796" s="1"/>
      <c r="AF1796" s="1"/>
      <c r="AG1796" s="1"/>
      <c r="AH1796" s="1"/>
    </row>
    <row r="1797" spans="1:34">
      <c r="A1797" s="1"/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  <c r="AB1797" s="1"/>
      <c r="AC1797" s="1"/>
      <c r="AD1797" s="1"/>
      <c r="AE1797" s="1"/>
      <c r="AF1797" s="1"/>
      <c r="AG1797" s="1"/>
      <c r="AH1797" s="1"/>
    </row>
    <row r="1798" spans="1:34">
      <c r="A1798" s="1"/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  <c r="AB1798" s="1"/>
      <c r="AC1798" s="1"/>
      <c r="AD1798" s="1"/>
      <c r="AE1798" s="1"/>
      <c r="AF1798" s="1"/>
      <c r="AG1798" s="1"/>
      <c r="AH1798" s="1"/>
    </row>
    <row r="1799" spans="1:34">
      <c r="A1799" s="1"/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  <c r="AB1799" s="1"/>
      <c r="AC1799" s="1"/>
      <c r="AD1799" s="1"/>
      <c r="AE1799" s="1"/>
      <c r="AF1799" s="1"/>
      <c r="AG1799" s="1"/>
      <c r="AH1799" s="1"/>
    </row>
    <row r="1800" spans="1:34">
      <c r="A1800" s="1"/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  <c r="AB1800" s="1"/>
      <c r="AC1800" s="1"/>
      <c r="AD1800" s="1"/>
      <c r="AE1800" s="1"/>
      <c r="AF1800" s="1"/>
      <c r="AG1800" s="1"/>
      <c r="AH1800" s="1"/>
    </row>
    <row r="1801" spans="1:34">
      <c r="A1801" s="1"/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  <c r="AB1801" s="1"/>
      <c r="AC1801" s="1"/>
      <c r="AD1801" s="1"/>
      <c r="AE1801" s="1"/>
      <c r="AF1801" s="1"/>
      <c r="AG1801" s="1"/>
      <c r="AH1801" s="1"/>
    </row>
    <row r="1802" spans="1:34">
      <c r="A1802" s="1"/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  <c r="AB1802" s="1"/>
      <c r="AC1802" s="1"/>
      <c r="AD1802" s="1"/>
      <c r="AE1802" s="1"/>
      <c r="AF1802" s="1"/>
      <c r="AG1802" s="1"/>
      <c r="AH1802" s="1"/>
    </row>
    <row r="1803" spans="1:34">
      <c r="A1803" s="1"/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  <c r="AB1803" s="1"/>
      <c r="AC1803" s="1"/>
      <c r="AD1803" s="1"/>
      <c r="AE1803" s="1"/>
      <c r="AF1803" s="1"/>
      <c r="AG1803" s="1"/>
      <c r="AH1803" s="1"/>
    </row>
    <row r="1804" spans="1:34">
      <c r="A1804" s="1"/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  <c r="AB1804" s="1"/>
      <c r="AC1804" s="1"/>
      <c r="AD1804" s="1"/>
      <c r="AE1804" s="1"/>
      <c r="AF1804" s="1"/>
      <c r="AG1804" s="1"/>
      <c r="AH1804" s="1"/>
    </row>
    <row r="1805" spans="1:34">
      <c r="A1805" s="1"/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  <c r="AB1805" s="1"/>
      <c r="AC1805" s="1"/>
      <c r="AD1805" s="1"/>
      <c r="AE1805" s="1"/>
      <c r="AF1805" s="1"/>
      <c r="AG1805" s="1"/>
      <c r="AH1805" s="1"/>
    </row>
    <row r="1806" spans="1:34">
      <c r="A1806" s="1"/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  <c r="AB1806" s="1"/>
      <c r="AC1806" s="1"/>
      <c r="AD1806" s="1"/>
      <c r="AE1806" s="1"/>
      <c r="AF1806" s="1"/>
      <c r="AG1806" s="1"/>
      <c r="AH1806" s="1"/>
    </row>
    <row r="1807" spans="1:34">
      <c r="A1807" s="1"/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  <c r="AB1807" s="1"/>
      <c r="AC1807" s="1"/>
      <c r="AD1807" s="1"/>
      <c r="AE1807" s="1"/>
      <c r="AF1807" s="1"/>
      <c r="AG1807" s="1"/>
      <c r="AH1807" s="1"/>
    </row>
    <row r="1808" spans="1:34">
      <c r="A1808" s="1"/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  <c r="AB1808" s="1"/>
      <c r="AC1808" s="1"/>
      <c r="AD1808" s="1"/>
      <c r="AE1808" s="1"/>
      <c r="AF1808" s="1"/>
      <c r="AG1808" s="1"/>
      <c r="AH1808" s="1"/>
    </row>
    <row r="1809" spans="1:34">
      <c r="A1809" s="1"/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  <c r="AB1809" s="1"/>
      <c r="AC1809" s="1"/>
      <c r="AD1809" s="1"/>
      <c r="AE1809" s="1"/>
      <c r="AF1809" s="1"/>
      <c r="AG1809" s="1"/>
      <c r="AH1809" s="1"/>
    </row>
    <row r="1810" spans="1:34">
      <c r="A1810" s="1"/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  <c r="AB1810" s="1"/>
      <c r="AC1810" s="1"/>
      <c r="AD1810" s="1"/>
      <c r="AE1810" s="1"/>
      <c r="AF1810" s="1"/>
      <c r="AG1810" s="1"/>
      <c r="AH1810" s="1"/>
    </row>
    <row r="1811" spans="1:34">
      <c r="A1811" s="1"/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  <c r="AB1811" s="1"/>
      <c r="AC1811" s="1"/>
      <c r="AD1811" s="1"/>
      <c r="AE1811" s="1"/>
      <c r="AF1811" s="1"/>
      <c r="AG1811" s="1"/>
      <c r="AH1811" s="1"/>
    </row>
    <row r="1812" spans="1:34">
      <c r="A1812" s="1"/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  <c r="AB1812" s="1"/>
      <c r="AC1812" s="1"/>
      <c r="AD1812" s="1"/>
      <c r="AE1812" s="1"/>
      <c r="AF1812" s="1"/>
      <c r="AG1812" s="1"/>
      <c r="AH1812" s="1"/>
    </row>
    <row r="1813" spans="1:34">
      <c r="A1813" s="1"/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  <c r="AB1813" s="1"/>
      <c r="AC1813" s="1"/>
      <c r="AD1813" s="1"/>
      <c r="AE1813" s="1"/>
      <c r="AF1813" s="1"/>
      <c r="AG1813" s="1"/>
      <c r="AH1813" s="1"/>
    </row>
    <row r="1814" spans="1:34">
      <c r="A1814" s="1"/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  <c r="AB1814" s="1"/>
      <c r="AC1814" s="1"/>
      <c r="AD1814" s="1"/>
      <c r="AE1814" s="1"/>
      <c r="AF1814" s="1"/>
      <c r="AG1814" s="1"/>
      <c r="AH1814" s="1"/>
    </row>
    <row r="1815" spans="1:34">
      <c r="A1815" s="1"/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  <c r="AB1815" s="1"/>
      <c r="AC1815" s="1"/>
      <c r="AD1815" s="1"/>
      <c r="AE1815" s="1"/>
      <c r="AF1815" s="1"/>
      <c r="AG1815" s="1"/>
      <c r="AH1815" s="1"/>
    </row>
    <row r="1816" spans="1:34">
      <c r="A1816" s="1"/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  <c r="AB1816" s="1"/>
      <c r="AC1816" s="1"/>
      <c r="AD1816" s="1"/>
      <c r="AE1816" s="1"/>
      <c r="AF1816" s="1"/>
      <c r="AG1816" s="1"/>
      <c r="AH1816" s="1"/>
    </row>
    <row r="1817" spans="1:34">
      <c r="A1817" s="1"/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  <c r="AB1817" s="1"/>
      <c r="AC1817" s="1"/>
      <c r="AD1817" s="1"/>
      <c r="AE1817" s="1"/>
      <c r="AF1817" s="1"/>
      <c r="AG1817" s="1"/>
      <c r="AH1817" s="1"/>
    </row>
    <row r="1818" spans="1:34">
      <c r="A1818" s="1"/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  <c r="AB1818" s="1"/>
      <c r="AC1818" s="1"/>
      <c r="AD1818" s="1"/>
      <c r="AE1818" s="1"/>
      <c r="AF1818" s="1"/>
      <c r="AG1818" s="1"/>
      <c r="AH1818" s="1"/>
    </row>
    <row r="1819" spans="1:34">
      <c r="A1819" s="1"/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  <c r="AB1819" s="1"/>
      <c r="AC1819" s="1"/>
      <c r="AD1819" s="1"/>
      <c r="AE1819" s="1"/>
      <c r="AF1819" s="1"/>
      <c r="AG1819" s="1"/>
      <c r="AH1819" s="1"/>
    </row>
    <row r="1820" spans="1:34">
      <c r="A1820" s="1"/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  <c r="AB1820" s="1"/>
      <c r="AC1820" s="1"/>
      <c r="AD1820" s="1"/>
      <c r="AE1820" s="1"/>
      <c r="AF1820" s="1"/>
      <c r="AG1820" s="1"/>
      <c r="AH1820" s="1"/>
    </row>
    <row r="1821" spans="1:34">
      <c r="A1821" s="1"/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  <c r="AB1821" s="1"/>
      <c r="AC1821" s="1"/>
      <c r="AD1821" s="1"/>
      <c r="AE1821" s="1"/>
      <c r="AF1821" s="1"/>
      <c r="AG1821" s="1"/>
      <c r="AH1821" s="1"/>
    </row>
    <row r="1822" spans="1:34">
      <c r="A1822" s="1"/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  <c r="AB1822" s="1"/>
      <c r="AC1822" s="1"/>
      <c r="AD1822" s="1"/>
      <c r="AE1822" s="1"/>
      <c r="AF1822" s="1"/>
      <c r="AG1822" s="1"/>
      <c r="AH1822" s="1"/>
    </row>
    <row r="1823" spans="1:34">
      <c r="A1823" s="1"/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  <c r="AB1823" s="1"/>
      <c r="AC1823" s="1"/>
      <c r="AD1823" s="1"/>
      <c r="AE1823" s="1"/>
      <c r="AF1823" s="1"/>
      <c r="AG1823" s="1"/>
      <c r="AH1823" s="1"/>
    </row>
    <row r="1824" spans="1:34">
      <c r="A1824" s="1"/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  <c r="AB1824" s="1"/>
      <c r="AC1824" s="1"/>
      <c r="AD1824" s="1"/>
      <c r="AE1824" s="1"/>
      <c r="AF1824" s="1"/>
      <c r="AG1824" s="1"/>
      <c r="AH1824" s="1"/>
    </row>
    <row r="1825" spans="1:34">
      <c r="A1825" s="1"/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  <c r="AB1825" s="1"/>
      <c r="AC1825" s="1"/>
      <c r="AD1825" s="1"/>
      <c r="AE1825" s="1"/>
      <c r="AF1825" s="1"/>
      <c r="AG1825" s="1"/>
      <c r="AH1825" s="1"/>
    </row>
    <row r="1826" spans="1:34">
      <c r="A1826" s="1"/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  <c r="AB1826" s="1"/>
      <c r="AC1826" s="1"/>
      <c r="AD1826" s="1"/>
      <c r="AE1826" s="1"/>
      <c r="AF1826" s="1"/>
      <c r="AG1826" s="1"/>
      <c r="AH1826" s="1"/>
    </row>
    <row r="1827" spans="1:34">
      <c r="A1827" s="1"/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  <c r="AB1827" s="1"/>
      <c r="AC1827" s="1"/>
      <c r="AD1827" s="1"/>
      <c r="AE1827" s="1"/>
      <c r="AF1827" s="1"/>
      <c r="AG1827" s="1"/>
      <c r="AH1827" s="1"/>
    </row>
    <row r="1828" spans="1:34">
      <c r="A1828" s="1"/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  <c r="AB1828" s="1"/>
      <c r="AC1828" s="1"/>
      <c r="AD1828" s="1"/>
      <c r="AE1828" s="1"/>
      <c r="AF1828" s="1"/>
      <c r="AG1828" s="1"/>
      <c r="AH1828" s="1"/>
    </row>
    <row r="1829" spans="1:34">
      <c r="A1829" s="1"/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  <c r="AB1829" s="1"/>
      <c r="AC1829" s="1"/>
      <c r="AD1829" s="1"/>
      <c r="AE1829" s="1"/>
      <c r="AF1829" s="1"/>
      <c r="AG1829" s="1"/>
      <c r="AH1829" s="1"/>
    </row>
    <row r="1830" spans="1:34">
      <c r="A1830" s="1"/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  <c r="AB1830" s="1"/>
      <c r="AC1830" s="1"/>
      <c r="AD1830" s="1"/>
      <c r="AE1830" s="1"/>
      <c r="AF1830" s="1"/>
      <c r="AG1830" s="1"/>
      <c r="AH1830" s="1"/>
    </row>
    <row r="1831" spans="1:34">
      <c r="A1831" s="1"/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  <c r="AB1831" s="1"/>
      <c r="AC1831" s="1"/>
      <c r="AD1831" s="1"/>
      <c r="AE1831" s="1"/>
      <c r="AF1831" s="1"/>
      <c r="AG1831" s="1"/>
      <c r="AH1831" s="1"/>
    </row>
    <row r="1832" spans="1:34">
      <c r="A1832" s="1"/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  <c r="AB1832" s="1"/>
      <c r="AC1832" s="1"/>
      <c r="AD1832" s="1"/>
      <c r="AE1832" s="1"/>
      <c r="AF1832" s="1"/>
      <c r="AG1832" s="1"/>
      <c r="AH1832" s="1"/>
    </row>
    <row r="1833" spans="1:34">
      <c r="A1833" s="1"/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  <c r="AB1833" s="1"/>
      <c r="AC1833" s="1"/>
      <c r="AD1833" s="1"/>
      <c r="AE1833" s="1"/>
      <c r="AF1833" s="1"/>
      <c r="AG1833" s="1"/>
      <c r="AH1833" s="1"/>
    </row>
    <row r="1834" spans="1:34">
      <c r="A1834" s="1"/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  <c r="AB1834" s="1"/>
      <c r="AC1834" s="1"/>
      <c r="AD1834" s="1"/>
      <c r="AE1834" s="1"/>
      <c r="AF1834" s="1"/>
      <c r="AG1834" s="1"/>
      <c r="AH1834" s="1"/>
    </row>
    <row r="1835" spans="1:34">
      <c r="A1835" s="1"/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  <c r="AB1835" s="1"/>
      <c r="AC1835" s="1"/>
      <c r="AD1835" s="1"/>
      <c r="AE1835" s="1"/>
      <c r="AF1835" s="1"/>
      <c r="AG1835" s="1"/>
      <c r="AH1835" s="1"/>
    </row>
    <row r="1836" spans="1:34">
      <c r="A1836" s="1"/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  <c r="AB1836" s="1"/>
      <c r="AC1836" s="1"/>
      <c r="AD1836" s="1"/>
      <c r="AE1836" s="1"/>
      <c r="AF1836" s="1"/>
      <c r="AG1836" s="1"/>
      <c r="AH1836" s="1"/>
    </row>
    <row r="1837" spans="1:34">
      <c r="A1837" s="1"/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  <c r="AB1837" s="1"/>
      <c r="AC1837" s="1"/>
      <c r="AD1837" s="1"/>
      <c r="AE1837" s="1"/>
      <c r="AF1837" s="1"/>
      <c r="AG1837" s="1"/>
      <c r="AH1837" s="1"/>
    </row>
    <row r="1838" spans="1:34">
      <c r="A1838" s="1"/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  <c r="AB1838" s="1"/>
      <c r="AC1838" s="1"/>
      <c r="AD1838" s="1"/>
      <c r="AE1838" s="1"/>
      <c r="AF1838" s="1"/>
      <c r="AG1838" s="1"/>
      <c r="AH1838" s="1"/>
    </row>
    <row r="1839" spans="1:34">
      <c r="A1839" s="1"/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  <c r="AB1839" s="1"/>
      <c r="AC1839" s="1"/>
      <c r="AD1839" s="1"/>
      <c r="AE1839" s="1"/>
      <c r="AF1839" s="1"/>
      <c r="AG1839" s="1"/>
      <c r="AH1839" s="1"/>
    </row>
    <row r="1840" spans="1:34">
      <c r="A1840" s="1"/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  <c r="AB1840" s="1"/>
      <c r="AC1840" s="1"/>
      <c r="AD1840" s="1"/>
      <c r="AE1840" s="1"/>
      <c r="AF1840" s="1"/>
      <c r="AG1840" s="1"/>
      <c r="AH1840" s="1"/>
    </row>
    <row r="1841" spans="1:34">
      <c r="A1841" s="1"/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  <c r="AB1841" s="1"/>
      <c r="AC1841" s="1"/>
      <c r="AD1841" s="1"/>
      <c r="AE1841" s="1"/>
      <c r="AF1841" s="1"/>
      <c r="AG1841" s="1"/>
      <c r="AH1841" s="1"/>
    </row>
    <row r="1842" spans="1:34">
      <c r="A1842" s="1"/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  <c r="AB1842" s="1"/>
      <c r="AC1842" s="1"/>
      <c r="AD1842" s="1"/>
      <c r="AE1842" s="1"/>
      <c r="AF1842" s="1"/>
      <c r="AG1842" s="1"/>
      <c r="AH1842" s="1"/>
    </row>
    <row r="1843" spans="1:34">
      <c r="A1843" s="1"/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  <c r="AB1843" s="1"/>
      <c r="AC1843" s="1"/>
      <c r="AD1843" s="1"/>
      <c r="AE1843" s="1"/>
      <c r="AF1843" s="1"/>
      <c r="AG1843" s="1"/>
      <c r="AH1843" s="1"/>
    </row>
    <row r="1844" spans="1:34">
      <c r="A1844" s="1"/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  <c r="AB1844" s="1"/>
      <c r="AC1844" s="1"/>
      <c r="AD1844" s="1"/>
      <c r="AE1844" s="1"/>
      <c r="AF1844" s="1"/>
      <c r="AG1844" s="1"/>
      <c r="AH1844" s="1"/>
    </row>
    <row r="1845" spans="1:34">
      <c r="A1845" s="1"/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  <c r="AB1845" s="1"/>
      <c r="AC1845" s="1"/>
      <c r="AD1845" s="1"/>
      <c r="AE1845" s="1"/>
      <c r="AF1845" s="1"/>
      <c r="AG1845" s="1"/>
      <c r="AH1845" s="1"/>
    </row>
    <row r="1846" spans="1:34">
      <c r="A1846" s="1"/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  <c r="AB1846" s="1"/>
      <c r="AC1846" s="1"/>
      <c r="AD1846" s="1"/>
      <c r="AE1846" s="1"/>
      <c r="AF1846" s="1"/>
      <c r="AG1846" s="1"/>
      <c r="AH1846" s="1"/>
    </row>
    <row r="1847" spans="1:34">
      <c r="A1847" s="1"/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  <c r="AB1847" s="1"/>
      <c r="AC1847" s="1"/>
      <c r="AD1847" s="1"/>
      <c r="AE1847" s="1"/>
      <c r="AF1847" s="1"/>
      <c r="AG1847" s="1"/>
      <c r="AH1847" s="1"/>
    </row>
    <row r="1848" spans="1:34">
      <c r="A1848" s="1"/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  <c r="AB1848" s="1"/>
      <c r="AC1848" s="1"/>
      <c r="AD1848" s="1"/>
      <c r="AE1848" s="1"/>
      <c r="AF1848" s="1"/>
      <c r="AG1848" s="1"/>
      <c r="AH1848" s="1"/>
    </row>
    <row r="1849" spans="1:34">
      <c r="A1849" s="1"/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  <c r="AB1849" s="1"/>
      <c r="AC1849" s="1"/>
      <c r="AD1849" s="1"/>
      <c r="AE1849" s="1"/>
      <c r="AF1849" s="1"/>
      <c r="AG1849" s="1"/>
      <c r="AH1849" s="1"/>
    </row>
    <row r="1850" spans="1:34">
      <c r="A1850" s="1"/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  <c r="AB1850" s="1"/>
      <c r="AC1850" s="1"/>
      <c r="AD1850" s="1"/>
      <c r="AE1850" s="1"/>
      <c r="AF1850" s="1"/>
      <c r="AG1850" s="1"/>
      <c r="AH1850" s="1"/>
    </row>
    <row r="1851" spans="1:34">
      <c r="A1851" s="1"/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  <c r="AB1851" s="1"/>
      <c r="AC1851" s="1"/>
      <c r="AD1851" s="1"/>
      <c r="AE1851" s="1"/>
      <c r="AF1851" s="1"/>
      <c r="AG1851" s="1"/>
      <c r="AH1851" s="1"/>
    </row>
    <row r="1852" spans="1:34">
      <c r="A1852" s="1"/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  <c r="AB1852" s="1"/>
      <c r="AC1852" s="1"/>
      <c r="AD1852" s="1"/>
      <c r="AE1852" s="1"/>
      <c r="AF1852" s="1"/>
      <c r="AG1852" s="1"/>
      <c r="AH1852" s="1"/>
    </row>
    <row r="1853" spans="1:34">
      <c r="A1853" s="1"/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  <c r="AB1853" s="1"/>
      <c r="AC1853" s="1"/>
      <c r="AD1853" s="1"/>
      <c r="AE1853" s="1"/>
      <c r="AF1853" s="1"/>
      <c r="AG1853" s="1"/>
      <c r="AH1853" s="1"/>
    </row>
    <row r="1854" spans="1:34">
      <c r="A1854" s="1"/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  <c r="AB1854" s="1"/>
      <c r="AC1854" s="1"/>
      <c r="AD1854" s="1"/>
      <c r="AE1854" s="1"/>
      <c r="AF1854" s="1"/>
      <c r="AG1854" s="1"/>
      <c r="AH1854" s="1"/>
    </row>
    <row r="1855" spans="1:34">
      <c r="A1855" s="1"/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  <c r="AB1855" s="1"/>
      <c r="AC1855" s="1"/>
      <c r="AD1855" s="1"/>
      <c r="AE1855" s="1"/>
      <c r="AF1855" s="1"/>
      <c r="AG1855" s="1"/>
      <c r="AH1855" s="1"/>
    </row>
    <row r="1856" spans="1:34">
      <c r="A1856" s="1"/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  <c r="AB1856" s="1"/>
      <c r="AC1856" s="1"/>
      <c r="AD1856" s="1"/>
      <c r="AE1856" s="1"/>
      <c r="AF1856" s="1"/>
      <c r="AG1856" s="1"/>
      <c r="AH1856" s="1"/>
    </row>
    <row r="1857" spans="1:34">
      <c r="A1857" s="1"/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  <c r="AB1857" s="1"/>
      <c r="AC1857" s="1"/>
      <c r="AD1857" s="1"/>
      <c r="AE1857" s="1"/>
      <c r="AF1857" s="1"/>
      <c r="AG1857" s="1"/>
      <c r="AH1857" s="1"/>
    </row>
    <row r="1858" spans="1:34">
      <c r="A1858" s="1"/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  <c r="AB1858" s="1"/>
      <c r="AC1858" s="1"/>
      <c r="AD1858" s="1"/>
      <c r="AE1858" s="1"/>
      <c r="AF1858" s="1"/>
      <c r="AG1858" s="1"/>
      <c r="AH1858" s="1"/>
    </row>
    <row r="1859" spans="1:34">
      <c r="A1859" s="1"/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  <c r="AB1859" s="1"/>
      <c r="AC1859" s="1"/>
      <c r="AD1859" s="1"/>
      <c r="AE1859" s="1"/>
      <c r="AF1859" s="1"/>
      <c r="AG1859" s="1"/>
      <c r="AH1859" s="1"/>
    </row>
    <row r="1860" spans="1:34">
      <c r="A1860" s="1"/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  <c r="AB1860" s="1"/>
      <c r="AC1860" s="1"/>
      <c r="AD1860" s="1"/>
      <c r="AE1860" s="1"/>
      <c r="AF1860" s="1"/>
      <c r="AG1860" s="1"/>
      <c r="AH1860" s="1"/>
    </row>
    <row r="1861" spans="1:34">
      <c r="A1861" s="1"/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  <c r="AB1861" s="1"/>
      <c r="AC1861" s="1"/>
      <c r="AD1861" s="1"/>
      <c r="AE1861" s="1"/>
      <c r="AF1861" s="1"/>
      <c r="AG1861" s="1"/>
      <c r="AH1861" s="1"/>
    </row>
    <row r="1862" spans="1:34">
      <c r="A1862" s="1"/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  <c r="AB1862" s="1"/>
      <c r="AC1862" s="1"/>
      <c r="AD1862" s="1"/>
      <c r="AE1862" s="1"/>
      <c r="AF1862" s="1"/>
      <c r="AG1862" s="1"/>
      <c r="AH1862" s="1"/>
    </row>
    <row r="1863" spans="1:34">
      <c r="A1863" s="1"/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  <c r="AB1863" s="1"/>
      <c r="AC1863" s="1"/>
      <c r="AD1863" s="1"/>
      <c r="AE1863" s="1"/>
      <c r="AF1863" s="1"/>
      <c r="AG1863" s="1"/>
      <c r="AH1863" s="1"/>
    </row>
    <row r="1864" spans="1:34">
      <c r="A1864" s="1"/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  <c r="AB1864" s="1"/>
      <c r="AC1864" s="1"/>
      <c r="AD1864" s="1"/>
      <c r="AE1864" s="1"/>
      <c r="AF1864" s="1"/>
      <c r="AG1864" s="1"/>
      <c r="AH1864" s="1"/>
    </row>
    <row r="1865" spans="1:34">
      <c r="A1865" s="1"/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  <c r="AB1865" s="1"/>
      <c r="AC1865" s="1"/>
      <c r="AD1865" s="1"/>
      <c r="AE1865" s="1"/>
      <c r="AF1865" s="1"/>
      <c r="AG1865" s="1"/>
      <c r="AH1865" s="1"/>
    </row>
    <row r="1866" spans="1:34">
      <c r="A1866" s="1"/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  <c r="AB1866" s="1"/>
      <c r="AC1866" s="1"/>
      <c r="AD1866" s="1"/>
      <c r="AE1866" s="1"/>
      <c r="AF1866" s="1"/>
      <c r="AG1866" s="1"/>
      <c r="AH1866" s="1"/>
    </row>
    <row r="1867" spans="1:34">
      <c r="A1867" s="1"/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  <c r="AB1867" s="1"/>
      <c r="AC1867" s="1"/>
      <c r="AD1867" s="1"/>
      <c r="AE1867" s="1"/>
      <c r="AF1867" s="1"/>
      <c r="AG1867" s="1"/>
      <c r="AH1867" s="1"/>
    </row>
    <row r="1868" spans="1:34">
      <c r="A1868" s="1"/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  <c r="AB1868" s="1"/>
      <c r="AC1868" s="1"/>
      <c r="AD1868" s="1"/>
      <c r="AE1868" s="1"/>
      <c r="AF1868" s="1"/>
      <c r="AG1868" s="1"/>
      <c r="AH1868" s="1"/>
    </row>
    <row r="1869" spans="1:34">
      <c r="A1869" s="1"/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  <c r="AB1869" s="1"/>
      <c r="AC1869" s="1"/>
      <c r="AD1869" s="1"/>
      <c r="AE1869" s="1"/>
      <c r="AF1869" s="1"/>
      <c r="AG1869" s="1"/>
      <c r="AH1869" s="1"/>
    </row>
    <row r="1870" spans="1:34">
      <c r="A1870" s="1"/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  <c r="AB1870" s="1"/>
      <c r="AC1870" s="1"/>
      <c r="AD1870" s="1"/>
      <c r="AE1870" s="1"/>
      <c r="AF1870" s="1"/>
      <c r="AG1870" s="1"/>
      <c r="AH1870" s="1"/>
    </row>
    <row r="1871" spans="1:34">
      <c r="A1871" s="1"/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  <c r="AB1871" s="1"/>
      <c r="AC1871" s="1"/>
      <c r="AD1871" s="1"/>
      <c r="AE1871" s="1"/>
      <c r="AF1871" s="1"/>
      <c r="AG1871" s="1"/>
      <c r="AH1871" s="1"/>
    </row>
    <row r="1872" spans="1:34">
      <c r="A1872" s="1"/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  <c r="AB1872" s="1"/>
      <c r="AC1872" s="1"/>
      <c r="AD1872" s="1"/>
      <c r="AE1872" s="1"/>
      <c r="AF1872" s="1"/>
      <c r="AG1872" s="1"/>
      <c r="AH1872" s="1"/>
    </row>
    <row r="1873" spans="1:34">
      <c r="A1873" s="1"/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  <c r="AB1873" s="1"/>
      <c r="AC1873" s="1"/>
      <c r="AD1873" s="1"/>
      <c r="AE1873" s="1"/>
      <c r="AF1873" s="1"/>
      <c r="AG1873" s="1"/>
      <c r="AH1873" s="1"/>
    </row>
    <row r="1874" spans="1:34">
      <c r="A1874" s="1"/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  <c r="AB1874" s="1"/>
      <c r="AC1874" s="1"/>
      <c r="AD1874" s="1"/>
      <c r="AE1874" s="1"/>
      <c r="AF1874" s="1"/>
      <c r="AG1874" s="1"/>
      <c r="AH1874" s="1"/>
    </row>
    <row r="1875" spans="1:34">
      <c r="A1875" s="1"/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  <c r="AB1875" s="1"/>
      <c r="AC1875" s="1"/>
      <c r="AD1875" s="1"/>
      <c r="AE1875" s="1"/>
      <c r="AF1875" s="1"/>
      <c r="AG1875" s="1"/>
      <c r="AH1875" s="1"/>
    </row>
    <row r="1876" spans="1:34">
      <c r="A1876" s="1"/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  <c r="AB1876" s="1"/>
      <c r="AC1876" s="1"/>
      <c r="AD1876" s="1"/>
      <c r="AE1876" s="1"/>
      <c r="AF1876" s="1"/>
      <c r="AG1876" s="1"/>
      <c r="AH1876" s="1"/>
    </row>
    <row r="1877" spans="1:34">
      <c r="A1877" s="1"/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  <c r="AB1877" s="1"/>
      <c r="AC1877" s="1"/>
      <c r="AD1877" s="1"/>
      <c r="AE1877" s="1"/>
      <c r="AF1877" s="1"/>
      <c r="AG1877" s="1"/>
      <c r="AH1877" s="1"/>
    </row>
    <row r="1878" spans="1:34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  <c r="AB1878" s="1"/>
      <c r="AC1878" s="1"/>
      <c r="AD1878" s="1"/>
      <c r="AE1878" s="1"/>
      <c r="AF1878" s="1"/>
      <c r="AG1878" s="1"/>
      <c r="AH1878" s="1"/>
    </row>
    <row r="1879" spans="1:34">
      <c r="A1879" s="1"/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  <c r="AB1879" s="1"/>
      <c r="AC1879" s="1"/>
      <c r="AD1879" s="1"/>
      <c r="AE1879" s="1"/>
      <c r="AF1879" s="1"/>
      <c r="AG1879" s="1"/>
      <c r="AH1879" s="1"/>
    </row>
    <row r="1880" spans="1:34">
      <c r="A1880" s="1"/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  <c r="AB1880" s="1"/>
      <c r="AC1880" s="1"/>
      <c r="AD1880" s="1"/>
      <c r="AE1880" s="1"/>
      <c r="AF1880" s="1"/>
      <c r="AG1880" s="1"/>
      <c r="AH1880" s="1"/>
    </row>
    <row r="1881" spans="1:34">
      <c r="A1881" s="1"/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  <c r="AB1881" s="1"/>
      <c r="AC1881" s="1"/>
      <c r="AD1881" s="1"/>
      <c r="AE1881" s="1"/>
      <c r="AF1881" s="1"/>
      <c r="AG1881" s="1"/>
      <c r="AH1881" s="1"/>
    </row>
    <row r="1882" spans="1:34">
      <c r="A1882" s="1"/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  <c r="AB1882" s="1"/>
      <c r="AC1882" s="1"/>
      <c r="AD1882" s="1"/>
      <c r="AE1882" s="1"/>
      <c r="AF1882" s="1"/>
      <c r="AG1882" s="1"/>
      <c r="AH1882" s="1"/>
    </row>
    <row r="1883" spans="1:34">
      <c r="A1883" s="1"/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  <c r="AB1883" s="1"/>
      <c r="AC1883" s="1"/>
      <c r="AD1883" s="1"/>
      <c r="AE1883" s="1"/>
      <c r="AF1883" s="1"/>
      <c r="AG1883" s="1"/>
      <c r="AH1883" s="1"/>
    </row>
    <row r="1884" spans="1:34">
      <c r="A1884" s="1"/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  <c r="AB1884" s="1"/>
      <c r="AC1884" s="1"/>
      <c r="AD1884" s="1"/>
      <c r="AE1884" s="1"/>
      <c r="AF1884" s="1"/>
      <c r="AG1884" s="1"/>
      <c r="AH1884" s="1"/>
    </row>
    <row r="1885" spans="1:34">
      <c r="A1885" s="1"/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  <c r="AB1885" s="1"/>
      <c r="AC1885" s="1"/>
      <c r="AD1885" s="1"/>
      <c r="AE1885" s="1"/>
      <c r="AF1885" s="1"/>
      <c r="AG1885" s="1"/>
      <c r="AH1885" s="1"/>
    </row>
    <row r="1886" spans="1:34">
      <c r="A1886" s="1"/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  <c r="AB1886" s="1"/>
      <c r="AC1886" s="1"/>
      <c r="AD1886" s="1"/>
      <c r="AE1886" s="1"/>
      <c r="AF1886" s="1"/>
      <c r="AG1886" s="1"/>
      <c r="AH1886" s="1"/>
    </row>
    <row r="1887" spans="1:34">
      <c r="A1887" s="1"/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  <c r="AB1887" s="1"/>
      <c r="AC1887" s="1"/>
      <c r="AD1887" s="1"/>
      <c r="AE1887" s="1"/>
      <c r="AF1887" s="1"/>
      <c r="AG1887" s="1"/>
      <c r="AH1887" s="1"/>
    </row>
    <row r="1888" spans="1:34">
      <c r="A1888" s="1"/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  <c r="AB1888" s="1"/>
      <c r="AC1888" s="1"/>
      <c r="AD1888" s="1"/>
      <c r="AE1888" s="1"/>
      <c r="AF1888" s="1"/>
      <c r="AG1888" s="1"/>
      <c r="AH1888" s="1"/>
    </row>
    <row r="1889" spans="1:34">
      <c r="A1889" s="1"/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  <c r="AB1889" s="1"/>
      <c r="AC1889" s="1"/>
      <c r="AD1889" s="1"/>
      <c r="AE1889" s="1"/>
      <c r="AF1889" s="1"/>
      <c r="AG1889" s="1"/>
      <c r="AH1889" s="1"/>
    </row>
    <row r="1890" spans="1:34">
      <c r="A1890" s="1"/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  <c r="AB1890" s="1"/>
      <c r="AC1890" s="1"/>
      <c r="AD1890" s="1"/>
      <c r="AE1890" s="1"/>
      <c r="AF1890" s="1"/>
      <c r="AG1890" s="1"/>
      <c r="AH1890" s="1"/>
    </row>
    <row r="1891" spans="1:34">
      <c r="A1891" s="1"/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  <c r="AB1891" s="1"/>
      <c r="AC1891" s="1"/>
      <c r="AD1891" s="1"/>
      <c r="AE1891" s="1"/>
      <c r="AF1891" s="1"/>
      <c r="AG1891" s="1"/>
      <c r="AH1891" s="1"/>
    </row>
    <row r="1892" spans="1:34">
      <c r="A1892" s="1"/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  <c r="AB1892" s="1"/>
      <c r="AC1892" s="1"/>
      <c r="AD1892" s="1"/>
      <c r="AE1892" s="1"/>
      <c r="AF1892" s="1"/>
      <c r="AG1892" s="1"/>
      <c r="AH1892" s="1"/>
    </row>
    <row r="1893" spans="1:34">
      <c r="A1893" s="1"/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  <c r="AB1893" s="1"/>
      <c r="AC1893" s="1"/>
      <c r="AD1893" s="1"/>
      <c r="AE1893" s="1"/>
      <c r="AF1893" s="1"/>
      <c r="AG1893" s="1"/>
      <c r="AH1893" s="1"/>
    </row>
    <row r="1894" spans="1:34">
      <c r="A1894" s="1"/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  <c r="AB1894" s="1"/>
      <c r="AC1894" s="1"/>
      <c r="AD1894" s="1"/>
      <c r="AE1894" s="1"/>
      <c r="AF1894" s="1"/>
      <c r="AG1894" s="1"/>
      <c r="AH1894" s="1"/>
    </row>
    <row r="1895" spans="1:34">
      <c r="A1895" s="1"/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  <c r="AB1895" s="1"/>
      <c r="AC1895" s="1"/>
      <c r="AD1895" s="1"/>
      <c r="AE1895" s="1"/>
      <c r="AF1895" s="1"/>
      <c r="AG1895" s="1"/>
      <c r="AH1895" s="1"/>
    </row>
    <row r="1896" spans="1:34">
      <c r="A1896" s="1"/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  <c r="AB1896" s="1"/>
      <c r="AC1896" s="1"/>
      <c r="AD1896" s="1"/>
      <c r="AE1896" s="1"/>
      <c r="AF1896" s="1"/>
      <c r="AG1896" s="1"/>
      <c r="AH1896" s="1"/>
    </row>
    <row r="1897" spans="1:34">
      <c r="A1897" s="1"/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  <c r="AB1897" s="1"/>
      <c r="AC1897" s="1"/>
      <c r="AD1897" s="1"/>
      <c r="AE1897" s="1"/>
      <c r="AF1897" s="1"/>
      <c r="AG1897" s="1"/>
      <c r="AH1897" s="1"/>
    </row>
    <row r="1898" spans="1:34">
      <c r="A1898" s="1"/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  <c r="AB1898" s="1"/>
      <c r="AC1898" s="1"/>
      <c r="AD1898" s="1"/>
      <c r="AE1898" s="1"/>
      <c r="AF1898" s="1"/>
      <c r="AG1898" s="1"/>
      <c r="AH1898" s="1"/>
    </row>
    <row r="1899" spans="1:34">
      <c r="A1899" s="1"/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  <c r="AB1899" s="1"/>
      <c r="AC1899" s="1"/>
      <c r="AD1899" s="1"/>
      <c r="AE1899" s="1"/>
      <c r="AF1899" s="1"/>
      <c r="AG1899" s="1"/>
      <c r="AH1899" s="1"/>
    </row>
    <row r="1900" spans="1:34">
      <c r="A1900" s="1"/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  <c r="AB1900" s="1"/>
      <c r="AC1900" s="1"/>
      <c r="AD1900" s="1"/>
      <c r="AE1900" s="1"/>
      <c r="AF1900" s="1"/>
      <c r="AG1900" s="1"/>
      <c r="AH1900" s="1"/>
    </row>
    <row r="1901" spans="1:34">
      <c r="A1901" s="1"/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  <c r="AB1901" s="1"/>
      <c r="AC1901" s="1"/>
      <c r="AD1901" s="1"/>
      <c r="AE1901" s="1"/>
      <c r="AF1901" s="1"/>
      <c r="AG1901" s="1"/>
      <c r="AH1901" s="1"/>
    </row>
    <row r="1902" spans="1:34">
      <c r="A1902" s="1"/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  <c r="AB1902" s="1"/>
      <c r="AC1902" s="1"/>
      <c r="AD1902" s="1"/>
      <c r="AE1902" s="1"/>
      <c r="AF1902" s="1"/>
      <c r="AG1902" s="1"/>
      <c r="AH1902" s="1"/>
    </row>
    <row r="1903" spans="1:34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  <c r="AB1903" s="1"/>
      <c r="AC1903" s="1"/>
      <c r="AD1903" s="1"/>
      <c r="AE1903" s="1"/>
      <c r="AF1903" s="1"/>
      <c r="AG1903" s="1"/>
      <c r="AH1903" s="1"/>
    </row>
    <row r="1904" spans="1:34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  <c r="AB1904" s="1"/>
      <c r="AC1904" s="1"/>
      <c r="AD1904" s="1"/>
      <c r="AE1904" s="1"/>
      <c r="AF1904" s="1"/>
      <c r="AG1904" s="1"/>
      <c r="AH1904" s="1"/>
    </row>
    <row r="1905" spans="1:34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  <c r="AB1905" s="1"/>
      <c r="AC1905" s="1"/>
      <c r="AD1905" s="1"/>
      <c r="AE1905" s="1"/>
      <c r="AF1905" s="1"/>
      <c r="AG1905" s="1"/>
      <c r="AH1905" s="1"/>
    </row>
    <row r="1906" spans="1:34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  <c r="AB1906" s="1"/>
      <c r="AC1906" s="1"/>
      <c r="AD1906" s="1"/>
      <c r="AE1906" s="1"/>
      <c r="AF1906" s="1"/>
      <c r="AG1906" s="1"/>
      <c r="AH1906" s="1"/>
    </row>
    <row r="1907" spans="1:34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  <c r="AB1907" s="1"/>
      <c r="AC1907" s="1"/>
      <c r="AD1907" s="1"/>
      <c r="AE1907" s="1"/>
      <c r="AF1907" s="1"/>
      <c r="AG1907" s="1"/>
      <c r="AH1907" s="1"/>
    </row>
    <row r="1908" spans="1:34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  <c r="AB1908" s="1"/>
      <c r="AC1908" s="1"/>
      <c r="AD1908" s="1"/>
      <c r="AE1908" s="1"/>
      <c r="AF1908" s="1"/>
      <c r="AG1908" s="1"/>
      <c r="AH1908" s="1"/>
    </row>
    <row r="1909" spans="1:34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  <c r="AB1909" s="1"/>
      <c r="AC1909" s="1"/>
      <c r="AD1909" s="1"/>
      <c r="AE1909" s="1"/>
      <c r="AF1909" s="1"/>
      <c r="AG1909" s="1"/>
      <c r="AH1909" s="1"/>
    </row>
    <row r="1910" spans="1:34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  <c r="AB1910" s="1"/>
      <c r="AC1910" s="1"/>
      <c r="AD1910" s="1"/>
      <c r="AE1910" s="1"/>
      <c r="AF1910" s="1"/>
      <c r="AG1910" s="1"/>
      <c r="AH1910" s="1"/>
    </row>
    <row r="1911" spans="1:34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  <c r="AB1911" s="1"/>
      <c r="AC1911" s="1"/>
      <c r="AD1911" s="1"/>
      <c r="AE1911" s="1"/>
      <c r="AF1911" s="1"/>
      <c r="AG1911" s="1"/>
      <c r="AH1911" s="1"/>
    </row>
    <row r="1912" spans="1:34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  <c r="AB1912" s="1"/>
      <c r="AC1912" s="1"/>
      <c r="AD1912" s="1"/>
      <c r="AE1912" s="1"/>
      <c r="AF1912" s="1"/>
      <c r="AG1912" s="1"/>
      <c r="AH1912" s="1"/>
    </row>
    <row r="1913" spans="1:34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  <c r="AB1913" s="1"/>
      <c r="AC1913" s="1"/>
      <c r="AD1913" s="1"/>
      <c r="AE1913" s="1"/>
      <c r="AF1913" s="1"/>
      <c r="AG1913" s="1"/>
      <c r="AH1913" s="1"/>
    </row>
    <row r="1914" spans="1:34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  <c r="AB1914" s="1"/>
      <c r="AC1914" s="1"/>
      <c r="AD1914" s="1"/>
      <c r="AE1914" s="1"/>
      <c r="AF1914" s="1"/>
      <c r="AG1914" s="1"/>
      <c r="AH1914" s="1"/>
    </row>
    <row r="1915" spans="1:34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  <c r="AB1915" s="1"/>
      <c r="AC1915" s="1"/>
      <c r="AD1915" s="1"/>
      <c r="AE1915" s="1"/>
      <c r="AF1915" s="1"/>
      <c r="AG1915" s="1"/>
      <c r="AH1915" s="1"/>
    </row>
    <row r="1916" spans="1:34">
      <c r="A1916" s="1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  <c r="AB1916" s="1"/>
      <c r="AC1916" s="1"/>
      <c r="AD1916" s="1"/>
      <c r="AE1916" s="1"/>
      <c r="AF1916" s="1"/>
      <c r="AG1916" s="1"/>
      <c r="AH1916" s="1"/>
    </row>
    <row r="1917" spans="1:34">
      <c r="A1917" s="1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  <c r="AB1917" s="1"/>
      <c r="AC1917" s="1"/>
      <c r="AD1917" s="1"/>
      <c r="AE1917" s="1"/>
      <c r="AF1917" s="1"/>
      <c r="AG1917" s="1"/>
      <c r="AH1917" s="1"/>
    </row>
    <row r="1918" spans="1:34">
      <c r="A1918" s="1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  <c r="AB1918" s="1"/>
      <c r="AC1918" s="1"/>
      <c r="AD1918" s="1"/>
      <c r="AE1918" s="1"/>
      <c r="AF1918" s="1"/>
      <c r="AG1918" s="1"/>
      <c r="AH1918" s="1"/>
    </row>
    <row r="1919" spans="1:34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  <c r="AB1919" s="1"/>
      <c r="AC1919" s="1"/>
      <c r="AD1919" s="1"/>
      <c r="AE1919" s="1"/>
      <c r="AF1919" s="1"/>
      <c r="AG1919" s="1"/>
      <c r="AH1919" s="1"/>
    </row>
    <row r="1920" spans="1:34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  <c r="AB1920" s="1"/>
      <c r="AC1920" s="1"/>
      <c r="AD1920" s="1"/>
      <c r="AE1920" s="1"/>
      <c r="AF1920" s="1"/>
      <c r="AG1920" s="1"/>
      <c r="AH1920" s="1"/>
    </row>
    <row r="1921" spans="1:34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  <c r="AB1921" s="1"/>
      <c r="AC1921" s="1"/>
      <c r="AD1921" s="1"/>
      <c r="AE1921" s="1"/>
      <c r="AF1921" s="1"/>
      <c r="AG1921" s="1"/>
      <c r="AH1921" s="1"/>
    </row>
    <row r="1922" spans="1:34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  <c r="AB1922" s="1"/>
      <c r="AC1922" s="1"/>
      <c r="AD1922" s="1"/>
      <c r="AE1922" s="1"/>
      <c r="AF1922" s="1"/>
      <c r="AG1922" s="1"/>
      <c r="AH1922" s="1"/>
    </row>
    <row r="1923" spans="1:34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  <c r="AB1923" s="1"/>
      <c r="AC1923" s="1"/>
      <c r="AD1923" s="1"/>
      <c r="AE1923" s="1"/>
      <c r="AF1923" s="1"/>
      <c r="AG1923" s="1"/>
      <c r="AH1923" s="1"/>
    </row>
    <row r="1924" spans="1:34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  <c r="AB1924" s="1"/>
      <c r="AC1924" s="1"/>
      <c r="AD1924" s="1"/>
      <c r="AE1924" s="1"/>
      <c r="AF1924" s="1"/>
      <c r="AG1924" s="1"/>
      <c r="AH1924" s="1"/>
    </row>
    <row r="1925" spans="1:34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  <c r="AB1925" s="1"/>
      <c r="AC1925" s="1"/>
      <c r="AD1925" s="1"/>
      <c r="AE1925" s="1"/>
      <c r="AF1925" s="1"/>
      <c r="AG1925" s="1"/>
      <c r="AH1925" s="1"/>
    </row>
    <row r="1926" spans="1:34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  <c r="AB1926" s="1"/>
      <c r="AC1926" s="1"/>
      <c r="AD1926" s="1"/>
      <c r="AE1926" s="1"/>
      <c r="AF1926" s="1"/>
      <c r="AG1926" s="1"/>
      <c r="AH1926" s="1"/>
    </row>
    <row r="1927" spans="1:34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  <c r="AB1927" s="1"/>
      <c r="AC1927" s="1"/>
      <c r="AD1927" s="1"/>
      <c r="AE1927" s="1"/>
      <c r="AF1927" s="1"/>
      <c r="AG1927" s="1"/>
      <c r="AH1927" s="1"/>
    </row>
    <row r="1928" spans="1:34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  <c r="AB1928" s="1"/>
      <c r="AC1928" s="1"/>
      <c r="AD1928" s="1"/>
      <c r="AE1928" s="1"/>
      <c r="AF1928" s="1"/>
      <c r="AG1928" s="1"/>
      <c r="AH1928" s="1"/>
    </row>
    <row r="1929" spans="1:34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  <c r="AB1929" s="1"/>
      <c r="AC1929" s="1"/>
      <c r="AD1929" s="1"/>
      <c r="AE1929" s="1"/>
      <c r="AF1929" s="1"/>
      <c r="AG1929" s="1"/>
      <c r="AH1929" s="1"/>
    </row>
    <row r="1930" spans="1:34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  <c r="AB1930" s="1"/>
      <c r="AC1930" s="1"/>
      <c r="AD1930" s="1"/>
      <c r="AE1930" s="1"/>
      <c r="AF1930" s="1"/>
      <c r="AG1930" s="1"/>
      <c r="AH1930" s="1"/>
    </row>
    <row r="1931" spans="1:34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  <c r="AB1931" s="1"/>
      <c r="AC1931" s="1"/>
      <c r="AD1931" s="1"/>
      <c r="AE1931" s="1"/>
      <c r="AF1931" s="1"/>
      <c r="AG1931" s="1"/>
      <c r="AH1931" s="1"/>
    </row>
    <row r="1932" spans="1:34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  <c r="AB1932" s="1"/>
      <c r="AC1932" s="1"/>
      <c r="AD1932" s="1"/>
      <c r="AE1932" s="1"/>
      <c r="AF1932" s="1"/>
      <c r="AG1932" s="1"/>
      <c r="AH1932" s="1"/>
    </row>
    <row r="1933" spans="1:34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  <c r="AB1933" s="1"/>
      <c r="AC1933" s="1"/>
      <c r="AD1933" s="1"/>
      <c r="AE1933" s="1"/>
      <c r="AF1933" s="1"/>
      <c r="AG1933" s="1"/>
      <c r="AH1933" s="1"/>
    </row>
    <row r="1934" spans="1:34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  <c r="AB1934" s="1"/>
      <c r="AC1934" s="1"/>
      <c r="AD1934" s="1"/>
      <c r="AE1934" s="1"/>
      <c r="AF1934" s="1"/>
      <c r="AG1934" s="1"/>
      <c r="AH1934" s="1"/>
    </row>
    <row r="1935" spans="1:34">
      <c r="A1935" s="1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  <c r="AB1935" s="1"/>
      <c r="AC1935" s="1"/>
      <c r="AD1935" s="1"/>
      <c r="AE1935" s="1"/>
      <c r="AF1935" s="1"/>
      <c r="AG1935" s="1"/>
      <c r="AH1935" s="1"/>
    </row>
    <row r="1936" spans="1:34">
      <c r="A1936" s="1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  <c r="AB1936" s="1"/>
      <c r="AC1936" s="1"/>
      <c r="AD1936" s="1"/>
      <c r="AE1936" s="1"/>
      <c r="AF1936" s="1"/>
      <c r="AG1936" s="1"/>
      <c r="AH1936" s="1"/>
    </row>
    <row r="1937" spans="1:34">
      <c r="A1937" s="1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  <c r="AB1937" s="1"/>
      <c r="AC1937" s="1"/>
      <c r="AD1937" s="1"/>
      <c r="AE1937" s="1"/>
      <c r="AF1937" s="1"/>
      <c r="AG1937" s="1"/>
      <c r="AH1937" s="1"/>
    </row>
    <row r="1938" spans="1:34">
      <c r="A1938" s="1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  <c r="AB1938" s="1"/>
      <c r="AC1938" s="1"/>
      <c r="AD1938" s="1"/>
      <c r="AE1938" s="1"/>
      <c r="AF1938" s="1"/>
      <c r="AG1938" s="1"/>
      <c r="AH1938" s="1"/>
    </row>
    <row r="1939" spans="1:34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  <c r="AB1939" s="1"/>
      <c r="AC1939" s="1"/>
      <c r="AD1939" s="1"/>
      <c r="AE1939" s="1"/>
      <c r="AF1939" s="1"/>
      <c r="AG1939" s="1"/>
      <c r="AH1939" s="1"/>
    </row>
    <row r="1940" spans="1:34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  <c r="AB1940" s="1"/>
      <c r="AC1940" s="1"/>
      <c r="AD1940" s="1"/>
      <c r="AE1940" s="1"/>
      <c r="AF1940" s="1"/>
      <c r="AG1940" s="1"/>
      <c r="AH1940" s="1"/>
    </row>
    <row r="1941" spans="1:34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  <c r="AB1941" s="1"/>
      <c r="AC1941" s="1"/>
      <c r="AD1941" s="1"/>
      <c r="AE1941" s="1"/>
      <c r="AF1941" s="1"/>
      <c r="AG1941" s="1"/>
      <c r="AH1941" s="1"/>
    </row>
    <row r="1942" spans="1:34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  <c r="AB1942" s="1"/>
      <c r="AC1942" s="1"/>
      <c r="AD1942" s="1"/>
      <c r="AE1942" s="1"/>
      <c r="AF1942" s="1"/>
      <c r="AG1942" s="1"/>
      <c r="AH1942" s="1"/>
    </row>
    <row r="1943" spans="1:34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  <c r="AB1943" s="1"/>
      <c r="AC1943" s="1"/>
      <c r="AD1943" s="1"/>
      <c r="AE1943" s="1"/>
      <c r="AF1943" s="1"/>
      <c r="AG1943" s="1"/>
      <c r="AH1943" s="1"/>
    </row>
    <row r="1944" spans="1:34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  <c r="AB1944" s="1"/>
      <c r="AC1944" s="1"/>
      <c r="AD1944" s="1"/>
      <c r="AE1944" s="1"/>
      <c r="AF1944" s="1"/>
      <c r="AG1944" s="1"/>
      <c r="AH1944" s="1"/>
    </row>
    <row r="1945" spans="1:34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  <c r="AB1945" s="1"/>
      <c r="AC1945" s="1"/>
      <c r="AD1945" s="1"/>
      <c r="AE1945" s="1"/>
      <c r="AF1945" s="1"/>
      <c r="AG1945" s="1"/>
      <c r="AH1945" s="1"/>
    </row>
    <row r="1946" spans="1:34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  <c r="AB1946" s="1"/>
      <c r="AC1946" s="1"/>
      <c r="AD1946" s="1"/>
      <c r="AE1946" s="1"/>
      <c r="AF1946" s="1"/>
      <c r="AG1946" s="1"/>
      <c r="AH1946" s="1"/>
    </row>
    <row r="1947" spans="1:34">
      <c r="A1947" s="1"/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  <c r="AB1947" s="1"/>
      <c r="AC1947" s="1"/>
      <c r="AD1947" s="1"/>
      <c r="AE1947" s="1"/>
      <c r="AF1947" s="1"/>
      <c r="AG1947" s="1"/>
      <c r="AH1947" s="1"/>
    </row>
    <row r="1948" spans="1:34">
      <c r="A1948" s="1"/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  <c r="AB1948" s="1"/>
      <c r="AC1948" s="1"/>
      <c r="AD1948" s="1"/>
      <c r="AE1948" s="1"/>
      <c r="AF1948" s="1"/>
      <c r="AG1948" s="1"/>
      <c r="AH1948" s="1"/>
    </row>
    <row r="1949" spans="1:34">
      <c r="A1949" s="1"/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  <c r="AB1949" s="1"/>
      <c r="AC1949" s="1"/>
      <c r="AD1949" s="1"/>
      <c r="AE1949" s="1"/>
      <c r="AF1949" s="1"/>
      <c r="AG1949" s="1"/>
      <c r="AH1949" s="1"/>
    </row>
    <row r="1950" spans="1:34">
      <c r="A1950" s="1"/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  <c r="AB1950" s="1"/>
      <c r="AC1950" s="1"/>
      <c r="AD1950" s="1"/>
      <c r="AE1950" s="1"/>
      <c r="AF1950" s="1"/>
      <c r="AG1950" s="1"/>
      <c r="AH1950" s="1"/>
    </row>
    <row r="1951" spans="1:34">
      <c r="A1951" s="1"/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  <c r="AB1951" s="1"/>
      <c r="AC1951" s="1"/>
      <c r="AD1951" s="1"/>
      <c r="AE1951" s="1"/>
      <c r="AF1951" s="1"/>
      <c r="AG1951" s="1"/>
      <c r="AH1951" s="1"/>
    </row>
    <row r="1952" spans="1:34">
      <c r="A1952" s="1"/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  <c r="AB1952" s="1"/>
      <c r="AC1952" s="1"/>
      <c r="AD1952" s="1"/>
      <c r="AE1952" s="1"/>
      <c r="AF1952" s="1"/>
      <c r="AG1952" s="1"/>
      <c r="AH1952" s="1"/>
    </row>
    <row r="1953" spans="1:34">
      <c r="A1953" s="1"/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  <c r="AB1953" s="1"/>
      <c r="AC1953" s="1"/>
      <c r="AD1953" s="1"/>
      <c r="AE1953" s="1"/>
      <c r="AF1953" s="1"/>
      <c r="AG1953" s="1"/>
      <c r="AH1953" s="1"/>
    </row>
    <row r="1954" spans="1:34">
      <c r="A1954" s="1"/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  <c r="AB1954" s="1"/>
      <c r="AC1954" s="1"/>
      <c r="AD1954" s="1"/>
      <c r="AE1954" s="1"/>
      <c r="AF1954" s="1"/>
      <c r="AG1954" s="1"/>
      <c r="AH1954" s="1"/>
    </row>
    <row r="1955" spans="1:34">
      <c r="A1955" s="1"/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  <c r="AB1955" s="1"/>
      <c r="AC1955" s="1"/>
      <c r="AD1955" s="1"/>
      <c r="AE1955" s="1"/>
      <c r="AF1955" s="1"/>
      <c r="AG1955" s="1"/>
      <c r="AH1955" s="1"/>
    </row>
    <row r="1956" spans="1:34">
      <c r="A1956" s="1"/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  <c r="AB1956" s="1"/>
      <c r="AC1956" s="1"/>
      <c r="AD1956" s="1"/>
      <c r="AE1956" s="1"/>
      <c r="AF1956" s="1"/>
      <c r="AG1956" s="1"/>
      <c r="AH1956" s="1"/>
    </row>
    <row r="1957" spans="1:34">
      <c r="A1957" s="1"/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  <c r="AB1957" s="1"/>
      <c r="AC1957" s="1"/>
      <c r="AD1957" s="1"/>
      <c r="AE1957" s="1"/>
      <c r="AF1957" s="1"/>
      <c r="AG1957" s="1"/>
      <c r="AH1957" s="1"/>
    </row>
    <row r="1958" spans="1:34">
      <c r="A1958" s="1"/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  <c r="AB1958" s="1"/>
      <c r="AC1958" s="1"/>
      <c r="AD1958" s="1"/>
      <c r="AE1958" s="1"/>
      <c r="AF1958" s="1"/>
      <c r="AG1958" s="1"/>
      <c r="AH1958" s="1"/>
    </row>
    <row r="1959" spans="1:34">
      <c r="A1959" s="1"/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  <c r="AB1959" s="1"/>
      <c r="AC1959" s="1"/>
      <c r="AD1959" s="1"/>
      <c r="AE1959" s="1"/>
      <c r="AF1959" s="1"/>
      <c r="AG1959" s="1"/>
      <c r="AH1959" s="1"/>
    </row>
    <row r="1960" spans="1:34">
      <c r="A1960" s="1"/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  <c r="AB1960" s="1"/>
      <c r="AC1960" s="1"/>
      <c r="AD1960" s="1"/>
      <c r="AE1960" s="1"/>
      <c r="AF1960" s="1"/>
      <c r="AG1960" s="1"/>
      <c r="AH1960" s="1"/>
    </row>
    <row r="1961" spans="1:34">
      <c r="A1961" s="1"/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  <c r="AB1961" s="1"/>
      <c r="AC1961" s="1"/>
      <c r="AD1961" s="1"/>
      <c r="AE1961" s="1"/>
      <c r="AF1961" s="1"/>
      <c r="AG1961" s="1"/>
      <c r="AH1961" s="1"/>
    </row>
    <row r="1962" spans="1:34">
      <c r="A1962" s="1"/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  <c r="AB1962" s="1"/>
      <c r="AC1962" s="1"/>
      <c r="AD1962" s="1"/>
      <c r="AE1962" s="1"/>
      <c r="AF1962" s="1"/>
      <c r="AG1962" s="1"/>
      <c r="AH1962" s="1"/>
    </row>
    <row r="1963" spans="1:34">
      <c r="A1963" s="1"/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  <c r="AB1963" s="1"/>
      <c r="AC1963" s="1"/>
      <c r="AD1963" s="1"/>
      <c r="AE1963" s="1"/>
      <c r="AF1963" s="1"/>
      <c r="AG1963" s="1"/>
      <c r="AH1963" s="1"/>
    </row>
    <row r="1964" spans="1:34">
      <c r="A1964" s="1"/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  <c r="AB1964" s="1"/>
      <c r="AC1964" s="1"/>
      <c r="AD1964" s="1"/>
      <c r="AE1964" s="1"/>
      <c r="AF1964" s="1"/>
      <c r="AG1964" s="1"/>
      <c r="AH1964" s="1"/>
    </row>
    <row r="1965" spans="1:34">
      <c r="A1965" s="1"/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  <c r="AB1965" s="1"/>
      <c r="AC1965" s="1"/>
      <c r="AD1965" s="1"/>
      <c r="AE1965" s="1"/>
      <c r="AF1965" s="1"/>
      <c r="AG1965" s="1"/>
      <c r="AH1965" s="1"/>
    </row>
    <row r="1966" spans="1:34">
      <c r="A1966" s="1"/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  <c r="AB1966" s="1"/>
      <c r="AC1966" s="1"/>
      <c r="AD1966" s="1"/>
      <c r="AE1966" s="1"/>
      <c r="AF1966" s="1"/>
      <c r="AG1966" s="1"/>
      <c r="AH1966" s="1"/>
    </row>
    <row r="1967" spans="1:34">
      <c r="A1967" s="1"/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  <c r="AB1967" s="1"/>
      <c r="AC1967" s="1"/>
      <c r="AD1967" s="1"/>
      <c r="AE1967" s="1"/>
      <c r="AF1967" s="1"/>
      <c r="AG1967" s="1"/>
      <c r="AH1967" s="1"/>
    </row>
    <row r="1968" spans="1:34">
      <c r="A1968" s="1"/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  <c r="AB1968" s="1"/>
      <c r="AC1968" s="1"/>
      <c r="AD1968" s="1"/>
      <c r="AE1968" s="1"/>
      <c r="AF1968" s="1"/>
      <c r="AG1968" s="1"/>
      <c r="AH1968" s="1"/>
    </row>
    <row r="1969" spans="1:34">
      <c r="A1969" s="1"/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  <c r="AB1969" s="1"/>
      <c r="AC1969" s="1"/>
      <c r="AD1969" s="1"/>
      <c r="AE1969" s="1"/>
      <c r="AF1969" s="1"/>
      <c r="AG1969" s="1"/>
      <c r="AH1969" s="1"/>
    </row>
    <row r="1970" spans="1:34">
      <c r="A1970" s="1"/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  <c r="AB1970" s="1"/>
      <c r="AC1970" s="1"/>
      <c r="AD1970" s="1"/>
      <c r="AE1970" s="1"/>
      <c r="AF1970" s="1"/>
      <c r="AG1970" s="1"/>
      <c r="AH1970" s="1"/>
    </row>
    <row r="1971" spans="1:34">
      <c r="A1971" s="1"/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  <c r="AB1971" s="1"/>
      <c r="AC1971" s="1"/>
      <c r="AD1971" s="1"/>
      <c r="AE1971" s="1"/>
      <c r="AF1971" s="1"/>
      <c r="AG1971" s="1"/>
      <c r="AH1971" s="1"/>
    </row>
    <row r="1972" spans="1:34">
      <c r="A1972" s="1"/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  <c r="AB1972" s="1"/>
      <c r="AC1972" s="1"/>
      <c r="AD1972" s="1"/>
      <c r="AE1972" s="1"/>
      <c r="AF1972" s="1"/>
      <c r="AG1972" s="1"/>
      <c r="AH1972" s="1"/>
    </row>
    <row r="1973" spans="1:34">
      <c r="A1973" s="1"/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  <c r="AB1973" s="1"/>
      <c r="AC1973" s="1"/>
      <c r="AD1973" s="1"/>
      <c r="AE1973" s="1"/>
      <c r="AF1973" s="1"/>
      <c r="AG1973" s="1"/>
      <c r="AH1973" s="1"/>
    </row>
    <row r="1974" spans="1:34">
      <c r="A1974" s="1"/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  <c r="AB1974" s="1"/>
      <c r="AC1974" s="1"/>
      <c r="AD1974" s="1"/>
      <c r="AE1974" s="1"/>
      <c r="AF1974" s="1"/>
      <c r="AG1974" s="1"/>
      <c r="AH1974" s="1"/>
    </row>
    <row r="1975" spans="1:34">
      <c r="A1975" s="1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  <c r="AB1975" s="1"/>
      <c r="AC1975" s="1"/>
      <c r="AD1975" s="1"/>
      <c r="AE1975" s="1"/>
      <c r="AF1975" s="1"/>
      <c r="AG1975" s="1"/>
      <c r="AH1975" s="1"/>
    </row>
    <row r="1976" spans="1:34">
      <c r="A1976" s="1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  <c r="AB1976" s="1"/>
      <c r="AC1976" s="1"/>
      <c r="AD1976" s="1"/>
      <c r="AE1976" s="1"/>
      <c r="AF1976" s="1"/>
      <c r="AG1976" s="1"/>
      <c r="AH1976" s="1"/>
    </row>
    <row r="1977" spans="1:34">
      <c r="A1977" s="1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  <c r="AB1977" s="1"/>
      <c r="AC1977" s="1"/>
      <c r="AD1977" s="1"/>
      <c r="AE1977" s="1"/>
      <c r="AF1977" s="1"/>
      <c r="AG1977" s="1"/>
      <c r="AH1977" s="1"/>
    </row>
    <row r="1978" spans="1:34">
      <c r="A1978" s="1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  <c r="AB1978" s="1"/>
      <c r="AC1978" s="1"/>
      <c r="AD1978" s="1"/>
      <c r="AE1978" s="1"/>
      <c r="AF1978" s="1"/>
      <c r="AG1978" s="1"/>
      <c r="AH1978" s="1"/>
    </row>
    <row r="1979" spans="1:34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  <c r="AB1979" s="1"/>
      <c r="AC1979" s="1"/>
      <c r="AD1979" s="1"/>
      <c r="AE1979" s="1"/>
      <c r="AF1979" s="1"/>
      <c r="AG1979" s="1"/>
      <c r="AH1979" s="1"/>
    </row>
    <row r="1980" spans="1:34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  <c r="AB1980" s="1"/>
      <c r="AC1980" s="1"/>
      <c r="AD1980" s="1"/>
      <c r="AE1980" s="1"/>
      <c r="AF1980" s="1"/>
      <c r="AG1980" s="1"/>
      <c r="AH1980" s="1"/>
    </row>
    <row r="1981" spans="1:34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  <c r="AB1981" s="1"/>
      <c r="AC1981" s="1"/>
      <c r="AD1981" s="1"/>
      <c r="AE1981" s="1"/>
      <c r="AF1981" s="1"/>
      <c r="AG1981" s="1"/>
      <c r="AH1981" s="1"/>
    </row>
    <row r="1982" spans="1:34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  <c r="AB1982" s="1"/>
      <c r="AC1982" s="1"/>
      <c r="AD1982" s="1"/>
      <c r="AE1982" s="1"/>
      <c r="AF1982" s="1"/>
      <c r="AG1982" s="1"/>
      <c r="AH1982" s="1"/>
    </row>
    <row r="1983" spans="1:34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  <c r="AB1983" s="1"/>
      <c r="AC1983" s="1"/>
      <c r="AD1983" s="1"/>
      <c r="AE1983" s="1"/>
      <c r="AF1983" s="1"/>
      <c r="AG1983" s="1"/>
      <c r="AH1983" s="1"/>
    </row>
    <row r="1984" spans="1:34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  <c r="AB1984" s="1"/>
      <c r="AC1984" s="1"/>
      <c r="AD1984" s="1"/>
      <c r="AE1984" s="1"/>
      <c r="AF1984" s="1"/>
      <c r="AG1984" s="1"/>
      <c r="AH1984" s="1"/>
    </row>
    <row r="1985" spans="1:34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  <c r="AB1985" s="1"/>
      <c r="AC1985" s="1"/>
      <c r="AD1985" s="1"/>
      <c r="AE1985" s="1"/>
      <c r="AF1985" s="1"/>
      <c r="AG1985" s="1"/>
      <c r="AH1985" s="1"/>
    </row>
    <row r="1986" spans="1:34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  <c r="AB1986" s="1"/>
      <c r="AC1986" s="1"/>
      <c r="AD1986" s="1"/>
      <c r="AE1986" s="1"/>
      <c r="AF1986" s="1"/>
      <c r="AG1986" s="1"/>
      <c r="AH1986" s="1"/>
    </row>
    <row r="1987" spans="1:34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  <c r="AB1987" s="1"/>
      <c r="AC1987" s="1"/>
      <c r="AD1987" s="1"/>
      <c r="AE1987" s="1"/>
      <c r="AF1987" s="1"/>
      <c r="AG1987" s="1"/>
      <c r="AH1987" s="1"/>
    </row>
    <row r="1988" spans="1:34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  <c r="AB1988" s="1"/>
      <c r="AC1988" s="1"/>
      <c r="AD1988" s="1"/>
      <c r="AE1988" s="1"/>
      <c r="AF1988" s="1"/>
      <c r="AG1988" s="1"/>
      <c r="AH1988" s="1"/>
    </row>
    <row r="1989" spans="1:34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  <c r="AB1989" s="1"/>
      <c r="AC1989" s="1"/>
      <c r="AD1989" s="1"/>
      <c r="AE1989" s="1"/>
      <c r="AF1989" s="1"/>
      <c r="AG1989" s="1"/>
      <c r="AH1989" s="1"/>
    </row>
    <row r="1990" spans="1:34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  <c r="AB1990" s="1"/>
      <c r="AC1990" s="1"/>
      <c r="AD1990" s="1"/>
      <c r="AE1990" s="1"/>
      <c r="AF1990" s="1"/>
      <c r="AG1990" s="1"/>
      <c r="AH1990" s="1"/>
    </row>
    <row r="1991" spans="1:34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  <c r="AB1991" s="1"/>
      <c r="AC1991" s="1"/>
      <c r="AD1991" s="1"/>
      <c r="AE1991" s="1"/>
      <c r="AF1991" s="1"/>
      <c r="AG1991" s="1"/>
      <c r="AH1991" s="1"/>
    </row>
    <row r="1992" spans="1:34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  <c r="AB1992" s="1"/>
      <c r="AC1992" s="1"/>
      <c r="AD1992" s="1"/>
      <c r="AE1992" s="1"/>
      <c r="AF1992" s="1"/>
      <c r="AG1992" s="1"/>
      <c r="AH1992" s="1"/>
    </row>
    <row r="1993" spans="1:34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  <c r="AB1993" s="1"/>
      <c r="AC1993" s="1"/>
      <c r="AD1993" s="1"/>
      <c r="AE1993" s="1"/>
      <c r="AF1993" s="1"/>
      <c r="AG1993" s="1"/>
      <c r="AH1993" s="1"/>
    </row>
    <row r="1994" spans="1:34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  <c r="AB1994" s="1"/>
      <c r="AC1994" s="1"/>
      <c r="AD1994" s="1"/>
      <c r="AE1994" s="1"/>
      <c r="AF1994" s="1"/>
      <c r="AG1994" s="1"/>
      <c r="AH1994" s="1"/>
    </row>
    <row r="1995" spans="1:34">
      <c r="A1995" s="1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  <c r="AB1995" s="1"/>
      <c r="AC1995" s="1"/>
      <c r="AD1995" s="1"/>
      <c r="AE1995" s="1"/>
      <c r="AF1995" s="1"/>
      <c r="AG1995" s="1"/>
      <c r="AH1995" s="1"/>
    </row>
    <row r="1996" spans="1:34">
      <c r="A1996" s="1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  <c r="AB1996" s="1"/>
      <c r="AC1996" s="1"/>
      <c r="AD1996" s="1"/>
      <c r="AE1996" s="1"/>
      <c r="AF1996" s="1"/>
      <c r="AG1996" s="1"/>
      <c r="AH1996" s="1"/>
    </row>
    <row r="1997" spans="1:34">
      <c r="A1997" s="1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  <c r="AB1997" s="1"/>
      <c r="AC1997" s="1"/>
      <c r="AD1997" s="1"/>
      <c r="AE1997" s="1"/>
      <c r="AF1997" s="1"/>
      <c r="AG1997" s="1"/>
      <c r="AH1997" s="1"/>
    </row>
    <row r="1998" spans="1:34">
      <c r="A1998" s="1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  <c r="AB1998" s="1"/>
      <c r="AC1998" s="1"/>
      <c r="AD1998" s="1"/>
      <c r="AE1998" s="1"/>
      <c r="AF1998" s="1"/>
      <c r="AG1998" s="1"/>
      <c r="AH1998" s="1"/>
    </row>
    <row r="1999" spans="1:34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  <c r="AB1999" s="1"/>
      <c r="AC1999" s="1"/>
      <c r="AD1999" s="1"/>
      <c r="AE1999" s="1"/>
      <c r="AF1999" s="1"/>
      <c r="AG1999" s="1"/>
      <c r="AH1999" s="1"/>
    </row>
    <row r="2000" spans="1:34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  <c r="AB2000" s="1"/>
      <c r="AC2000" s="1"/>
      <c r="AD2000" s="1"/>
      <c r="AE2000" s="1"/>
      <c r="AF2000" s="1"/>
      <c r="AG2000" s="1"/>
      <c r="AH2000" s="1"/>
    </row>
    <row r="2001" spans="1:34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  <c r="AB2001" s="1"/>
      <c r="AC2001" s="1"/>
      <c r="AD2001" s="1"/>
      <c r="AE2001" s="1"/>
      <c r="AF2001" s="1"/>
      <c r="AG2001" s="1"/>
      <c r="AH2001" s="1"/>
    </row>
    <row r="2002" spans="1:34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  <c r="AB2002" s="1"/>
      <c r="AC2002" s="1"/>
      <c r="AD2002" s="1"/>
      <c r="AE2002" s="1"/>
      <c r="AF2002" s="1"/>
      <c r="AG2002" s="1"/>
      <c r="AH2002" s="1"/>
    </row>
    <row r="2003" spans="1:34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  <c r="AB2003" s="1"/>
      <c r="AC2003" s="1"/>
      <c r="AD2003" s="1"/>
      <c r="AE2003" s="1"/>
      <c r="AF2003" s="1"/>
      <c r="AG2003" s="1"/>
      <c r="AH2003" s="1"/>
    </row>
    <row r="2004" spans="1:34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  <c r="AB2004" s="1"/>
      <c r="AC2004" s="1"/>
      <c r="AD2004" s="1"/>
      <c r="AE2004" s="1"/>
      <c r="AF2004" s="1"/>
      <c r="AG2004" s="1"/>
      <c r="AH2004" s="1"/>
    </row>
    <row r="2005" spans="1:34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  <c r="AB2005" s="1"/>
      <c r="AC2005" s="1"/>
      <c r="AD2005" s="1"/>
      <c r="AE2005" s="1"/>
      <c r="AF2005" s="1"/>
      <c r="AG2005" s="1"/>
      <c r="AH2005" s="1"/>
    </row>
    <row r="2006" spans="1:34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  <c r="AB2006" s="1"/>
      <c r="AC2006" s="1"/>
      <c r="AD2006" s="1"/>
      <c r="AE2006" s="1"/>
      <c r="AF2006" s="1"/>
      <c r="AG2006" s="1"/>
      <c r="AH2006" s="1"/>
    </row>
    <row r="2007" spans="1:34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  <c r="AB2007" s="1"/>
      <c r="AC2007" s="1"/>
      <c r="AD2007" s="1"/>
      <c r="AE2007" s="1"/>
      <c r="AF2007" s="1"/>
      <c r="AG2007" s="1"/>
      <c r="AH2007" s="1"/>
    </row>
    <row r="2008" spans="1:34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  <c r="AB2008" s="1"/>
      <c r="AC2008" s="1"/>
      <c r="AD2008" s="1"/>
      <c r="AE2008" s="1"/>
      <c r="AF2008" s="1"/>
      <c r="AG2008" s="1"/>
      <c r="AH2008" s="1"/>
    </row>
    <row r="2009" spans="1:34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  <c r="AB2009" s="1"/>
      <c r="AC2009" s="1"/>
      <c r="AD2009" s="1"/>
      <c r="AE2009" s="1"/>
      <c r="AF2009" s="1"/>
      <c r="AG2009" s="1"/>
      <c r="AH2009" s="1"/>
    </row>
    <row r="2010" spans="1:34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  <c r="AB2010" s="1"/>
      <c r="AC2010" s="1"/>
      <c r="AD2010" s="1"/>
      <c r="AE2010" s="1"/>
      <c r="AF2010" s="1"/>
      <c r="AG2010" s="1"/>
      <c r="AH2010" s="1"/>
    </row>
    <row r="2011" spans="1:34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  <c r="AB2011" s="1"/>
      <c r="AC2011" s="1"/>
      <c r="AD2011" s="1"/>
      <c r="AE2011" s="1"/>
      <c r="AF2011" s="1"/>
      <c r="AG2011" s="1"/>
      <c r="AH2011" s="1"/>
    </row>
    <row r="2012" spans="1:34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  <c r="AB2012" s="1"/>
      <c r="AC2012" s="1"/>
      <c r="AD2012" s="1"/>
      <c r="AE2012" s="1"/>
      <c r="AF2012" s="1"/>
      <c r="AG2012" s="1"/>
      <c r="AH2012" s="1"/>
    </row>
    <row r="2013" spans="1:34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  <c r="AB2013" s="1"/>
      <c r="AC2013" s="1"/>
      <c r="AD2013" s="1"/>
      <c r="AE2013" s="1"/>
      <c r="AF2013" s="1"/>
      <c r="AG2013" s="1"/>
      <c r="AH2013" s="1"/>
    </row>
    <row r="2014" spans="1:34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  <c r="AB2014" s="1"/>
      <c r="AC2014" s="1"/>
      <c r="AD2014" s="1"/>
      <c r="AE2014" s="1"/>
      <c r="AF2014" s="1"/>
      <c r="AG2014" s="1"/>
      <c r="AH2014" s="1"/>
    </row>
    <row r="2015" spans="1:34">
      <c r="A2015" s="1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  <c r="AB2015" s="1"/>
      <c r="AC2015" s="1"/>
      <c r="AD2015" s="1"/>
      <c r="AE2015" s="1"/>
      <c r="AF2015" s="1"/>
      <c r="AG2015" s="1"/>
      <c r="AH2015" s="1"/>
    </row>
    <row r="2016" spans="1:34">
      <c r="A2016" s="1"/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  <c r="AB2016" s="1"/>
      <c r="AC2016" s="1"/>
      <c r="AD2016" s="1"/>
      <c r="AE2016" s="1"/>
      <c r="AF2016" s="1"/>
      <c r="AG2016" s="1"/>
      <c r="AH2016" s="1"/>
    </row>
    <row r="2017" spans="1:34">
      <c r="A2017" s="1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  <c r="AB2017" s="1"/>
      <c r="AC2017" s="1"/>
      <c r="AD2017" s="1"/>
      <c r="AE2017" s="1"/>
      <c r="AF2017" s="1"/>
      <c r="AG2017" s="1"/>
      <c r="AH2017" s="1"/>
    </row>
    <row r="2018" spans="1:34">
      <c r="A2018" s="1"/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  <c r="AB2018" s="1"/>
      <c r="AC2018" s="1"/>
      <c r="AD2018" s="1"/>
      <c r="AE2018" s="1"/>
      <c r="AF2018" s="1"/>
      <c r="AG2018" s="1"/>
      <c r="AH2018" s="1"/>
    </row>
    <row r="2019" spans="1:34">
      <c r="A2019" s="1"/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  <c r="AB2019" s="1"/>
      <c r="AC2019" s="1"/>
      <c r="AD2019" s="1"/>
      <c r="AE2019" s="1"/>
      <c r="AF2019" s="1"/>
      <c r="AG2019" s="1"/>
      <c r="AH2019" s="1"/>
    </row>
    <row r="2020" spans="1:34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  <c r="AB2020" s="1"/>
      <c r="AC2020" s="1"/>
      <c r="AD2020" s="1"/>
      <c r="AE2020" s="1"/>
      <c r="AF2020" s="1"/>
      <c r="AG2020" s="1"/>
      <c r="AH2020" s="1"/>
    </row>
    <row r="2021" spans="1:34">
      <c r="A2021" s="1"/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  <c r="AB2021" s="1"/>
      <c r="AC2021" s="1"/>
      <c r="AD2021" s="1"/>
      <c r="AE2021" s="1"/>
      <c r="AF2021" s="1"/>
      <c r="AG2021" s="1"/>
      <c r="AH2021" s="1"/>
    </row>
    <row r="2022" spans="1:34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  <c r="AB2022" s="1"/>
      <c r="AC2022" s="1"/>
      <c r="AD2022" s="1"/>
      <c r="AE2022" s="1"/>
      <c r="AF2022" s="1"/>
      <c r="AG2022" s="1"/>
      <c r="AH2022" s="1"/>
    </row>
    <row r="2023" spans="1:34">
      <c r="A2023" s="1"/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  <c r="AB2023" s="1"/>
      <c r="AC2023" s="1"/>
      <c r="AD2023" s="1"/>
      <c r="AE2023" s="1"/>
      <c r="AF2023" s="1"/>
      <c r="AG2023" s="1"/>
      <c r="AH2023" s="1"/>
    </row>
    <row r="2024" spans="1:34">
      <c r="A2024" s="1"/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  <c r="AB2024" s="1"/>
      <c r="AC2024" s="1"/>
      <c r="AD2024" s="1"/>
      <c r="AE2024" s="1"/>
      <c r="AF2024" s="1"/>
      <c r="AG2024" s="1"/>
      <c r="AH2024" s="1"/>
    </row>
    <row r="2025" spans="1:34">
      <c r="A2025" s="1"/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  <c r="AB2025" s="1"/>
      <c r="AC2025" s="1"/>
      <c r="AD2025" s="1"/>
      <c r="AE2025" s="1"/>
      <c r="AF2025" s="1"/>
      <c r="AG2025" s="1"/>
      <c r="AH2025" s="1"/>
    </row>
    <row r="2026" spans="1:34">
      <c r="A2026" s="1"/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  <c r="AB2026" s="1"/>
      <c r="AC2026" s="1"/>
      <c r="AD2026" s="1"/>
      <c r="AE2026" s="1"/>
      <c r="AF2026" s="1"/>
      <c r="AG2026" s="1"/>
      <c r="AH2026" s="1"/>
    </row>
    <row r="2027" spans="1:34">
      <c r="A2027" s="1"/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  <c r="AB2027" s="1"/>
      <c r="AC2027" s="1"/>
      <c r="AD2027" s="1"/>
      <c r="AE2027" s="1"/>
      <c r="AF2027" s="1"/>
      <c r="AG2027" s="1"/>
      <c r="AH2027" s="1"/>
    </row>
    <row r="2028" spans="1:34">
      <c r="A2028" s="1"/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  <c r="AB2028" s="1"/>
      <c r="AC2028" s="1"/>
      <c r="AD2028" s="1"/>
      <c r="AE2028" s="1"/>
      <c r="AF2028" s="1"/>
      <c r="AG2028" s="1"/>
      <c r="AH2028" s="1"/>
    </row>
    <row r="2029" spans="1:34">
      <c r="A2029" s="1"/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  <c r="AB2029" s="1"/>
      <c r="AC2029" s="1"/>
      <c r="AD2029" s="1"/>
      <c r="AE2029" s="1"/>
      <c r="AF2029" s="1"/>
      <c r="AG2029" s="1"/>
      <c r="AH2029" s="1"/>
    </row>
    <row r="2030" spans="1:34">
      <c r="A2030" s="1"/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  <c r="AB2030" s="1"/>
      <c r="AC2030" s="1"/>
      <c r="AD2030" s="1"/>
      <c r="AE2030" s="1"/>
      <c r="AF2030" s="1"/>
      <c r="AG2030" s="1"/>
      <c r="AH2030" s="1"/>
    </row>
    <row r="2031" spans="1:34">
      <c r="A2031" s="1"/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  <c r="AB2031" s="1"/>
      <c r="AC2031" s="1"/>
      <c r="AD2031" s="1"/>
      <c r="AE2031" s="1"/>
      <c r="AF2031" s="1"/>
      <c r="AG2031" s="1"/>
      <c r="AH2031" s="1"/>
    </row>
    <row r="2032" spans="1:34">
      <c r="A2032" s="1"/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  <c r="AB2032" s="1"/>
      <c r="AC2032" s="1"/>
      <c r="AD2032" s="1"/>
      <c r="AE2032" s="1"/>
      <c r="AF2032" s="1"/>
      <c r="AG2032" s="1"/>
      <c r="AH2032" s="1"/>
    </row>
    <row r="2033" spans="1:34">
      <c r="A2033" s="1"/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  <c r="AB2033" s="1"/>
      <c r="AC2033" s="1"/>
      <c r="AD2033" s="1"/>
      <c r="AE2033" s="1"/>
      <c r="AF2033" s="1"/>
      <c r="AG2033" s="1"/>
      <c r="AH2033" s="1"/>
    </row>
    <row r="2034" spans="1:34">
      <c r="A2034" s="1"/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  <c r="AB2034" s="1"/>
      <c r="AC2034" s="1"/>
      <c r="AD2034" s="1"/>
      <c r="AE2034" s="1"/>
      <c r="AF2034" s="1"/>
      <c r="AG2034" s="1"/>
      <c r="AH2034" s="1"/>
    </row>
    <row r="2035" spans="1:34">
      <c r="A2035" s="1"/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  <c r="AB2035" s="1"/>
      <c r="AC2035" s="1"/>
      <c r="AD2035" s="1"/>
      <c r="AE2035" s="1"/>
      <c r="AF2035" s="1"/>
      <c r="AG2035" s="1"/>
      <c r="AH2035" s="1"/>
    </row>
    <row r="2036" spans="1:34">
      <c r="A2036" s="1"/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  <c r="AB2036" s="1"/>
      <c r="AC2036" s="1"/>
      <c r="AD2036" s="1"/>
      <c r="AE2036" s="1"/>
      <c r="AF2036" s="1"/>
      <c r="AG2036" s="1"/>
      <c r="AH2036" s="1"/>
    </row>
    <row r="2037" spans="1:34">
      <c r="A2037" s="1"/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  <c r="AB2037" s="1"/>
      <c r="AC2037" s="1"/>
      <c r="AD2037" s="1"/>
      <c r="AE2037" s="1"/>
      <c r="AF2037" s="1"/>
      <c r="AG2037" s="1"/>
      <c r="AH2037" s="1"/>
    </row>
    <row r="2038" spans="1:34">
      <c r="A2038" s="1"/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  <c r="AB2038" s="1"/>
      <c r="AC2038" s="1"/>
      <c r="AD2038" s="1"/>
      <c r="AE2038" s="1"/>
      <c r="AF2038" s="1"/>
      <c r="AG2038" s="1"/>
      <c r="AH2038" s="1"/>
    </row>
    <row r="2039" spans="1:34">
      <c r="A2039" s="1"/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  <c r="AB2039" s="1"/>
      <c r="AC2039" s="1"/>
      <c r="AD2039" s="1"/>
      <c r="AE2039" s="1"/>
      <c r="AF2039" s="1"/>
      <c r="AG2039" s="1"/>
      <c r="AH2039" s="1"/>
    </row>
    <row r="2040" spans="1:34">
      <c r="A2040" s="1"/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  <c r="AB2040" s="1"/>
      <c r="AC2040" s="1"/>
      <c r="AD2040" s="1"/>
      <c r="AE2040" s="1"/>
      <c r="AF2040" s="1"/>
      <c r="AG2040" s="1"/>
      <c r="AH2040" s="1"/>
    </row>
    <row r="2041" spans="1:34">
      <c r="A2041" s="1"/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  <c r="AB2041" s="1"/>
      <c r="AC2041" s="1"/>
      <c r="AD2041" s="1"/>
      <c r="AE2041" s="1"/>
      <c r="AF2041" s="1"/>
      <c r="AG2041" s="1"/>
      <c r="AH2041" s="1"/>
    </row>
    <row r="2042" spans="1:34">
      <c r="A2042" s="1"/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  <c r="AB2042" s="1"/>
      <c r="AC2042" s="1"/>
      <c r="AD2042" s="1"/>
      <c r="AE2042" s="1"/>
      <c r="AF2042" s="1"/>
      <c r="AG2042" s="1"/>
      <c r="AH2042" s="1"/>
    </row>
    <row r="2043" spans="1:34">
      <c r="A2043" s="1"/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  <c r="AB2043" s="1"/>
      <c r="AC2043" s="1"/>
      <c r="AD2043" s="1"/>
      <c r="AE2043" s="1"/>
      <c r="AF2043" s="1"/>
      <c r="AG2043" s="1"/>
      <c r="AH2043" s="1"/>
    </row>
    <row r="2044" spans="1:34">
      <c r="A2044" s="1"/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  <c r="AB2044" s="1"/>
      <c r="AC2044" s="1"/>
      <c r="AD2044" s="1"/>
      <c r="AE2044" s="1"/>
      <c r="AF2044" s="1"/>
      <c r="AG2044" s="1"/>
      <c r="AH2044" s="1"/>
    </row>
    <row r="2045" spans="1:34">
      <c r="A2045" s="1"/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  <c r="AB2045" s="1"/>
      <c r="AC2045" s="1"/>
      <c r="AD2045" s="1"/>
      <c r="AE2045" s="1"/>
      <c r="AF2045" s="1"/>
      <c r="AG2045" s="1"/>
      <c r="AH2045" s="1"/>
    </row>
    <row r="2046" spans="1:34">
      <c r="A2046" s="1"/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  <c r="AB2046" s="1"/>
      <c r="AC2046" s="1"/>
      <c r="AD2046" s="1"/>
      <c r="AE2046" s="1"/>
      <c r="AF2046" s="1"/>
      <c r="AG2046" s="1"/>
      <c r="AH2046" s="1"/>
    </row>
    <row r="2047" spans="1:34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  <c r="AB2047" s="1"/>
      <c r="AC2047" s="1"/>
      <c r="AD2047" s="1"/>
      <c r="AE2047" s="1"/>
      <c r="AF2047" s="1"/>
      <c r="AG2047" s="1"/>
      <c r="AH2047" s="1"/>
    </row>
    <row r="2048" spans="1:34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  <c r="AB2048" s="1"/>
      <c r="AC2048" s="1"/>
      <c r="AD2048" s="1"/>
      <c r="AE2048" s="1"/>
      <c r="AF2048" s="1"/>
      <c r="AG2048" s="1"/>
      <c r="AH2048" s="1"/>
    </row>
    <row r="2049" spans="1:34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  <c r="AB2049" s="1"/>
      <c r="AC2049" s="1"/>
      <c r="AD2049" s="1"/>
      <c r="AE2049" s="1"/>
      <c r="AF2049" s="1"/>
      <c r="AG2049" s="1"/>
      <c r="AH2049" s="1"/>
    </row>
    <row r="2050" spans="1:34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  <c r="AB2050" s="1"/>
      <c r="AC2050" s="1"/>
      <c r="AD2050" s="1"/>
      <c r="AE2050" s="1"/>
      <c r="AF2050" s="1"/>
      <c r="AG2050" s="1"/>
      <c r="AH2050" s="1"/>
    </row>
    <row r="2051" spans="1:34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  <c r="AB2051" s="1"/>
      <c r="AC2051" s="1"/>
      <c r="AD2051" s="1"/>
      <c r="AE2051" s="1"/>
      <c r="AF2051" s="1"/>
      <c r="AG2051" s="1"/>
      <c r="AH2051" s="1"/>
    </row>
    <row r="2052" spans="1:34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  <c r="AB2052" s="1"/>
      <c r="AC2052" s="1"/>
      <c r="AD2052" s="1"/>
      <c r="AE2052" s="1"/>
      <c r="AF2052" s="1"/>
      <c r="AG2052" s="1"/>
      <c r="AH2052" s="1"/>
    </row>
    <row r="2053" spans="1:34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  <c r="AB2053" s="1"/>
      <c r="AC2053" s="1"/>
      <c r="AD2053" s="1"/>
      <c r="AE2053" s="1"/>
      <c r="AF2053" s="1"/>
      <c r="AG2053" s="1"/>
      <c r="AH2053" s="1"/>
    </row>
    <row r="2054" spans="1:34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  <c r="AB2054" s="1"/>
      <c r="AC2054" s="1"/>
      <c r="AD2054" s="1"/>
      <c r="AE2054" s="1"/>
      <c r="AF2054" s="1"/>
      <c r="AG2054" s="1"/>
      <c r="AH2054" s="1"/>
    </row>
    <row r="2055" spans="1:34">
      <c r="A2055" s="1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  <c r="AB2055" s="1"/>
      <c r="AC2055" s="1"/>
      <c r="AD2055" s="1"/>
      <c r="AE2055" s="1"/>
      <c r="AF2055" s="1"/>
      <c r="AG2055" s="1"/>
      <c r="AH2055" s="1"/>
    </row>
    <row r="2056" spans="1:34">
      <c r="A2056" s="1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  <c r="AB2056" s="1"/>
      <c r="AC2056" s="1"/>
      <c r="AD2056" s="1"/>
      <c r="AE2056" s="1"/>
      <c r="AF2056" s="1"/>
      <c r="AG2056" s="1"/>
      <c r="AH2056" s="1"/>
    </row>
    <row r="2057" spans="1:34">
      <c r="A2057" s="1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  <c r="AB2057" s="1"/>
      <c r="AC2057" s="1"/>
      <c r="AD2057" s="1"/>
      <c r="AE2057" s="1"/>
      <c r="AF2057" s="1"/>
      <c r="AG2057" s="1"/>
      <c r="AH2057" s="1"/>
    </row>
    <row r="2058" spans="1:34">
      <c r="A2058" s="1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  <c r="AB2058" s="1"/>
      <c r="AC2058" s="1"/>
      <c r="AD2058" s="1"/>
      <c r="AE2058" s="1"/>
      <c r="AF2058" s="1"/>
      <c r="AG2058" s="1"/>
      <c r="AH2058" s="1"/>
    </row>
    <row r="2059" spans="1:34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  <c r="AB2059" s="1"/>
      <c r="AC2059" s="1"/>
      <c r="AD2059" s="1"/>
      <c r="AE2059" s="1"/>
      <c r="AF2059" s="1"/>
      <c r="AG2059" s="1"/>
      <c r="AH2059" s="1"/>
    </row>
    <row r="2060" spans="1:34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  <c r="AB2060" s="1"/>
      <c r="AC2060" s="1"/>
      <c r="AD2060" s="1"/>
      <c r="AE2060" s="1"/>
      <c r="AF2060" s="1"/>
      <c r="AG2060" s="1"/>
      <c r="AH2060" s="1"/>
    </row>
    <row r="2061" spans="1:34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  <c r="AB2061" s="1"/>
      <c r="AC2061" s="1"/>
      <c r="AD2061" s="1"/>
      <c r="AE2061" s="1"/>
      <c r="AF2061" s="1"/>
      <c r="AG2061" s="1"/>
      <c r="AH2061" s="1"/>
    </row>
    <row r="2062" spans="1:34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  <c r="AB2062" s="1"/>
      <c r="AC2062" s="1"/>
      <c r="AD2062" s="1"/>
      <c r="AE2062" s="1"/>
      <c r="AF2062" s="1"/>
      <c r="AG2062" s="1"/>
      <c r="AH2062" s="1"/>
    </row>
    <row r="2063" spans="1:34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  <c r="AB2063" s="1"/>
      <c r="AC2063" s="1"/>
      <c r="AD2063" s="1"/>
      <c r="AE2063" s="1"/>
      <c r="AF2063" s="1"/>
      <c r="AG2063" s="1"/>
      <c r="AH2063" s="1"/>
    </row>
    <row r="2064" spans="1:34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  <c r="AB2064" s="1"/>
      <c r="AC2064" s="1"/>
      <c r="AD2064" s="1"/>
      <c r="AE2064" s="1"/>
      <c r="AF2064" s="1"/>
      <c r="AG2064" s="1"/>
      <c r="AH2064" s="1"/>
    </row>
    <row r="2065" spans="1:34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  <c r="AB2065" s="1"/>
      <c r="AC2065" s="1"/>
      <c r="AD2065" s="1"/>
      <c r="AE2065" s="1"/>
      <c r="AF2065" s="1"/>
      <c r="AG2065" s="1"/>
      <c r="AH2065" s="1"/>
    </row>
    <row r="2066" spans="1:34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  <c r="AB2066" s="1"/>
      <c r="AC2066" s="1"/>
      <c r="AD2066" s="1"/>
      <c r="AE2066" s="1"/>
      <c r="AF2066" s="1"/>
      <c r="AG2066" s="1"/>
      <c r="AH2066" s="1"/>
    </row>
    <row r="2067" spans="1:34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  <c r="AB2067" s="1"/>
      <c r="AC2067" s="1"/>
      <c r="AD2067" s="1"/>
      <c r="AE2067" s="1"/>
      <c r="AF2067" s="1"/>
      <c r="AG2067" s="1"/>
      <c r="AH2067" s="1"/>
    </row>
    <row r="2068" spans="1:34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  <c r="AB2068" s="1"/>
      <c r="AC2068" s="1"/>
      <c r="AD2068" s="1"/>
      <c r="AE2068" s="1"/>
      <c r="AF2068" s="1"/>
      <c r="AG2068" s="1"/>
      <c r="AH2068" s="1"/>
    </row>
    <row r="2069" spans="1:34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  <c r="AB2069" s="1"/>
      <c r="AC2069" s="1"/>
      <c r="AD2069" s="1"/>
      <c r="AE2069" s="1"/>
      <c r="AF2069" s="1"/>
      <c r="AG2069" s="1"/>
      <c r="AH2069" s="1"/>
    </row>
    <row r="2070" spans="1:34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  <c r="AB2070" s="1"/>
      <c r="AC2070" s="1"/>
      <c r="AD2070" s="1"/>
      <c r="AE2070" s="1"/>
      <c r="AF2070" s="1"/>
      <c r="AG2070" s="1"/>
      <c r="AH2070" s="1"/>
    </row>
    <row r="2071" spans="1:34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  <c r="AB2071" s="1"/>
      <c r="AC2071" s="1"/>
      <c r="AD2071" s="1"/>
      <c r="AE2071" s="1"/>
      <c r="AF2071" s="1"/>
      <c r="AG2071" s="1"/>
      <c r="AH2071" s="1"/>
    </row>
    <row r="2072" spans="1:34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  <c r="AB2072" s="1"/>
      <c r="AC2072" s="1"/>
      <c r="AD2072" s="1"/>
      <c r="AE2072" s="1"/>
      <c r="AF2072" s="1"/>
      <c r="AG2072" s="1"/>
      <c r="AH2072" s="1"/>
    </row>
    <row r="2073" spans="1:34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  <c r="AB2073" s="1"/>
      <c r="AC2073" s="1"/>
      <c r="AD2073" s="1"/>
      <c r="AE2073" s="1"/>
      <c r="AF2073" s="1"/>
      <c r="AG2073" s="1"/>
      <c r="AH2073" s="1"/>
    </row>
    <row r="2074" spans="1:34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  <c r="AB2074" s="1"/>
      <c r="AC2074" s="1"/>
      <c r="AD2074" s="1"/>
      <c r="AE2074" s="1"/>
      <c r="AF2074" s="1"/>
      <c r="AG2074" s="1"/>
      <c r="AH2074" s="1"/>
    </row>
    <row r="2075" spans="1:34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  <c r="AB2075" s="1"/>
      <c r="AC2075" s="1"/>
      <c r="AD2075" s="1"/>
      <c r="AE2075" s="1"/>
      <c r="AF2075" s="1"/>
      <c r="AG2075" s="1"/>
      <c r="AH2075" s="1"/>
    </row>
    <row r="2076" spans="1:34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  <c r="AB2076" s="1"/>
      <c r="AC2076" s="1"/>
      <c r="AD2076" s="1"/>
      <c r="AE2076" s="1"/>
      <c r="AF2076" s="1"/>
      <c r="AG2076" s="1"/>
      <c r="AH2076" s="1"/>
    </row>
    <row r="2077" spans="1:34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  <c r="AB2077" s="1"/>
      <c r="AC2077" s="1"/>
      <c r="AD2077" s="1"/>
      <c r="AE2077" s="1"/>
      <c r="AF2077" s="1"/>
      <c r="AG2077" s="1"/>
      <c r="AH2077" s="1"/>
    </row>
    <row r="2078" spans="1:34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  <c r="AB2078" s="1"/>
      <c r="AC2078" s="1"/>
      <c r="AD2078" s="1"/>
      <c r="AE2078" s="1"/>
      <c r="AF2078" s="1"/>
      <c r="AG2078" s="1"/>
      <c r="AH2078" s="1"/>
    </row>
    <row r="2079" spans="1:34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  <c r="AB2079" s="1"/>
      <c r="AC2079" s="1"/>
      <c r="AD2079" s="1"/>
      <c r="AE2079" s="1"/>
      <c r="AF2079" s="1"/>
      <c r="AG2079" s="1"/>
      <c r="AH2079" s="1"/>
    </row>
    <row r="2080" spans="1:34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  <c r="AB2080" s="1"/>
      <c r="AC2080" s="1"/>
      <c r="AD2080" s="1"/>
      <c r="AE2080" s="1"/>
      <c r="AF2080" s="1"/>
      <c r="AG2080" s="1"/>
      <c r="AH2080" s="1"/>
    </row>
    <row r="2081" spans="1:34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  <c r="AB2081" s="1"/>
      <c r="AC2081" s="1"/>
      <c r="AD2081" s="1"/>
      <c r="AE2081" s="1"/>
      <c r="AF2081" s="1"/>
      <c r="AG2081" s="1"/>
      <c r="AH2081" s="1"/>
    </row>
    <row r="2082" spans="1:34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  <c r="AB2082" s="1"/>
      <c r="AC2082" s="1"/>
      <c r="AD2082" s="1"/>
      <c r="AE2082" s="1"/>
      <c r="AF2082" s="1"/>
      <c r="AG2082" s="1"/>
      <c r="AH2082" s="1"/>
    </row>
    <row r="2083" spans="1:34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  <c r="AB2083" s="1"/>
      <c r="AC2083" s="1"/>
      <c r="AD2083" s="1"/>
      <c r="AE2083" s="1"/>
      <c r="AF2083" s="1"/>
      <c r="AG2083" s="1"/>
      <c r="AH2083" s="1"/>
    </row>
    <row r="2084" spans="1:34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  <c r="AB2084" s="1"/>
      <c r="AC2084" s="1"/>
      <c r="AD2084" s="1"/>
      <c r="AE2084" s="1"/>
      <c r="AF2084" s="1"/>
      <c r="AG2084" s="1"/>
      <c r="AH2084" s="1"/>
    </row>
    <row r="2085" spans="1:34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  <c r="AB2085" s="1"/>
      <c r="AC2085" s="1"/>
      <c r="AD2085" s="1"/>
      <c r="AE2085" s="1"/>
      <c r="AF2085" s="1"/>
      <c r="AG2085" s="1"/>
      <c r="AH2085" s="1"/>
    </row>
    <row r="2086" spans="1:34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  <c r="AB2086" s="1"/>
      <c r="AC2086" s="1"/>
      <c r="AD2086" s="1"/>
      <c r="AE2086" s="1"/>
      <c r="AF2086" s="1"/>
      <c r="AG2086" s="1"/>
      <c r="AH2086" s="1"/>
    </row>
    <row r="2087" spans="1:34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  <c r="AB2087" s="1"/>
      <c r="AC2087" s="1"/>
      <c r="AD2087" s="1"/>
      <c r="AE2087" s="1"/>
      <c r="AF2087" s="1"/>
      <c r="AG2087" s="1"/>
      <c r="AH2087" s="1"/>
    </row>
    <row r="2088" spans="1:34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  <c r="AB2088" s="1"/>
      <c r="AC2088" s="1"/>
      <c r="AD2088" s="1"/>
      <c r="AE2088" s="1"/>
      <c r="AF2088" s="1"/>
      <c r="AG2088" s="1"/>
      <c r="AH2088" s="1"/>
    </row>
    <row r="2089" spans="1:34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  <c r="AB2089" s="1"/>
      <c r="AC2089" s="1"/>
      <c r="AD2089" s="1"/>
      <c r="AE2089" s="1"/>
      <c r="AF2089" s="1"/>
      <c r="AG2089" s="1"/>
      <c r="AH2089" s="1"/>
    </row>
    <row r="2090" spans="1:34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  <c r="AB2090" s="1"/>
      <c r="AC2090" s="1"/>
      <c r="AD2090" s="1"/>
      <c r="AE2090" s="1"/>
      <c r="AF2090" s="1"/>
      <c r="AG2090" s="1"/>
      <c r="AH2090" s="1"/>
    </row>
    <row r="2091" spans="1:34">
      <c r="A2091" s="1"/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  <c r="AB2091" s="1"/>
      <c r="AC2091" s="1"/>
      <c r="AD2091" s="1"/>
      <c r="AE2091" s="1"/>
      <c r="AF2091" s="1"/>
      <c r="AG2091" s="1"/>
      <c r="AH2091" s="1"/>
    </row>
    <row r="2092" spans="1:34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  <c r="AB2092" s="1"/>
      <c r="AC2092" s="1"/>
      <c r="AD2092" s="1"/>
      <c r="AE2092" s="1"/>
      <c r="AF2092" s="1"/>
      <c r="AG2092" s="1"/>
      <c r="AH2092" s="1"/>
    </row>
    <row r="2093" spans="1:34">
      <c r="A2093" s="1"/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  <c r="AB2093" s="1"/>
      <c r="AC2093" s="1"/>
      <c r="AD2093" s="1"/>
      <c r="AE2093" s="1"/>
      <c r="AF2093" s="1"/>
      <c r="AG2093" s="1"/>
      <c r="AH2093" s="1"/>
    </row>
    <row r="2094" spans="1:34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  <c r="AB2094" s="1"/>
      <c r="AC2094" s="1"/>
      <c r="AD2094" s="1"/>
      <c r="AE2094" s="1"/>
      <c r="AF2094" s="1"/>
      <c r="AG2094" s="1"/>
      <c r="AH2094" s="1"/>
    </row>
    <row r="2095" spans="1:34">
      <c r="A2095" s="1"/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  <c r="AB2095" s="1"/>
      <c r="AC2095" s="1"/>
      <c r="AD2095" s="1"/>
      <c r="AE2095" s="1"/>
      <c r="AF2095" s="1"/>
      <c r="AG2095" s="1"/>
      <c r="AH2095" s="1"/>
    </row>
    <row r="2096" spans="1:34">
      <c r="A2096" s="1"/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  <c r="AB2096" s="1"/>
      <c r="AC2096" s="1"/>
      <c r="AD2096" s="1"/>
      <c r="AE2096" s="1"/>
      <c r="AF2096" s="1"/>
      <c r="AG2096" s="1"/>
      <c r="AH2096" s="1"/>
    </row>
    <row r="2097" spans="1:34">
      <c r="A2097" s="1"/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  <c r="AB2097" s="1"/>
      <c r="AC2097" s="1"/>
      <c r="AD2097" s="1"/>
      <c r="AE2097" s="1"/>
      <c r="AF2097" s="1"/>
      <c r="AG2097" s="1"/>
      <c r="AH2097" s="1"/>
    </row>
    <row r="2098" spans="1:34">
      <c r="A2098" s="1"/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  <c r="AB2098" s="1"/>
      <c r="AC2098" s="1"/>
      <c r="AD2098" s="1"/>
      <c r="AE2098" s="1"/>
      <c r="AF2098" s="1"/>
      <c r="AG2098" s="1"/>
      <c r="AH2098" s="1"/>
    </row>
    <row r="2099" spans="1:34">
      <c r="A2099" s="1"/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  <c r="AB2099" s="1"/>
      <c r="AC2099" s="1"/>
      <c r="AD2099" s="1"/>
      <c r="AE2099" s="1"/>
      <c r="AF2099" s="1"/>
      <c r="AG2099" s="1"/>
      <c r="AH2099" s="1"/>
    </row>
    <row r="2100" spans="1:34">
      <c r="A2100" s="1"/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  <c r="AB2100" s="1"/>
      <c r="AC2100" s="1"/>
      <c r="AD2100" s="1"/>
      <c r="AE2100" s="1"/>
      <c r="AF2100" s="1"/>
      <c r="AG2100" s="1"/>
      <c r="AH2100" s="1"/>
    </row>
    <row r="2101" spans="1:34">
      <c r="A2101" s="1"/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  <c r="AB2101" s="1"/>
      <c r="AC2101" s="1"/>
      <c r="AD2101" s="1"/>
      <c r="AE2101" s="1"/>
      <c r="AF2101" s="1"/>
      <c r="AG2101" s="1"/>
      <c r="AH2101" s="1"/>
    </row>
    <row r="2102" spans="1:34">
      <c r="A2102" s="1"/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  <c r="AB2102" s="1"/>
      <c r="AC2102" s="1"/>
      <c r="AD2102" s="1"/>
      <c r="AE2102" s="1"/>
      <c r="AF2102" s="1"/>
      <c r="AG2102" s="1"/>
      <c r="AH2102" s="1"/>
    </row>
    <row r="2103" spans="1:34">
      <c r="A2103" s="1"/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  <c r="AB2103" s="1"/>
      <c r="AC2103" s="1"/>
      <c r="AD2103" s="1"/>
      <c r="AE2103" s="1"/>
      <c r="AF2103" s="1"/>
      <c r="AG2103" s="1"/>
      <c r="AH2103" s="1"/>
    </row>
    <row r="2104" spans="1:34">
      <c r="A2104" s="1"/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  <c r="AB2104" s="1"/>
      <c r="AC2104" s="1"/>
      <c r="AD2104" s="1"/>
      <c r="AE2104" s="1"/>
      <c r="AF2104" s="1"/>
      <c r="AG2104" s="1"/>
      <c r="AH2104" s="1"/>
    </row>
    <row r="2105" spans="1:34">
      <c r="A2105" s="1"/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  <c r="AB2105" s="1"/>
      <c r="AC2105" s="1"/>
      <c r="AD2105" s="1"/>
      <c r="AE2105" s="1"/>
      <c r="AF2105" s="1"/>
      <c r="AG2105" s="1"/>
      <c r="AH2105" s="1"/>
    </row>
    <row r="2106" spans="1:34">
      <c r="A2106" s="1"/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  <c r="AB2106" s="1"/>
      <c r="AC2106" s="1"/>
      <c r="AD2106" s="1"/>
      <c r="AE2106" s="1"/>
      <c r="AF2106" s="1"/>
      <c r="AG2106" s="1"/>
      <c r="AH2106" s="1"/>
    </row>
    <row r="2107" spans="1:34">
      <c r="A2107" s="1"/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  <c r="AB2107" s="1"/>
      <c r="AC2107" s="1"/>
      <c r="AD2107" s="1"/>
      <c r="AE2107" s="1"/>
      <c r="AF2107" s="1"/>
      <c r="AG2107" s="1"/>
      <c r="AH2107" s="1"/>
    </row>
    <row r="2108" spans="1:34">
      <c r="A2108" s="1"/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  <c r="AB2108" s="1"/>
      <c r="AC2108" s="1"/>
      <c r="AD2108" s="1"/>
      <c r="AE2108" s="1"/>
      <c r="AF2108" s="1"/>
      <c r="AG2108" s="1"/>
      <c r="AH2108" s="1"/>
    </row>
    <row r="2109" spans="1:34">
      <c r="A2109" s="1"/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  <c r="AB2109" s="1"/>
      <c r="AC2109" s="1"/>
      <c r="AD2109" s="1"/>
      <c r="AE2109" s="1"/>
      <c r="AF2109" s="1"/>
      <c r="AG2109" s="1"/>
      <c r="AH2109" s="1"/>
    </row>
    <row r="2110" spans="1:34">
      <c r="A2110" s="1"/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  <c r="AB2110" s="1"/>
      <c r="AC2110" s="1"/>
      <c r="AD2110" s="1"/>
      <c r="AE2110" s="1"/>
      <c r="AF2110" s="1"/>
      <c r="AG2110" s="1"/>
      <c r="AH2110" s="1"/>
    </row>
    <row r="2111" spans="1:34">
      <c r="A2111" s="1"/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  <c r="AB2111" s="1"/>
      <c r="AC2111" s="1"/>
      <c r="AD2111" s="1"/>
      <c r="AE2111" s="1"/>
      <c r="AF2111" s="1"/>
      <c r="AG2111" s="1"/>
      <c r="AH2111" s="1"/>
    </row>
    <row r="2112" spans="1:34">
      <c r="A2112" s="1"/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  <c r="AB2112" s="1"/>
      <c r="AC2112" s="1"/>
      <c r="AD2112" s="1"/>
      <c r="AE2112" s="1"/>
      <c r="AF2112" s="1"/>
      <c r="AG2112" s="1"/>
      <c r="AH2112" s="1"/>
    </row>
    <row r="2113" spans="1:34">
      <c r="A2113" s="1"/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  <c r="AB2113" s="1"/>
      <c r="AC2113" s="1"/>
      <c r="AD2113" s="1"/>
      <c r="AE2113" s="1"/>
      <c r="AF2113" s="1"/>
      <c r="AG2113" s="1"/>
      <c r="AH2113" s="1"/>
    </row>
    <row r="2114" spans="1:34">
      <c r="A2114" s="1"/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  <c r="AB2114" s="1"/>
      <c r="AC2114" s="1"/>
      <c r="AD2114" s="1"/>
      <c r="AE2114" s="1"/>
      <c r="AF2114" s="1"/>
      <c r="AG2114" s="1"/>
      <c r="AH2114" s="1"/>
    </row>
    <row r="2115" spans="1:34">
      <c r="A2115" s="1"/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  <c r="AB2115" s="1"/>
      <c r="AC2115" s="1"/>
      <c r="AD2115" s="1"/>
      <c r="AE2115" s="1"/>
      <c r="AF2115" s="1"/>
      <c r="AG2115" s="1"/>
      <c r="AH2115" s="1"/>
    </row>
    <row r="2116" spans="1:34">
      <c r="A2116" s="1"/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  <c r="AB2116" s="1"/>
      <c r="AC2116" s="1"/>
      <c r="AD2116" s="1"/>
      <c r="AE2116" s="1"/>
      <c r="AF2116" s="1"/>
      <c r="AG2116" s="1"/>
      <c r="AH2116" s="1"/>
    </row>
    <row r="2117" spans="1:34">
      <c r="A2117" s="1"/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  <c r="AB2117" s="1"/>
      <c r="AC2117" s="1"/>
      <c r="AD2117" s="1"/>
      <c r="AE2117" s="1"/>
      <c r="AF2117" s="1"/>
      <c r="AG2117" s="1"/>
      <c r="AH2117" s="1"/>
    </row>
    <row r="2118" spans="1:34">
      <c r="A2118" s="1"/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  <c r="AB2118" s="1"/>
      <c r="AC2118" s="1"/>
      <c r="AD2118" s="1"/>
      <c r="AE2118" s="1"/>
      <c r="AF2118" s="1"/>
      <c r="AG2118" s="1"/>
      <c r="AH2118" s="1"/>
    </row>
    <row r="2119" spans="1:34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  <c r="AB2119" s="1"/>
      <c r="AC2119" s="1"/>
      <c r="AD2119" s="1"/>
      <c r="AE2119" s="1"/>
      <c r="AF2119" s="1"/>
      <c r="AG2119" s="1"/>
      <c r="AH2119" s="1"/>
    </row>
    <row r="2120" spans="1:34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  <c r="AB2120" s="1"/>
      <c r="AC2120" s="1"/>
      <c r="AD2120" s="1"/>
      <c r="AE2120" s="1"/>
      <c r="AF2120" s="1"/>
      <c r="AG2120" s="1"/>
      <c r="AH2120" s="1"/>
    </row>
    <row r="2121" spans="1:34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  <c r="AB2121" s="1"/>
      <c r="AC2121" s="1"/>
      <c r="AD2121" s="1"/>
      <c r="AE2121" s="1"/>
      <c r="AF2121" s="1"/>
      <c r="AG2121" s="1"/>
      <c r="AH2121" s="1"/>
    </row>
    <row r="2122" spans="1:34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  <c r="AB2122" s="1"/>
      <c r="AC2122" s="1"/>
      <c r="AD2122" s="1"/>
      <c r="AE2122" s="1"/>
      <c r="AF2122" s="1"/>
      <c r="AG2122" s="1"/>
      <c r="AH2122" s="1"/>
    </row>
    <row r="2123" spans="1:34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  <c r="AB2123" s="1"/>
      <c r="AC2123" s="1"/>
      <c r="AD2123" s="1"/>
      <c r="AE2123" s="1"/>
      <c r="AF2123" s="1"/>
      <c r="AG2123" s="1"/>
      <c r="AH2123" s="1"/>
    </row>
    <row r="2124" spans="1:34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  <c r="AB2124" s="1"/>
      <c r="AC2124" s="1"/>
      <c r="AD2124" s="1"/>
      <c r="AE2124" s="1"/>
      <c r="AF2124" s="1"/>
      <c r="AG2124" s="1"/>
      <c r="AH2124" s="1"/>
    </row>
    <row r="2125" spans="1:34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  <c r="AB2125" s="1"/>
      <c r="AC2125" s="1"/>
      <c r="AD2125" s="1"/>
      <c r="AE2125" s="1"/>
      <c r="AF2125" s="1"/>
      <c r="AG2125" s="1"/>
      <c r="AH2125" s="1"/>
    </row>
    <row r="2126" spans="1:34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  <c r="AB2126" s="1"/>
      <c r="AC2126" s="1"/>
      <c r="AD2126" s="1"/>
      <c r="AE2126" s="1"/>
      <c r="AF2126" s="1"/>
      <c r="AG2126" s="1"/>
      <c r="AH2126" s="1"/>
    </row>
    <row r="2127" spans="1:34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  <c r="AB2127" s="1"/>
      <c r="AC2127" s="1"/>
      <c r="AD2127" s="1"/>
      <c r="AE2127" s="1"/>
      <c r="AF2127" s="1"/>
      <c r="AG2127" s="1"/>
      <c r="AH2127" s="1"/>
    </row>
    <row r="2128" spans="1:34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  <c r="AB2128" s="1"/>
      <c r="AC2128" s="1"/>
      <c r="AD2128" s="1"/>
      <c r="AE2128" s="1"/>
      <c r="AF2128" s="1"/>
      <c r="AG2128" s="1"/>
      <c r="AH2128" s="1"/>
    </row>
    <row r="2129" spans="1:34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  <c r="AB2129" s="1"/>
      <c r="AC2129" s="1"/>
      <c r="AD2129" s="1"/>
      <c r="AE2129" s="1"/>
      <c r="AF2129" s="1"/>
      <c r="AG2129" s="1"/>
      <c r="AH2129" s="1"/>
    </row>
    <row r="2130" spans="1:34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  <c r="AB2130" s="1"/>
      <c r="AC2130" s="1"/>
      <c r="AD2130" s="1"/>
      <c r="AE2130" s="1"/>
      <c r="AF2130" s="1"/>
      <c r="AG2130" s="1"/>
      <c r="AH2130" s="1"/>
    </row>
    <row r="2131" spans="1:34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  <c r="AB2131" s="1"/>
      <c r="AC2131" s="1"/>
      <c r="AD2131" s="1"/>
      <c r="AE2131" s="1"/>
      <c r="AF2131" s="1"/>
      <c r="AG2131" s="1"/>
      <c r="AH2131" s="1"/>
    </row>
    <row r="2132" spans="1:34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  <c r="AB2132" s="1"/>
      <c r="AC2132" s="1"/>
      <c r="AD2132" s="1"/>
      <c r="AE2132" s="1"/>
      <c r="AF2132" s="1"/>
      <c r="AG2132" s="1"/>
      <c r="AH2132" s="1"/>
    </row>
    <row r="2133" spans="1:34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  <c r="AB2133" s="1"/>
      <c r="AC2133" s="1"/>
      <c r="AD2133" s="1"/>
      <c r="AE2133" s="1"/>
      <c r="AF2133" s="1"/>
      <c r="AG2133" s="1"/>
      <c r="AH2133" s="1"/>
    </row>
    <row r="2134" spans="1:34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  <c r="AB2134" s="1"/>
      <c r="AC2134" s="1"/>
      <c r="AD2134" s="1"/>
      <c r="AE2134" s="1"/>
      <c r="AF2134" s="1"/>
      <c r="AG2134" s="1"/>
      <c r="AH2134" s="1"/>
    </row>
    <row r="2135" spans="1:34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  <c r="AB2135" s="1"/>
      <c r="AC2135" s="1"/>
      <c r="AD2135" s="1"/>
      <c r="AE2135" s="1"/>
      <c r="AF2135" s="1"/>
      <c r="AG2135" s="1"/>
      <c r="AH2135" s="1"/>
    </row>
    <row r="2136" spans="1:34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  <c r="AB2136" s="1"/>
      <c r="AC2136" s="1"/>
      <c r="AD2136" s="1"/>
      <c r="AE2136" s="1"/>
      <c r="AF2136" s="1"/>
      <c r="AG2136" s="1"/>
      <c r="AH2136" s="1"/>
    </row>
    <row r="2137" spans="1:34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  <c r="AB2137" s="1"/>
      <c r="AC2137" s="1"/>
      <c r="AD2137" s="1"/>
      <c r="AE2137" s="1"/>
      <c r="AF2137" s="1"/>
      <c r="AG2137" s="1"/>
      <c r="AH2137" s="1"/>
    </row>
    <row r="2138" spans="1:34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  <c r="AB2138" s="1"/>
      <c r="AC2138" s="1"/>
      <c r="AD2138" s="1"/>
      <c r="AE2138" s="1"/>
      <c r="AF2138" s="1"/>
      <c r="AG2138" s="1"/>
      <c r="AH2138" s="1"/>
    </row>
    <row r="2139" spans="1:34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  <c r="AB2139" s="1"/>
      <c r="AC2139" s="1"/>
      <c r="AD2139" s="1"/>
      <c r="AE2139" s="1"/>
      <c r="AF2139" s="1"/>
      <c r="AG2139" s="1"/>
      <c r="AH2139" s="1"/>
    </row>
    <row r="2140" spans="1:34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  <c r="AB2140" s="1"/>
      <c r="AC2140" s="1"/>
      <c r="AD2140" s="1"/>
      <c r="AE2140" s="1"/>
      <c r="AF2140" s="1"/>
      <c r="AG2140" s="1"/>
      <c r="AH2140" s="1"/>
    </row>
    <row r="2141" spans="1:34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  <c r="AB2141" s="1"/>
      <c r="AC2141" s="1"/>
      <c r="AD2141" s="1"/>
      <c r="AE2141" s="1"/>
      <c r="AF2141" s="1"/>
      <c r="AG2141" s="1"/>
      <c r="AH2141" s="1"/>
    </row>
    <row r="2142" spans="1:34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  <c r="AB2142" s="1"/>
      <c r="AC2142" s="1"/>
      <c r="AD2142" s="1"/>
      <c r="AE2142" s="1"/>
      <c r="AF2142" s="1"/>
      <c r="AG2142" s="1"/>
      <c r="AH2142" s="1"/>
    </row>
    <row r="2143" spans="1:34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  <c r="AB2143" s="1"/>
      <c r="AC2143" s="1"/>
      <c r="AD2143" s="1"/>
      <c r="AE2143" s="1"/>
      <c r="AF2143" s="1"/>
      <c r="AG2143" s="1"/>
      <c r="AH2143" s="1"/>
    </row>
    <row r="2144" spans="1:34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  <c r="AB2144" s="1"/>
      <c r="AC2144" s="1"/>
      <c r="AD2144" s="1"/>
      <c r="AE2144" s="1"/>
      <c r="AF2144" s="1"/>
      <c r="AG2144" s="1"/>
      <c r="AH2144" s="1"/>
    </row>
    <row r="2145" spans="1:34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  <c r="AB2145" s="1"/>
      <c r="AC2145" s="1"/>
      <c r="AD2145" s="1"/>
      <c r="AE2145" s="1"/>
      <c r="AF2145" s="1"/>
      <c r="AG2145" s="1"/>
      <c r="AH2145" s="1"/>
    </row>
    <row r="2146" spans="1:34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  <c r="AB2146" s="1"/>
      <c r="AC2146" s="1"/>
      <c r="AD2146" s="1"/>
      <c r="AE2146" s="1"/>
      <c r="AF2146" s="1"/>
      <c r="AG2146" s="1"/>
      <c r="AH2146" s="1"/>
    </row>
    <row r="2147" spans="1:34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  <c r="AB2147" s="1"/>
      <c r="AC2147" s="1"/>
      <c r="AD2147" s="1"/>
      <c r="AE2147" s="1"/>
      <c r="AF2147" s="1"/>
      <c r="AG2147" s="1"/>
      <c r="AH2147" s="1"/>
    </row>
    <row r="2148" spans="1:34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  <c r="AB2148" s="1"/>
      <c r="AC2148" s="1"/>
      <c r="AD2148" s="1"/>
      <c r="AE2148" s="1"/>
      <c r="AF2148" s="1"/>
      <c r="AG2148" s="1"/>
      <c r="AH2148" s="1"/>
    </row>
    <row r="2149" spans="1:34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  <c r="AB2149" s="1"/>
      <c r="AC2149" s="1"/>
      <c r="AD2149" s="1"/>
      <c r="AE2149" s="1"/>
      <c r="AF2149" s="1"/>
      <c r="AG2149" s="1"/>
      <c r="AH2149" s="1"/>
    </row>
    <row r="2150" spans="1:34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  <c r="AB2150" s="1"/>
      <c r="AC2150" s="1"/>
      <c r="AD2150" s="1"/>
      <c r="AE2150" s="1"/>
      <c r="AF2150" s="1"/>
      <c r="AG2150" s="1"/>
      <c r="AH2150" s="1"/>
    </row>
    <row r="2151" spans="1:34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  <c r="AB2151" s="1"/>
      <c r="AC2151" s="1"/>
      <c r="AD2151" s="1"/>
      <c r="AE2151" s="1"/>
      <c r="AF2151" s="1"/>
      <c r="AG2151" s="1"/>
      <c r="AH2151" s="1"/>
    </row>
    <row r="2152" spans="1:34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  <c r="AB2152" s="1"/>
      <c r="AC2152" s="1"/>
      <c r="AD2152" s="1"/>
      <c r="AE2152" s="1"/>
      <c r="AF2152" s="1"/>
      <c r="AG2152" s="1"/>
      <c r="AH2152" s="1"/>
    </row>
    <row r="2153" spans="1:34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  <c r="AB2153" s="1"/>
      <c r="AC2153" s="1"/>
      <c r="AD2153" s="1"/>
      <c r="AE2153" s="1"/>
      <c r="AF2153" s="1"/>
      <c r="AG2153" s="1"/>
      <c r="AH2153" s="1"/>
    </row>
    <row r="2154" spans="1:34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  <c r="AB2154" s="1"/>
      <c r="AC2154" s="1"/>
      <c r="AD2154" s="1"/>
      <c r="AE2154" s="1"/>
      <c r="AF2154" s="1"/>
      <c r="AG2154" s="1"/>
      <c r="AH2154" s="1"/>
    </row>
    <row r="2155" spans="1:34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  <c r="AB2155" s="1"/>
      <c r="AC2155" s="1"/>
      <c r="AD2155" s="1"/>
      <c r="AE2155" s="1"/>
      <c r="AF2155" s="1"/>
      <c r="AG2155" s="1"/>
      <c r="AH2155" s="1"/>
    </row>
    <row r="2156" spans="1:34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  <c r="AB2156" s="1"/>
      <c r="AC2156" s="1"/>
      <c r="AD2156" s="1"/>
      <c r="AE2156" s="1"/>
      <c r="AF2156" s="1"/>
      <c r="AG2156" s="1"/>
      <c r="AH2156" s="1"/>
    </row>
    <row r="2157" spans="1:34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  <c r="AB2157" s="1"/>
      <c r="AC2157" s="1"/>
      <c r="AD2157" s="1"/>
      <c r="AE2157" s="1"/>
      <c r="AF2157" s="1"/>
      <c r="AG2157" s="1"/>
      <c r="AH2157" s="1"/>
    </row>
    <row r="2158" spans="1:34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  <c r="AB2158" s="1"/>
      <c r="AC2158" s="1"/>
      <c r="AD2158" s="1"/>
      <c r="AE2158" s="1"/>
      <c r="AF2158" s="1"/>
      <c r="AG2158" s="1"/>
      <c r="AH2158" s="1"/>
    </row>
    <row r="2159" spans="1:34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  <c r="AB2159" s="1"/>
      <c r="AC2159" s="1"/>
      <c r="AD2159" s="1"/>
      <c r="AE2159" s="1"/>
      <c r="AF2159" s="1"/>
      <c r="AG2159" s="1"/>
      <c r="AH2159" s="1"/>
    </row>
    <row r="2160" spans="1:34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  <c r="AB2160" s="1"/>
      <c r="AC2160" s="1"/>
      <c r="AD2160" s="1"/>
      <c r="AE2160" s="1"/>
      <c r="AF2160" s="1"/>
      <c r="AG2160" s="1"/>
      <c r="AH2160" s="1"/>
    </row>
    <row r="2161" spans="1:34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  <c r="AB2161" s="1"/>
      <c r="AC2161" s="1"/>
      <c r="AD2161" s="1"/>
      <c r="AE2161" s="1"/>
      <c r="AF2161" s="1"/>
      <c r="AG2161" s="1"/>
      <c r="AH2161" s="1"/>
    </row>
    <row r="2162" spans="1:34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  <c r="AB2162" s="1"/>
      <c r="AC2162" s="1"/>
      <c r="AD2162" s="1"/>
      <c r="AE2162" s="1"/>
      <c r="AF2162" s="1"/>
      <c r="AG2162" s="1"/>
      <c r="AH2162" s="1"/>
    </row>
    <row r="2163" spans="1:34">
      <c r="A2163" s="1"/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  <c r="AB2163" s="1"/>
      <c r="AC2163" s="1"/>
      <c r="AD2163" s="1"/>
      <c r="AE2163" s="1"/>
      <c r="AF2163" s="1"/>
      <c r="AG2163" s="1"/>
      <c r="AH2163" s="1"/>
    </row>
    <row r="2164" spans="1:34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  <c r="AB2164" s="1"/>
      <c r="AC2164" s="1"/>
      <c r="AD2164" s="1"/>
      <c r="AE2164" s="1"/>
      <c r="AF2164" s="1"/>
      <c r="AG2164" s="1"/>
      <c r="AH2164" s="1"/>
    </row>
    <row r="2165" spans="1:34">
      <c r="A2165" s="1"/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  <c r="AB2165" s="1"/>
      <c r="AC2165" s="1"/>
      <c r="AD2165" s="1"/>
      <c r="AE2165" s="1"/>
      <c r="AF2165" s="1"/>
      <c r="AG2165" s="1"/>
      <c r="AH2165" s="1"/>
    </row>
    <row r="2166" spans="1:34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  <c r="AB2166" s="1"/>
      <c r="AC2166" s="1"/>
      <c r="AD2166" s="1"/>
      <c r="AE2166" s="1"/>
      <c r="AF2166" s="1"/>
      <c r="AG2166" s="1"/>
      <c r="AH2166" s="1"/>
    </row>
    <row r="2167" spans="1:34">
      <c r="A2167" s="1"/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  <c r="AB2167" s="1"/>
      <c r="AC2167" s="1"/>
      <c r="AD2167" s="1"/>
      <c r="AE2167" s="1"/>
      <c r="AF2167" s="1"/>
      <c r="AG2167" s="1"/>
      <c r="AH2167" s="1"/>
    </row>
    <row r="2168" spans="1:34">
      <c r="A2168" s="1"/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  <c r="AB2168" s="1"/>
      <c r="AC2168" s="1"/>
      <c r="AD2168" s="1"/>
      <c r="AE2168" s="1"/>
      <c r="AF2168" s="1"/>
      <c r="AG2168" s="1"/>
      <c r="AH2168" s="1"/>
    </row>
    <row r="2169" spans="1:34">
      <c r="A2169" s="1"/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  <c r="AB2169" s="1"/>
      <c r="AC2169" s="1"/>
      <c r="AD2169" s="1"/>
      <c r="AE2169" s="1"/>
      <c r="AF2169" s="1"/>
      <c r="AG2169" s="1"/>
      <c r="AH2169" s="1"/>
    </row>
    <row r="2170" spans="1:34">
      <c r="A2170" s="1"/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  <c r="AB2170" s="1"/>
      <c r="AC2170" s="1"/>
      <c r="AD2170" s="1"/>
      <c r="AE2170" s="1"/>
      <c r="AF2170" s="1"/>
      <c r="AG2170" s="1"/>
      <c r="AH2170" s="1"/>
    </row>
    <row r="2171" spans="1:34">
      <c r="A2171" s="1"/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  <c r="AB2171" s="1"/>
      <c r="AC2171" s="1"/>
      <c r="AD2171" s="1"/>
      <c r="AE2171" s="1"/>
      <c r="AF2171" s="1"/>
      <c r="AG2171" s="1"/>
      <c r="AH2171" s="1"/>
    </row>
    <row r="2172" spans="1:34">
      <c r="A2172" s="1"/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  <c r="AB2172" s="1"/>
      <c r="AC2172" s="1"/>
      <c r="AD2172" s="1"/>
      <c r="AE2172" s="1"/>
      <c r="AF2172" s="1"/>
      <c r="AG2172" s="1"/>
      <c r="AH2172" s="1"/>
    </row>
    <row r="2173" spans="1:34">
      <c r="A2173" s="1"/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  <c r="AB2173" s="1"/>
      <c r="AC2173" s="1"/>
      <c r="AD2173" s="1"/>
      <c r="AE2173" s="1"/>
      <c r="AF2173" s="1"/>
      <c r="AG2173" s="1"/>
      <c r="AH2173" s="1"/>
    </row>
    <row r="2174" spans="1:34">
      <c r="A2174" s="1"/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  <c r="AB2174" s="1"/>
      <c r="AC2174" s="1"/>
      <c r="AD2174" s="1"/>
      <c r="AE2174" s="1"/>
      <c r="AF2174" s="1"/>
      <c r="AG2174" s="1"/>
      <c r="AH2174" s="1"/>
    </row>
    <row r="2175" spans="1:34">
      <c r="A2175" s="1"/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  <c r="AB2175" s="1"/>
      <c r="AC2175" s="1"/>
      <c r="AD2175" s="1"/>
      <c r="AE2175" s="1"/>
      <c r="AF2175" s="1"/>
      <c r="AG2175" s="1"/>
      <c r="AH2175" s="1"/>
    </row>
    <row r="2176" spans="1:34">
      <c r="A2176" s="1"/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  <c r="AB2176" s="1"/>
      <c r="AC2176" s="1"/>
      <c r="AD2176" s="1"/>
      <c r="AE2176" s="1"/>
      <c r="AF2176" s="1"/>
      <c r="AG2176" s="1"/>
      <c r="AH2176" s="1"/>
    </row>
    <row r="2177" spans="1:34">
      <c r="A2177" s="1"/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  <c r="AB2177" s="1"/>
      <c r="AC2177" s="1"/>
      <c r="AD2177" s="1"/>
      <c r="AE2177" s="1"/>
      <c r="AF2177" s="1"/>
      <c r="AG2177" s="1"/>
      <c r="AH2177" s="1"/>
    </row>
    <row r="2178" spans="1:34">
      <c r="A2178" s="1"/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  <c r="AB2178" s="1"/>
      <c r="AC2178" s="1"/>
      <c r="AD2178" s="1"/>
      <c r="AE2178" s="1"/>
      <c r="AF2178" s="1"/>
      <c r="AG2178" s="1"/>
      <c r="AH2178" s="1"/>
    </row>
    <row r="2179" spans="1:34">
      <c r="A2179" s="1"/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  <c r="AB2179" s="1"/>
      <c r="AC2179" s="1"/>
      <c r="AD2179" s="1"/>
      <c r="AE2179" s="1"/>
      <c r="AF2179" s="1"/>
      <c r="AG2179" s="1"/>
      <c r="AH2179" s="1"/>
    </row>
    <row r="2180" spans="1:34">
      <c r="A2180" s="1"/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  <c r="AB2180" s="1"/>
      <c r="AC2180" s="1"/>
      <c r="AD2180" s="1"/>
      <c r="AE2180" s="1"/>
      <c r="AF2180" s="1"/>
      <c r="AG2180" s="1"/>
      <c r="AH2180" s="1"/>
    </row>
    <row r="2181" spans="1:34">
      <c r="A2181" s="1"/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  <c r="AB2181" s="1"/>
      <c r="AC2181" s="1"/>
      <c r="AD2181" s="1"/>
      <c r="AE2181" s="1"/>
      <c r="AF2181" s="1"/>
      <c r="AG2181" s="1"/>
      <c r="AH2181" s="1"/>
    </row>
    <row r="2182" spans="1:34">
      <c r="A2182" s="1"/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  <c r="AB2182" s="1"/>
      <c r="AC2182" s="1"/>
      <c r="AD2182" s="1"/>
      <c r="AE2182" s="1"/>
      <c r="AF2182" s="1"/>
      <c r="AG2182" s="1"/>
      <c r="AH2182" s="1"/>
    </row>
    <row r="2183" spans="1:34">
      <c r="A2183" s="1"/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  <c r="AB2183" s="1"/>
      <c r="AC2183" s="1"/>
      <c r="AD2183" s="1"/>
      <c r="AE2183" s="1"/>
      <c r="AF2183" s="1"/>
      <c r="AG2183" s="1"/>
      <c r="AH2183" s="1"/>
    </row>
    <row r="2184" spans="1:34">
      <c r="A2184" s="1"/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  <c r="AB2184" s="1"/>
      <c r="AC2184" s="1"/>
      <c r="AD2184" s="1"/>
      <c r="AE2184" s="1"/>
      <c r="AF2184" s="1"/>
      <c r="AG2184" s="1"/>
      <c r="AH2184" s="1"/>
    </row>
    <row r="2185" spans="1:34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  <c r="AB2185" s="1"/>
      <c r="AC2185" s="1"/>
      <c r="AD2185" s="1"/>
      <c r="AE2185" s="1"/>
      <c r="AF2185" s="1"/>
      <c r="AG2185" s="1"/>
      <c r="AH2185" s="1"/>
    </row>
    <row r="2186" spans="1:34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  <c r="AB2186" s="1"/>
      <c r="AC2186" s="1"/>
      <c r="AD2186" s="1"/>
      <c r="AE2186" s="1"/>
      <c r="AF2186" s="1"/>
      <c r="AG2186" s="1"/>
      <c r="AH2186" s="1"/>
    </row>
    <row r="2187" spans="1:34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  <c r="AB2187" s="1"/>
      <c r="AC2187" s="1"/>
      <c r="AD2187" s="1"/>
      <c r="AE2187" s="1"/>
      <c r="AF2187" s="1"/>
      <c r="AG2187" s="1"/>
      <c r="AH2187" s="1"/>
    </row>
    <row r="2188" spans="1:34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  <c r="AB2188" s="1"/>
      <c r="AC2188" s="1"/>
      <c r="AD2188" s="1"/>
      <c r="AE2188" s="1"/>
      <c r="AF2188" s="1"/>
      <c r="AG2188" s="1"/>
      <c r="AH2188" s="1"/>
    </row>
    <row r="2189" spans="1:34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  <c r="AB2189" s="1"/>
      <c r="AC2189" s="1"/>
      <c r="AD2189" s="1"/>
      <c r="AE2189" s="1"/>
      <c r="AF2189" s="1"/>
      <c r="AG2189" s="1"/>
      <c r="AH2189" s="1"/>
    </row>
    <row r="2190" spans="1:34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  <c r="AB2190" s="1"/>
      <c r="AC2190" s="1"/>
      <c r="AD2190" s="1"/>
      <c r="AE2190" s="1"/>
      <c r="AF2190" s="1"/>
      <c r="AG2190" s="1"/>
      <c r="AH2190" s="1"/>
    </row>
    <row r="2191" spans="1:34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  <c r="AB2191" s="1"/>
      <c r="AC2191" s="1"/>
      <c r="AD2191" s="1"/>
      <c r="AE2191" s="1"/>
      <c r="AF2191" s="1"/>
      <c r="AG2191" s="1"/>
      <c r="AH2191" s="1"/>
    </row>
    <row r="2192" spans="1:34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  <c r="AB2192" s="1"/>
      <c r="AC2192" s="1"/>
      <c r="AD2192" s="1"/>
      <c r="AE2192" s="1"/>
      <c r="AF2192" s="1"/>
      <c r="AG2192" s="1"/>
      <c r="AH2192" s="1"/>
    </row>
    <row r="2193" spans="1:34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  <c r="AB2193" s="1"/>
      <c r="AC2193" s="1"/>
      <c r="AD2193" s="1"/>
      <c r="AE2193" s="1"/>
      <c r="AF2193" s="1"/>
      <c r="AG2193" s="1"/>
      <c r="AH2193" s="1"/>
    </row>
    <row r="2194" spans="1:34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  <c r="AB2194" s="1"/>
      <c r="AC2194" s="1"/>
      <c r="AD2194" s="1"/>
      <c r="AE2194" s="1"/>
      <c r="AF2194" s="1"/>
      <c r="AG2194" s="1"/>
      <c r="AH2194" s="1"/>
    </row>
    <row r="2195" spans="1:34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  <c r="AB2195" s="1"/>
      <c r="AC2195" s="1"/>
      <c r="AD2195" s="1"/>
      <c r="AE2195" s="1"/>
      <c r="AF2195" s="1"/>
      <c r="AG2195" s="1"/>
      <c r="AH2195" s="1"/>
    </row>
    <row r="2196" spans="1:34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  <c r="AB2196" s="1"/>
      <c r="AC2196" s="1"/>
      <c r="AD2196" s="1"/>
      <c r="AE2196" s="1"/>
      <c r="AF2196" s="1"/>
      <c r="AG2196" s="1"/>
      <c r="AH2196" s="1"/>
    </row>
    <row r="2197" spans="1:34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  <c r="AB2197" s="1"/>
      <c r="AC2197" s="1"/>
      <c r="AD2197" s="1"/>
      <c r="AE2197" s="1"/>
      <c r="AF2197" s="1"/>
      <c r="AG2197" s="1"/>
      <c r="AH2197" s="1"/>
    </row>
    <row r="2198" spans="1:34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  <c r="AB2198" s="1"/>
      <c r="AC2198" s="1"/>
      <c r="AD2198" s="1"/>
      <c r="AE2198" s="1"/>
      <c r="AF2198" s="1"/>
      <c r="AG2198" s="1"/>
      <c r="AH2198" s="1"/>
    </row>
    <row r="2199" spans="1:34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  <c r="AB2199" s="1"/>
      <c r="AC2199" s="1"/>
      <c r="AD2199" s="1"/>
      <c r="AE2199" s="1"/>
      <c r="AF2199" s="1"/>
      <c r="AG2199" s="1"/>
      <c r="AH2199" s="1"/>
    </row>
    <row r="2200" spans="1:34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  <c r="AB2200" s="1"/>
      <c r="AC2200" s="1"/>
      <c r="AD2200" s="1"/>
      <c r="AE2200" s="1"/>
      <c r="AF2200" s="1"/>
      <c r="AG2200" s="1"/>
      <c r="AH2200" s="1"/>
    </row>
    <row r="2201" spans="1:34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  <c r="AB2201" s="1"/>
      <c r="AC2201" s="1"/>
      <c r="AD2201" s="1"/>
      <c r="AE2201" s="1"/>
      <c r="AF2201" s="1"/>
      <c r="AG2201" s="1"/>
      <c r="AH2201" s="1"/>
    </row>
    <row r="2202" spans="1:34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  <c r="AB2202" s="1"/>
      <c r="AC2202" s="1"/>
      <c r="AD2202" s="1"/>
      <c r="AE2202" s="1"/>
      <c r="AF2202" s="1"/>
      <c r="AG2202" s="1"/>
      <c r="AH2202" s="1"/>
    </row>
    <row r="2203" spans="1:34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  <c r="AB2203" s="1"/>
      <c r="AC2203" s="1"/>
      <c r="AD2203" s="1"/>
      <c r="AE2203" s="1"/>
      <c r="AF2203" s="1"/>
      <c r="AG2203" s="1"/>
      <c r="AH2203" s="1"/>
    </row>
    <row r="2204" spans="1:34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  <c r="AB2204" s="1"/>
      <c r="AC2204" s="1"/>
      <c r="AD2204" s="1"/>
      <c r="AE2204" s="1"/>
      <c r="AF2204" s="1"/>
      <c r="AG2204" s="1"/>
      <c r="AH2204" s="1"/>
    </row>
    <row r="2205" spans="1:34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  <c r="AB2205" s="1"/>
      <c r="AC2205" s="1"/>
      <c r="AD2205" s="1"/>
      <c r="AE2205" s="1"/>
      <c r="AF2205" s="1"/>
      <c r="AG2205" s="1"/>
      <c r="AH2205" s="1"/>
    </row>
    <row r="2206" spans="1:34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  <c r="AB2206" s="1"/>
      <c r="AC2206" s="1"/>
      <c r="AD2206" s="1"/>
      <c r="AE2206" s="1"/>
      <c r="AF2206" s="1"/>
      <c r="AG2206" s="1"/>
      <c r="AH2206" s="1"/>
    </row>
    <row r="2207" spans="1:34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  <c r="AB2207" s="1"/>
      <c r="AC2207" s="1"/>
      <c r="AD2207" s="1"/>
      <c r="AE2207" s="1"/>
      <c r="AF2207" s="1"/>
      <c r="AG2207" s="1"/>
      <c r="AH2207" s="1"/>
    </row>
    <row r="2208" spans="1:34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  <c r="AB2208" s="1"/>
      <c r="AC2208" s="1"/>
      <c r="AD2208" s="1"/>
      <c r="AE2208" s="1"/>
      <c r="AF2208" s="1"/>
      <c r="AG2208" s="1"/>
      <c r="AH2208" s="1"/>
    </row>
    <row r="2209" spans="1:34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  <c r="AB2209" s="1"/>
      <c r="AC2209" s="1"/>
      <c r="AD2209" s="1"/>
      <c r="AE2209" s="1"/>
      <c r="AF2209" s="1"/>
      <c r="AG2209" s="1"/>
      <c r="AH2209" s="1"/>
    </row>
    <row r="2210" spans="1:34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  <c r="AB2210" s="1"/>
      <c r="AC2210" s="1"/>
      <c r="AD2210" s="1"/>
      <c r="AE2210" s="1"/>
      <c r="AF2210" s="1"/>
      <c r="AG2210" s="1"/>
      <c r="AH2210" s="1"/>
    </row>
    <row r="2211" spans="1:34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  <c r="AB2211" s="1"/>
      <c r="AC2211" s="1"/>
      <c r="AD2211" s="1"/>
      <c r="AE2211" s="1"/>
      <c r="AF2211" s="1"/>
      <c r="AG2211" s="1"/>
      <c r="AH2211" s="1"/>
    </row>
    <row r="2212" spans="1:34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  <c r="AB2212" s="1"/>
      <c r="AC2212" s="1"/>
      <c r="AD2212" s="1"/>
      <c r="AE2212" s="1"/>
      <c r="AF2212" s="1"/>
      <c r="AG2212" s="1"/>
      <c r="AH2212" s="1"/>
    </row>
    <row r="2213" spans="1:34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  <c r="AB2213" s="1"/>
      <c r="AC2213" s="1"/>
      <c r="AD2213" s="1"/>
      <c r="AE2213" s="1"/>
      <c r="AF2213" s="1"/>
      <c r="AG2213" s="1"/>
      <c r="AH2213" s="1"/>
    </row>
    <row r="2214" spans="1:34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  <c r="AB2214" s="1"/>
      <c r="AC2214" s="1"/>
      <c r="AD2214" s="1"/>
      <c r="AE2214" s="1"/>
      <c r="AF2214" s="1"/>
      <c r="AG2214" s="1"/>
      <c r="AH2214" s="1"/>
    </row>
    <row r="2215" spans="1:34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  <c r="AB2215" s="1"/>
      <c r="AC2215" s="1"/>
      <c r="AD2215" s="1"/>
      <c r="AE2215" s="1"/>
      <c r="AF2215" s="1"/>
      <c r="AG2215" s="1"/>
      <c r="AH2215" s="1"/>
    </row>
    <row r="2216" spans="1:34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  <c r="AB2216" s="1"/>
      <c r="AC2216" s="1"/>
      <c r="AD2216" s="1"/>
      <c r="AE2216" s="1"/>
      <c r="AF2216" s="1"/>
      <c r="AG2216" s="1"/>
      <c r="AH2216" s="1"/>
    </row>
    <row r="2217" spans="1:34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  <c r="AB2217" s="1"/>
      <c r="AC2217" s="1"/>
      <c r="AD2217" s="1"/>
      <c r="AE2217" s="1"/>
      <c r="AF2217" s="1"/>
      <c r="AG2217" s="1"/>
      <c r="AH2217" s="1"/>
    </row>
    <row r="2218" spans="1:34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  <c r="AB2218" s="1"/>
      <c r="AC2218" s="1"/>
      <c r="AD2218" s="1"/>
      <c r="AE2218" s="1"/>
      <c r="AF2218" s="1"/>
      <c r="AG2218" s="1"/>
      <c r="AH2218" s="1"/>
    </row>
    <row r="2219" spans="1:34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  <c r="AB2219" s="1"/>
      <c r="AC2219" s="1"/>
      <c r="AD2219" s="1"/>
      <c r="AE2219" s="1"/>
      <c r="AF2219" s="1"/>
      <c r="AG2219" s="1"/>
      <c r="AH2219" s="1"/>
    </row>
    <row r="2220" spans="1:34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  <c r="AB2220" s="1"/>
      <c r="AC2220" s="1"/>
      <c r="AD2220" s="1"/>
      <c r="AE2220" s="1"/>
      <c r="AF2220" s="1"/>
      <c r="AG2220" s="1"/>
      <c r="AH2220" s="1"/>
    </row>
    <row r="2221" spans="1:34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  <c r="AB2221" s="1"/>
      <c r="AC2221" s="1"/>
      <c r="AD2221" s="1"/>
      <c r="AE2221" s="1"/>
      <c r="AF2221" s="1"/>
      <c r="AG2221" s="1"/>
      <c r="AH2221" s="1"/>
    </row>
    <row r="2222" spans="1:34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  <c r="AB2222" s="1"/>
      <c r="AC2222" s="1"/>
      <c r="AD2222" s="1"/>
      <c r="AE2222" s="1"/>
      <c r="AF2222" s="1"/>
      <c r="AG2222" s="1"/>
      <c r="AH2222" s="1"/>
    </row>
    <row r="2223" spans="1:34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  <c r="AB2223" s="1"/>
      <c r="AC2223" s="1"/>
      <c r="AD2223" s="1"/>
      <c r="AE2223" s="1"/>
      <c r="AF2223" s="1"/>
      <c r="AG2223" s="1"/>
      <c r="AH2223" s="1"/>
    </row>
    <row r="2224" spans="1:34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  <c r="AB2224" s="1"/>
      <c r="AC2224" s="1"/>
      <c r="AD2224" s="1"/>
      <c r="AE2224" s="1"/>
      <c r="AF2224" s="1"/>
      <c r="AG2224" s="1"/>
      <c r="AH2224" s="1"/>
    </row>
    <row r="2225" spans="1:34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  <c r="AB2225" s="1"/>
      <c r="AC2225" s="1"/>
      <c r="AD2225" s="1"/>
      <c r="AE2225" s="1"/>
      <c r="AF2225" s="1"/>
      <c r="AG2225" s="1"/>
      <c r="AH2225" s="1"/>
    </row>
    <row r="2226" spans="1:34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  <c r="AB2226" s="1"/>
      <c r="AC2226" s="1"/>
      <c r="AD2226" s="1"/>
      <c r="AE2226" s="1"/>
      <c r="AF2226" s="1"/>
      <c r="AG2226" s="1"/>
      <c r="AH2226" s="1"/>
    </row>
    <row r="2227" spans="1:34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  <c r="AB2227" s="1"/>
      <c r="AC2227" s="1"/>
      <c r="AD2227" s="1"/>
      <c r="AE2227" s="1"/>
      <c r="AF2227" s="1"/>
      <c r="AG2227" s="1"/>
      <c r="AH2227" s="1"/>
    </row>
    <row r="2228" spans="1:34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  <c r="AB2228" s="1"/>
      <c r="AC2228" s="1"/>
      <c r="AD2228" s="1"/>
      <c r="AE2228" s="1"/>
      <c r="AF2228" s="1"/>
      <c r="AG2228" s="1"/>
      <c r="AH2228" s="1"/>
    </row>
    <row r="2229" spans="1:34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  <c r="AB2229" s="1"/>
      <c r="AC2229" s="1"/>
      <c r="AD2229" s="1"/>
      <c r="AE2229" s="1"/>
      <c r="AF2229" s="1"/>
      <c r="AG2229" s="1"/>
      <c r="AH2229" s="1"/>
    </row>
    <row r="2230" spans="1:34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  <c r="AB2230" s="1"/>
      <c r="AC2230" s="1"/>
      <c r="AD2230" s="1"/>
      <c r="AE2230" s="1"/>
      <c r="AF2230" s="1"/>
      <c r="AG2230" s="1"/>
      <c r="AH2230" s="1"/>
    </row>
    <row r="2231" spans="1:34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  <c r="AB2231" s="1"/>
      <c r="AC2231" s="1"/>
      <c r="AD2231" s="1"/>
      <c r="AE2231" s="1"/>
      <c r="AF2231" s="1"/>
      <c r="AG2231" s="1"/>
      <c r="AH2231" s="1"/>
    </row>
    <row r="2232" spans="1:34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  <c r="AB2232" s="1"/>
      <c r="AC2232" s="1"/>
      <c r="AD2232" s="1"/>
      <c r="AE2232" s="1"/>
      <c r="AF2232" s="1"/>
      <c r="AG2232" s="1"/>
      <c r="AH2232" s="1"/>
    </row>
    <row r="2233" spans="1:34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  <c r="AB2233" s="1"/>
      <c r="AC2233" s="1"/>
      <c r="AD2233" s="1"/>
      <c r="AE2233" s="1"/>
      <c r="AF2233" s="1"/>
      <c r="AG2233" s="1"/>
      <c r="AH2233" s="1"/>
    </row>
    <row r="2234" spans="1:34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  <c r="AB2234" s="1"/>
      <c r="AC2234" s="1"/>
      <c r="AD2234" s="1"/>
      <c r="AE2234" s="1"/>
      <c r="AF2234" s="1"/>
      <c r="AG2234" s="1"/>
      <c r="AH2234" s="1"/>
    </row>
    <row r="2235" spans="1:34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  <c r="AB2235" s="1"/>
      <c r="AC2235" s="1"/>
      <c r="AD2235" s="1"/>
      <c r="AE2235" s="1"/>
      <c r="AF2235" s="1"/>
      <c r="AG2235" s="1"/>
      <c r="AH2235" s="1"/>
    </row>
    <row r="2236" spans="1:34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  <c r="AB2236" s="1"/>
      <c r="AC2236" s="1"/>
      <c r="AD2236" s="1"/>
      <c r="AE2236" s="1"/>
      <c r="AF2236" s="1"/>
      <c r="AG2236" s="1"/>
      <c r="AH2236" s="1"/>
    </row>
    <row r="2237" spans="1:34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  <c r="AB2237" s="1"/>
      <c r="AC2237" s="1"/>
      <c r="AD2237" s="1"/>
      <c r="AE2237" s="1"/>
      <c r="AF2237" s="1"/>
      <c r="AG2237" s="1"/>
      <c r="AH2237" s="1"/>
    </row>
    <row r="2238" spans="1:34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  <c r="AB2238" s="1"/>
      <c r="AC2238" s="1"/>
      <c r="AD2238" s="1"/>
      <c r="AE2238" s="1"/>
      <c r="AF2238" s="1"/>
      <c r="AG2238" s="1"/>
      <c r="AH2238" s="1"/>
    </row>
    <row r="2239" spans="1:34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  <c r="AB2239" s="1"/>
      <c r="AC2239" s="1"/>
      <c r="AD2239" s="1"/>
      <c r="AE2239" s="1"/>
      <c r="AF2239" s="1"/>
      <c r="AG2239" s="1"/>
      <c r="AH2239" s="1"/>
    </row>
    <row r="2240" spans="1:34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  <c r="AB2240" s="1"/>
      <c r="AC2240" s="1"/>
      <c r="AD2240" s="1"/>
      <c r="AE2240" s="1"/>
      <c r="AF2240" s="1"/>
      <c r="AG2240" s="1"/>
      <c r="AH2240" s="1"/>
    </row>
    <row r="2241" spans="1:34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  <c r="AB2241" s="1"/>
      <c r="AC2241" s="1"/>
      <c r="AD2241" s="1"/>
      <c r="AE2241" s="1"/>
      <c r="AF2241" s="1"/>
      <c r="AG2241" s="1"/>
      <c r="AH2241" s="1"/>
    </row>
    <row r="2242" spans="1:34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  <c r="AB2242" s="1"/>
      <c r="AC2242" s="1"/>
      <c r="AD2242" s="1"/>
      <c r="AE2242" s="1"/>
      <c r="AF2242" s="1"/>
      <c r="AG2242" s="1"/>
      <c r="AH2242" s="1"/>
    </row>
    <row r="2243" spans="1:34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  <c r="AB2243" s="1"/>
      <c r="AC2243" s="1"/>
      <c r="AD2243" s="1"/>
      <c r="AE2243" s="1"/>
      <c r="AF2243" s="1"/>
      <c r="AG2243" s="1"/>
      <c r="AH2243" s="1"/>
    </row>
    <row r="2244" spans="1:34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  <c r="AB2244" s="1"/>
      <c r="AC2244" s="1"/>
      <c r="AD2244" s="1"/>
      <c r="AE2244" s="1"/>
      <c r="AF2244" s="1"/>
      <c r="AG2244" s="1"/>
      <c r="AH2244" s="1"/>
    </row>
    <row r="2245" spans="1:34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  <c r="AB2245" s="1"/>
      <c r="AC2245" s="1"/>
      <c r="AD2245" s="1"/>
      <c r="AE2245" s="1"/>
      <c r="AF2245" s="1"/>
      <c r="AG2245" s="1"/>
      <c r="AH2245" s="1"/>
    </row>
    <row r="2246" spans="1:34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  <c r="AB2246" s="1"/>
      <c r="AC2246" s="1"/>
      <c r="AD2246" s="1"/>
      <c r="AE2246" s="1"/>
      <c r="AF2246" s="1"/>
      <c r="AG2246" s="1"/>
      <c r="AH2246" s="1"/>
    </row>
    <row r="2247" spans="1:34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  <c r="AB2247" s="1"/>
      <c r="AC2247" s="1"/>
      <c r="AD2247" s="1"/>
      <c r="AE2247" s="1"/>
      <c r="AF2247" s="1"/>
      <c r="AG2247" s="1"/>
      <c r="AH2247" s="1"/>
    </row>
    <row r="2248" spans="1:34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  <c r="AB2248" s="1"/>
      <c r="AC2248" s="1"/>
      <c r="AD2248" s="1"/>
      <c r="AE2248" s="1"/>
      <c r="AF2248" s="1"/>
      <c r="AG2248" s="1"/>
      <c r="AH2248" s="1"/>
    </row>
    <row r="2249" spans="1:34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  <c r="AB2249" s="1"/>
      <c r="AC2249" s="1"/>
      <c r="AD2249" s="1"/>
      <c r="AE2249" s="1"/>
      <c r="AF2249" s="1"/>
      <c r="AG2249" s="1"/>
      <c r="AH2249" s="1"/>
    </row>
    <row r="2250" spans="1:34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  <c r="AB2250" s="1"/>
      <c r="AC2250" s="1"/>
      <c r="AD2250" s="1"/>
      <c r="AE2250" s="1"/>
      <c r="AF2250" s="1"/>
      <c r="AG2250" s="1"/>
      <c r="AH2250" s="1"/>
    </row>
    <row r="2251" spans="1:34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  <c r="AB2251" s="1"/>
      <c r="AC2251" s="1"/>
      <c r="AD2251" s="1"/>
      <c r="AE2251" s="1"/>
      <c r="AF2251" s="1"/>
      <c r="AG2251" s="1"/>
      <c r="AH2251" s="1"/>
    </row>
    <row r="2252" spans="1:34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  <c r="AB2252" s="1"/>
      <c r="AC2252" s="1"/>
      <c r="AD2252" s="1"/>
      <c r="AE2252" s="1"/>
      <c r="AF2252" s="1"/>
      <c r="AG2252" s="1"/>
      <c r="AH2252" s="1"/>
    </row>
    <row r="2253" spans="1:34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  <c r="AB2253" s="1"/>
      <c r="AC2253" s="1"/>
      <c r="AD2253" s="1"/>
      <c r="AE2253" s="1"/>
      <c r="AF2253" s="1"/>
      <c r="AG2253" s="1"/>
      <c r="AH2253" s="1"/>
    </row>
    <row r="2254" spans="1:34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  <c r="AB2254" s="1"/>
      <c r="AC2254" s="1"/>
      <c r="AD2254" s="1"/>
      <c r="AE2254" s="1"/>
      <c r="AF2254" s="1"/>
      <c r="AG2254" s="1"/>
      <c r="AH2254" s="1"/>
    </row>
    <row r="2255" spans="1:34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  <c r="AB2255" s="1"/>
      <c r="AC2255" s="1"/>
      <c r="AD2255" s="1"/>
      <c r="AE2255" s="1"/>
      <c r="AF2255" s="1"/>
      <c r="AG2255" s="1"/>
      <c r="AH2255" s="1"/>
    </row>
    <row r="2256" spans="1:34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  <c r="AB2256" s="1"/>
      <c r="AC2256" s="1"/>
      <c r="AD2256" s="1"/>
      <c r="AE2256" s="1"/>
      <c r="AF2256" s="1"/>
      <c r="AG2256" s="1"/>
      <c r="AH2256" s="1"/>
    </row>
    <row r="2257" spans="1:34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  <c r="AB2257" s="1"/>
      <c r="AC2257" s="1"/>
      <c r="AD2257" s="1"/>
      <c r="AE2257" s="1"/>
      <c r="AF2257" s="1"/>
      <c r="AG2257" s="1"/>
      <c r="AH2257" s="1"/>
    </row>
    <row r="2258" spans="1:34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  <c r="AB2258" s="1"/>
      <c r="AC2258" s="1"/>
      <c r="AD2258" s="1"/>
      <c r="AE2258" s="1"/>
      <c r="AF2258" s="1"/>
      <c r="AG2258" s="1"/>
      <c r="AH2258" s="1"/>
    </row>
    <row r="2259" spans="1:34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  <c r="AB2259" s="1"/>
      <c r="AC2259" s="1"/>
      <c r="AD2259" s="1"/>
      <c r="AE2259" s="1"/>
      <c r="AF2259" s="1"/>
      <c r="AG2259" s="1"/>
      <c r="AH2259" s="1"/>
    </row>
    <row r="2260" spans="1:34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  <c r="AB2260" s="1"/>
      <c r="AC2260" s="1"/>
      <c r="AD2260" s="1"/>
      <c r="AE2260" s="1"/>
      <c r="AF2260" s="1"/>
      <c r="AG2260" s="1"/>
      <c r="AH2260" s="1"/>
    </row>
    <row r="2261" spans="1:34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  <c r="AB2261" s="1"/>
      <c r="AC2261" s="1"/>
      <c r="AD2261" s="1"/>
      <c r="AE2261" s="1"/>
      <c r="AF2261" s="1"/>
      <c r="AG2261" s="1"/>
      <c r="AH2261" s="1"/>
    </row>
    <row r="2262" spans="1:34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  <c r="AB2262" s="1"/>
      <c r="AC2262" s="1"/>
      <c r="AD2262" s="1"/>
      <c r="AE2262" s="1"/>
      <c r="AF2262" s="1"/>
      <c r="AG2262" s="1"/>
      <c r="AH2262" s="1"/>
    </row>
    <row r="2263" spans="1:34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  <c r="AB2263" s="1"/>
      <c r="AC2263" s="1"/>
      <c r="AD2263" s="1"/>
      <c r="AE2263" s="1"/>
      <c r="AF2263" s="1"/>
      <c r="AG2263" s="1"/>
      <c r="AH2263" s="1"/>
    </row>
    <row r="2264" spans="1:34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  <c r="AB2264" s="1"/>
      <c r="AC2264" s="1"/>
      <c r="AD2264" s="1"/>
      <c r="AE2264" s="1"/>
      <c r="AF2264" s="1"/>
      <c r="AG2264" s="1"/>
      <c r="AH2264" s="1"/>
    </row>
    <row r="2265" spans="1:34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  <c r="AB2265" s="1"/>
      <c r="AC2265" s="1"/>
      <c r="AD2265" s="1"/>
      <c r="AE2265" s="1"/>
      <c r="AF2265" s="1"/>
      <c r="AG2265" s="1"/>
      <c r="AH2265" s="1"/>
    </row>
    <row r="2266" spans="1:34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  <c r="AB2266" s="1"/>
      <c r="AC2266" s="1"/>
      <c r="AD2266" s="1"/>
      <c r="AE2266" s="1"/>
      <c r="AF2266" s="1"/>
      <c r="AG2266" s="1"/>
      <c r="AH2266" s="1"/>
    </row>
    <row r="2267" spans="1:34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  <c r="AB2267" s="1"/>
      <c r="AC2267" s="1"/>
      <c r="AD2267" s="1"/>
      <c r="AE2267" s="1"/>
      <c r="AF2267" s="1"/>
      <c r="AG2267" s="1"/>
      <c r="AH2267" s="1"/>
    </row>
    <row r="2268" spans="1:34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  <c r="AB2268" s="1"/>
      <c r="AC2268" s="1"/>
      <c r="AD2268" s="1"/>
      <c r="AE2268" s="1"/>
      <c r="AF2268" s="1"/>
      <c r="AG2268" s="1"/>
      <c r="AH2268" s="1"/>
    </row>
    <row r="2269" spans="1:34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  <c r="AB2269" s="1"/>
      <c r="AC2269" s="1"/>
      <c r="AD2269" s="1"/>
      <c r="AE2269" s="1"/>
      <c r="AF2269" s="1"/>
      <c r="AG2269" s="1"/>
      <c r="AH2269" s="1"/>
    </row>
    <row r="2270" spans="1:34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  <c r="AB2270" s="1"/>
      <c r="AC2270" s="1"/>
      <c r="AD2270" s="1"/>
      <c r="AE2270" s="1"/>
      <c r="AF2270" s="1"/>
      <c r="AG2270" s="1"/>
      <c r="AH2270" s="1"/>
    </row>
    <row r="2271" spans="1:34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  <c r="AB2271" s="1"/>
      <c r="AC2271" s="1"/>
      <c r="AD2271" s="1"/>
      <c r="AE2271" s="1"/>
      <c r="AF2271" s="1"/>
      <c r="AG2271" s="1"/>
      <c r="AH2271" s="1"/>
    </row>
    <row r="2272" spans="1:34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  <c r="AB2272" s="1"/>
      <c r="AC2272" s="1"/>
      <c r="AD2272" s="1"/>
      <c r="AE2272" s="1"/>
      <c r="AF2272" s="1"/>
      <c r="AG2272" s="1"/>
      <c r="AH2272" s="1"/>
    </row>
    <row r="2273" spans="1:34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  <c r="AB2273" s="1"/>
      <c r="AC2273" s="1"/>
      <c r="AD2273" s="1"/>
      <c r="AE2273" s="1"/>
      <c r="AF2273" s="1"/>
      <c r="AG2273" s="1"/>
      <c r="AH2273" s="1"/>
    </row>
    <row r="2274" spans="1:34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  <c r="AB2274" s="1"/>
      <c r="AC2274" s="1"/>
      <c r="AD2274" s="1"/>
      <c r="AE2274" s="1"/>
      <c r="AF2274" s="1"/>
      <c r="AG2274" s="1"/>
      <c r="AH2274" s="1"/>
    </row>
    <row r="2275" spans="1:34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  <c r="AB2275" s="1"/>
      <c r="AC2275" s="1"/>
      <c r="AD2275" s="1"/>
      <c r="AE2275" s="1"/>
      <c r="AF2275" s="1"/>
      <c r="AG2275" s="1"/>
      <c r="AH2275" s="1"/>
    </row>
    <row r="2276" spans="1:34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  <c r="AB2276" s="1"/>
      <c r="AC2276" s="1"/>
      <c r="AD2276" s="1"/>
      <c r="AE2276" s="1"/>
      <c r="AF2276" s="1"/>
      <c r="AG2276" s="1"/>
      <c r="AH2276" s="1"/>
    </row>
    <row r="2277" spans="1:34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  <c r="AB2277" s="1"/>
      <c r="AC2277" s="1"/>
      <c r="AD2277" s="1"/>
      <c r="AE2277" s="1"/>
      <c r="AF2277" s="1"/>
      <c r="AG2277" s="1"/>
      <c r="AH2277" s="1"/>
    </row>
    <row r="2278" spans="1:34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  <c r="AB2278" s="1"/>
      <c r="AC2278" s="1"/>
      <c r="AD2278" s="1"/>
      <c r="AE2278" s="1"/>
      <c r="AF2278" s="1"/>
      <c r="AG2278" s="1"/>
      <c r="AH2278" s="1"/>
    </row>
    <row r="2279" spans="1:34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  <c r="AB2279" s="1"/>
      <c r="AC2279" s="1"/>
      <c r="AD2279" s="1"/>
      <c r="AE2279" s="1"/>
      <c r="AF2279" s="1"/>
      <c r="AG2279" s="1"/>
      <c r="AH2279" s="1"/>
    </row>
    <row r="2280" spans="1:34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  <c r="AB2280" s="1"/>
      <c r="AC2280" s="1"/>
      <c r="AD2280" s="1"/>
      <c r="AE2280" s="1"/>
      <c r="AF2280" s="1"/>
      <c r="AG2280" s="1"/>
      <c r="AH2280" s="1"/>
    </row>
    <row r="2281" spans="1:34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  <c r="AB2281" s="1"/>
      <c r="AC2281" s="1"/>
      <c r="AD2281" s="1"/>
      <c r="AE2281" s="1"/>
      <c r="AF2281" s="1"/>
      <c r="AG2281" s="1"/>
      <c r="AH2281" s="1"/>
    </row>
    <row r="2282" spans="1:34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  <c r="AB2282" s="1"/>
      <c r="AC2282" s="1"/>
      <c r="AD2282" s="1"/>
      <c r="AE2282" s="1"/>
      <c r="AF2282" s="1"/>
      <c r="AG2282" s="1"/>
      <c r="AH2282" s="1"/>
    </row>
    <row r="2283" spans="1:34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  <c r="AB2283" s="1"/>
      <c r="AC2283" s="1"/>
      <c r="AD2283" s="1"/>
      <c r="AE2283" s="1"/>
      <c r="AF2283" s="1"/>
      <c r="AG2283" s="1"/>
      <c r="AH2283" s="1"/>
    </row>
    <row r="2284" spans="1:34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  <c r="AB2284" s="1"/>
      <c r="AC2284" s="1"/>
      <c r="AD2284" s="1"/>
      <c r="AE2284" s="1"/>
      <c r="AF2284" s="1"/>
      <c r="AG2284" s="1"/>
      <c r="AH2284" s="1"/>
    </row>
    <row r="2285" spans="1:34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  <c r="AB2285" s="1"/>
      <c r="AC2285" s="1"/>
      <c r="AD2285" s="1"/>
      <c r="AE2285" s="1"/>
      <c r="AF2285" s="1"/>
      <c r="AG2285" s="1"/>
      <c r="AH2285" s="1"/>
    </row>
    <row r="2286" spans="1:34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  <c r="AB2286" s="1"/>
      <c r="AC2286" s="1"/>
      <c r="AD2286" s="1"/>
      <c r="AE2286" s="1"/>
      <c r="AF2286" s="1"/>
      <c r="AG2286" s="1"/>
      <c r="AH2286" s="1"/>
    </row>
    <row r="2287" spans="1:34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  <c r="AB2287" s="1"/>
      <c r="AC2287" s="1"/>
      <c r="AD2287" s="1"/>
      <c r="AE2287" s="1"/>
      <c r="AF2287" s="1"/>
      <c r="AG2287" s="1"/>
      <c r="AH2287" s="1"/>
    </row>
    <row r="2288" spans="1:34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  <c r="AB2288" s="1"/>
      <c r="AC2288" s="1"/>
      <c r="AD2288" s="1"/>
      <c r="AE2288" s="1"/>
      <c r="AF2288" s="1"/>
      <c r="AG2288" s="1"/>
      <c r="AH2288" s="1"/>
    </row>
    <row r="2289" spans="1:34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  <c r="AB2289" s="1"/>
      <c r="AC2289" s="1"/>
      <c r="AD2289" s="1"/>
      <c r="AE2289" s="1"/>
      <c r="AF2289" s="1"/>
      <c r="AG2289" s="1"/>
      <c r="AH2289" s="1"/>
    </row>
    <row r="2290" spans="1:34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  <c r="AB2290" s="1"/>
      <c r="AC2290" s="1"/>
      <c r="AD2290" s="1"/>
      <c r="AE2290" s="1"/>
      <c r="AF2290" s="1"/>
      <c r="AG2290" s="1"/>
      <c r="AH2290" s="1"/>
    </row>
    <row r="2291" spans="1:34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  <c r="AB2291" s="1"/>
      <c r="AC2291" s="1"/>
      <c r="AD2291" s="1"/>
      <c r="AE2291" s="1"/>
      <c r="AF2291" s="1"/>
      <c r="AG2291" s="1"/>
      <c r="AH2291" s="1"/>
    </row>
    <row r="2292" spans="1:34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  <c r="AB2292" s="1"/>
      <c r="AC2292" s="1"/>
      <c r="AD2292" s="1"/>
      <c r="AE2292" s="1"/>
      <c r="AF2292" s="1"/>
      <c r="AG2292" s="1"/>
      <c r="AH2292" s="1"/>
    </row>
    <row r="2293" spans="1:34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  <c r="AB2293" s="1"/>
      <c r="AC2293" s="1"/>
      <c r="AD2293" s="1"/>
      <c r="AE2293" s="1"/>
      <c r="AF2293" s="1"/>
      <c r="AG2293" s="1"/>
      <c r="AH2293" s="1"/>
    </row>
    <row r="2294" spans="1:34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  <c r="AB2294" s="1"/>
      <c r="AC2294" s="1"/>
      <c r="AD2294" s="1"/>
      <c r="AE2294" s="1"/>
      <c r="AF2294" s="1"/>
      <c r="AG2294" s="1"/>
      <c r="AH2294" s="1"/>
    </row>
    <row r="2295" spans="1:34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  <c r="AB2295" s="1"/>
      <c r="AC2295" s="1"/>
      <c r="AD2295" s="1"/>
      <c r="AE2295" s="1"/>
      <c r="AF2295" s="1"/>
      <c r="AG2295" s="1"/>
      <c r="AH2295" s="1"/>
    </row>
    <row r="2296" spans="1:34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  <c r="AB2296" s="1"/>
      <c r="AC2296" s="1"/>
      <c r="AD2296" s="1"/>
      <c r="AE2296" s="1"/>
      <c r="AF2296" s="1"/>
      <c r="AG2296" s="1"/>
      <c r="AH2296" s="1"/>
    </row>
    <row r="2297" spans="1:34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  <c r="AB2297" s="1"/>
      <c r="AC2297" s="1"/>
      <c r="AD2297" s="1"/>
      <c r="AE2297" s="1"/>
      <c r="AF2297" s="1"/>
      <c r="AG2297" s="1"/>
      <c r="AH2297" s="1"/>
    </row>
    <row r="2298" spans="1:34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  <c r="AB2298" s="1"/>
      <c r="AC2298" s="1"/>
      <c r="AD2298" s="1"/>
      <c r="AE2298" s="1"/>
      <c r="AF2298" s="1"/>
      <c r="AG2298" s="1"/>
      <c r="AH2298" s="1"/>
    </row>
    <row r="2299" spans="1:34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  <c r="AB2299" s="1"/>
      <c r="AC2299" s="1"/>
      <c r="AD2299" s="1"/>
      <c r="AE2299" s="1"/>
      <c r="AF2299" s="1"/>
      <c r="AG2299" s="1"/>
      <c r="AH2299" s="1"/>
    </row>
    <row r="2300" spans="1:34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  <c r="AB2300" s="1"/>
      <c r="AC2300" s="1"/>
      <c r="AD2300" s="1"/>
      <c r="AE2300" s="1"/>
      <c r="AF2300" s="1"/>
      <c r="AG2300" s="1"/>
      <c r="AH2300" s="1"/>
    </row>
    <row r="2301" spans="1:34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  <c r="AB2301" s="1"/>
      <c r="AC2301" s="1"/>
      <c r="AD2301" s="1"/>
      <c r="AE2301" s="1"/>
      <c r="AF2301" s="1"/>
      <c r="AG2301" s="1"/>
      <c r="AH2301" s="1"/>
    </row>
    <row r="2302" spans="1:34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  <c r="AB2302" s="1"/>
      <c r="AC2302" s="1"/>
      <c r="AD2302" s="1"/>
      <c r="AE2302" s="1"/>
      <c r="AF2302" s="1"/>
      <c r="AG2302" s="1"/>
      <c r="AH2302" s="1"/>
    </row>
    <row r="2303" spans="1:34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  <c r="AB2303" s="1"/>
      <c r="AC2303" s="1"/>
      <c r="AD2303" s="1"/>
      <c r="AE2303" s="1"/>
      <c r="AF2303" s="1"/>
      <c r="AG2303" s="1"/>
      <c r="AH2303" s="1"/>
    </row>
    <row r="2304" spans="1:34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  <c r="AB2304" s="1"/>
      <c r="AC2304" s="1"/>
      <c r="AD2304" s="1"/>
      <c r="AE2304" s="1"/>
      <c r="AF2304" s="1"/>
      <c r="AG2304" s="1"/>
      <c r="AH2304" s="1"/>
    </row>
    <row r="2305" spans="1:34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  <c r="AB2305" s="1"/>
      <c r="AC2305" s="1"/>
      <c r="AD2305" s="1"/>
      <c r="AE2305" s="1"/>
      <c r="AF2305" s="1"/>
      <c r="AG2305" s="1"/>
      <c r="AH2305" s="1"/>
    </row>
    <row r="2306" spans="1:34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  <c r="AB2306" s="1"/>
      <c r="AC2306" s="1"/>
      <c r="AD2306" s="1"/>
      <c r="AE2306" s="1"/>
      <c r="AF2306" s="1"/>
      <c r="AG2306" s="1"/>
      <c r="AH2306" s="1"/>
    </row>
    <row r="2307" spans="1:34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  <c r="AB2307" s="1"/>
      <c r="AC2307" s="1"/>
      <c r="AD2307" s="1"/>
      <c r="AE2307" s="1"/>
      <c r="AF2307" s="1"/>
      <c r="AG2307" s="1"/>
      <c r="AH2307" s="1"/>
    </row>
    <row r="2308" spans="1:34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  <c r="AB2308" s="1"/>
      <c r="AC2308" s="1"/>
      <c r="AD2308" s="1"/>
      <c r="AE2308" s="1"/>
      <c r="AF2308" s="1"/>
      <c r="AG2308" s="1"/>
      <c r="AH2308" s="1"/>
    </row>
    <row r="2309" spans="1:34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  <c r="AB2309" s="1"/>
      <c r="AC2309" s="1"/>
      <c r="AD2309" s="1"/>
      <c r="AE2309" s="1"/>
      <c r="AF2309" s="1"/>
      <c r="AG2309" s="1"/>
      <c r="AH2309" s="1"/>
    </row>
    <row r="2310" spans="1:34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  <c r="AB2310" s="1"/>
      <c r="AC2310" s="1"/>
      <c r="AD2310" s="1"/>
      <c r="AE2310" s="1"/>
      <c r="AF2310" s="1"/>
      <c r="AG2310" s="1"/>
      <c r="AH2310" s="1"/>
    </row>
    <row r="2311" spans="1:34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  <c r="AB2311" s="1"/>
      <c r="AC2311" s="1"/>
      <c r="AD2311" s="1"/>
      <c r="AE2311" s="1"/>
      <c r="AF2311" s="1"/>
      <c r="AG2311" s="1"/>
      <c r="AH2311" s="1"/>
    </row>
    <row r="2312" spans="1:34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  <c r="AB2312" s="1"/>
      <c r="AC2312" s="1"/>
      <c r="AD2312" s="1"/>
      <c r="AE2312" s="1"/>
      <c r="AF2312" s="1"/>
      <c r="AG2312" s="1"/>
      <c r="AH2312" s="1"/>
    </row>
    <row r="2313" spans="1:34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  <c r="AB2313" s="1"/>
      <c r="AC2313" s="1"/>
      <c r="AD2313" s="1"/>
      <c r="AE2313" s="1"/>
      <c r="AF2313" s="1"/>
      <c r="AG2313" s="1"/>
      <c r="AH2313" s="1"/>
    </row>
    <row r="2314" spans="1:34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  <c r="AB2314" s="1"/>
      <c r="AC2314" s="1"/>
      <c r="AD2314" s="1"/>
      <c r="AE2314" s="1"/>
      <c r="AF2314" s="1"/>
      <c r="AG2314" s="1"/>
      <c r="AH2314" s="1"/>
    </row>
    <row r="2315" spans="1:34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  <c r="AB2315" s="1"/>
      <c r="AC2315" s="1"/>
      <c r="AD2315" s="1"/>
      <c r="AE2315" s="1"/>
      <c r="AF2315" s="1"/>
      <c r="AG2315" s="1"/>
      <c r="AH2315" s="1"/>
    </row>
    <row r="2316" spans="1:34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  <c r="AB2316" s="1"/>
      <c r="AC2316" s="1"/>
      <c r="AD2316" s="1"/>
      <c r="AE2316" s="1"/>
      <c r="AF2316" s="1"/>
      <c r="AG2316" s="1"/>
      <c r="AH2316" s="1"/>
    </row>
    <row r="2317" spans="1:34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  <c r="AB2317" s="1"/>
      <c r="AC2317" s="1"/>
      <c r="AD2317" s="1"/>
      <c r="AE2317" s="1"/>
      <c r="AF2317" s="1"/>
      <c r="AG2317" s="1"/>
      <c r="AH2317" s="1"/>
    </row>
    <row r="2318" spans="1:34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  <c r="AB2318" s="1"/>
      <c r="AC2318" s="1"/>
      <c r="AD2318" s="1"/>
      <c r="AE2318" s="1"/>
      <c r="AF2318" s="1"/>
      <c r="AG2318" s="1"/>
      <c r="AH2318" s="1"/>
    </row>
    <row r="2319" spans="1:34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  <c r="AB2319" s="1"/>
      <c r="AC2319" s="1"/>
      <c r="AD2319" s="1"/>
      <c r="AE2319" s="1"/>
      <c r="AF2319" s="1"/>
      <c r="AG2319" s="1"/>
      <c r="AH2319" s="1"/>
    </row>
    <row r="2320" spans="1:34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  <c r="AB2320" s="1"/>
      <c r="AC2320" s="1"/>
      <c r="AD2320" s="1"/>
      <c r="AE2320" s="1"/>
      <c r="AF2320" s="1"/>
      <c r="AG2320" s="1"/>
      <c r="AH2320" s="1"/>
    </row>
    <row r="2321" spans="1:34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  <c r="AB2321" s="1"/>
      <c r="AC2321" s="1"/>
      <c r="AD2321" s="1"/>
      <c r="AE2321" s="1"/>
      <c r="AF2321" s="1"/>
      <c r="AG2321" s="1"/>
      <c r="AH2321" s="1"/>
    </row>
    <row r="2322" spans="1:34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  <c r="AB2322" s="1"/>
      <c r="AC2322" s="1"/>
      <c r="AD2322" s="1"/>
      <c r="AE2322" s="1"/>
      <c r="AF2322" s="1"/>
      <c r="AG2322" s="1"/>
      <c r="AH2322" s="1"/>
    </row>
    <row r="2323" spans="1:34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  <c r="AB2323" s="1"/>
      <c r="AC2323" s="1"/>
      <c r="AD2323" s="1"/>
      <c r="AE2323" s="1"/>
      <c r="AF2323" s="1"/>
      <c r="AG2323" s="1"/>
      <c r="AH2323" s="1"/>
    </row>
    <row r="2324" spans="1:34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  <c r="AB2324" s="1"/>
      <c r="AC2324" s="1"/>
      <c r="AD2324" s="1"/>
      <c r="AE2324" s="1"/>
      <c r="AF2324" s="1"/>
      <c r="AG2324" s="1"/>
      <c r="AH2324" s="1"/>
    </row>
    <row r="2325" spans="1:34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  <c r="AB2325" s="1"/>
      <c r="AC2325" s="1"/>
      <c r="AD2325" s="1"/>
      <c r="AE2325" s="1"/>
      <c r="AF2325" s="1"/>
      <c r="AG2325" s="1"/>
      <c r="AH2325" s="1"/>
    </row>
    <row r="2326" spans="1:34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  <c r="AB2326" s="1"/>
      <c r="AC2326" s="1"/>
      <c r="AD2326" s="1"/>
      <c r="AE2326" s="1"/>
      <c r="AF2326" s="1"/>
      <c r="AG2326" s="1"/>
      <c r="AH2326" s="1"/>
    </row>
    <row r="2327" spans="1:34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  <c r="AB2327" s="1"/>
      <c r="AC2327" s="1"/>
      <c r="AD2327" s="1"/>
      <c r="AE2327" s="1"/>
      <c r="AF2327" s="1"/>
      <c r="AG2327" s="1"/>
      <c r="AH2327" s="1"/>
    </row>
    <row r="2328" spans="1:34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  <c r="AB2328" s="1"/>
      <c r="AC2328" s="1"/>
      <c r="AD2328" s="1"/>
      <c r="AE2328" s="1"/>
      <c r="AF2328" s="1"/>
      <c r="AG2328" s="1"/>
      <c r="AH2328" s="1"/>
    </row>
    <row r="2329" spans="1:34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  <c r="AB2329" s="1"/>
      <c r="AC2329" s="1"/>
      <c r="AD2329" s="1"/>
      <c r="AE2329" s="1"/>
      <c r="AF2329" s="1"/>
      <c r="AG2329" s="1"/>
      <c r="AH2329" s="1"/>
    </row>
    <row r="2330" spans="1:34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  <c r="AB2330" s="1"/>
      <c r="AC2330" s="1"/>
      <c r="AD2330" s="1"/>
      <c r="AE2330" s="1"/>
      <c r="AF2330" s="1"/>
      <c r="AG2330" s="1"/>
      <c r="AH2330" s="1"/>
    </row>
    <row r="2331" spans="1:34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  <c r="AB2331" s="1"/>
      <c r="AC2331" s="1"/>
      <c r="AD2331" s="1"/>
      <c r="AE2331" s="1"/>
      <c r="AF2331" s="1"/>
      <c r="AG2331" s="1"/>
      <c r="AH2331" s="1"/>
    </row>
    <row r="2332" spans="1:34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  <c r="AB2332" s="1"/>
      <c r="AC2332" s="1"/>
      <c r="AD2332" s="1"/>
      <c r="AE2332" s="1"/>
      <c r="AF2332" s="1"/>
      <c r="AG2332" s="1"/>
      <c r="AH2332" s="1"/>
    </row>
    <row r="2333" spans="1:34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  <c r="AB2333" s="1"/>
      <c r="AC2333" s="1"/>
      <c r="AD2333" s="1"/>
      <c r="AE2333" s="1"/>
      <c r="AF2333" s="1"/>
      <c r="AG2333" s="1"/>
      <c r="AH2333" s="1"/>
    </row>
    <row r="2334" spans="1:34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  <c r="AB2334" s="1"/>
      <c r="AC2334" s="1"/>
      <c r="AD2334" s="1"/>
      <c r="AE2334" s="1"/>
      <c r="AF2334" s="1"/>
      <c r="AG2334" s="1"/>
      <c r="AH2334" s="1"/>
    </row>
    <row r="2335" spans="1:34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  <c r="AB2335" s="1"/>
      <c r="AC2335" s="1"/>
      <c r="AD2335" s="1"/>
      <c r="AE2335" s="1"/>
      <c r="AF2335" s="1"/>
      <c r="AG2335" s="1"/>
      <c r="AH2335" s="1"/>
    </row>
    <row r="2336" spans="1:34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  <c r="AB2336" s="1"/>
      <c r="AC2336" s="1"/>
      <c r="AD2336" s="1"/>
      <c r="AE2336" s="1"/>
      <c r="AF2336" s="1"/>
      <c r="AG2336" s="1"/>
      <c r="AH2336" s="1"/>
    </row>
    <row r="2337" spans="1:34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  <c r="AB2337" s="1"/>
      <c r="AC2337" s="1"/>
      <c r="AD2337" s="1"/>
      <c r="AE2337" s="1"/>
      <c r="AF2337" s="1"/>
      <c r="AG2337" s="1"/>
      <c r="AH2337" s="1"/>
    </row>
    <row r="2338" spans="1:34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  <c r="AB2338" s="1"/>
      <c r="AC2338" s="1"/>
      <c r="AD2338" s="1"/>
      <c r="AE2338" s="1"/>
      <c r="AF2338" s="1"/>
      <c r="AG2338" s="1"/>
      <c r="AH2338" s="1"/>
    </row>
    <row r="2339" spans="1:34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  <c r="AB2339" s="1"/>
      <c r="AC2339" s="1"/>
      <c r="AD2339" s="1"/>
      <c r="AE2339" s="1"/>
      <c r="AF2339" s="1"/>
      <c r="AG2339" s="1"/>
      <c r="AH2339" s="1"/>
    </row>
    <row r="2340" spans="1:34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  <c r="AB2340" s="1"/>
      <c r="AC2340" s="1"/>
      <c r="AD2340" s="1"/>
      <c r="AE2340" s="1"/>
      <c r="AF2340" s="1"/>
      <c r="AG2340" s="1"/>
      <c r="AH2340" s="1"/>
    </row>
    <row r="2341" spans="1:34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  <c r="AB2341" s="1"/>
      <c r="AC2341" s="1"/>
      <c r="AD2341" s="1"/>
      <c r="AE2341" s="1"/>
      <c r="AF2341" s="1"/>
      <c r="AG2341" s="1"/>
      <c r="AH2341" s="1"/>
    </row>
    <row r="2342" spans="1:34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  <c r="AB2342" s="1"/>
      <c r="AC2342" s="1"/>
      <c r="AD2342" s="1"/>
      <c r="AE2342" s="1"/>
      <c r="AF2342" s="1"/>
      <c r="AG2342" s="1"/>
      <c r="AH2342" s="1"/>
    </row>
    <row r="2343" spans="1:34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  <c r="AB2343" s="1"/>
      <c r="AC2343" s="1"/>
      <c r="AD2343" s="1"/>
      <c r="AE2343" s="1"/>
      <c r="AF2343" s="1"/>
      <c r="AG2343" s="1"/>
      <c r="AH2343" s="1"/>
    </row>
    <row r="2344" spans="1:34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  <c r="AB2344" s="1"/>
      <c r="AC2344" s="1"/>
      <c r="AD2344" s="1"/>
      <c r="AE2344" s="1"/>
      <c r="AF2344" s="1"/>
      <c r="AG2344" s="1"/>
      <c r="AH2344" s="1"/>
    </row>
    <row r="2345" spans="1:34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  <c r="AB2345" s="1"/>
      <c r="AC2345" s="1"/>
      <c r="AD2345" s="1"/>
      <c r="AE2345" s="1"/>
      <c r="AF2345" s="1"/>
      <c r="AG2345" s="1"/>
      <c r="AH2345" s="1"/>
    </row>
    <row r="2346" spans="1:34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  <c r="AB2346" s="1"/>
      <c r="AC2346" s="1"/>
      <c r="AD2346" s="1"/>
      <c r="AE2346" s="1"/>
      <c r="AF2346" s="1"/>
      <c r="AG2346" s="1"/>
      <c r="AH2346" s="1"/>
    </row>
    <row r="2347" spans="1:34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  <c r="AB2347" s="1"/>
      <c r="AC2347" s="1"/>
      <c r="AD2347" s="1"/>
      <c r="AE2347" s="1"/>
      <c r="AF2347" s="1"/>
      <c r="AG2347" s="1"/>
      <c r="AH2347" s="1"/>
    </row>
    <row r="2348" spans="1:34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  <c r="AB2348" s="1"/>
      <c r="AC2348" s="1"/>
      <c r="AD2348" s="1"/>
      <c r="AE2348" s="1"/>
      <c r="AF2348" s="1"/>
      <c r="AG2348" s="1"/>
      <c r="AH2348" s="1"/>
    </row>
    <row r="2349" spans="1:34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  <c r="AB2349" s="1"/>
      <c r="AC2349" s="1"/>
      <c r="AD2349" s="1"/>
      <c r="AE2349" s="1"/>
      <c r="AF2349" s="1"/>
      <c r="AG2349" s="1"/>
      <c r="AH2349" s="1"/>
    </row>
    <row r="2350" spans="1:34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  <c r="AB2350" s="1"/>
      <c r="AC2350" s="1"/>
      <c r="AD2350" s="1"/>
      <c r="AE2350" s="1"/>
      <c r="AF2350" s="1"/>
      <c r="AG2350" s="1"/>
      <c r="AH2350" s="1"/>
    </row>
    <row r="2351" spans="1:34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  <c r="AB2351" s="1"/>
      <c r="AC2351" s="1"/>
      <c r="AD2351" s="1"/>
      <c r="AE2351" s="1"/>
      <c r="AF2351" s="1"/>
      <c r="AG2351" s="1"/>
      <c r="AH2351" s="1"/>
    </row>
    <row r="2352" spans="1:34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  <c r="AB2352" s="1"/>
      <c r="AC2352" s="1"/>
      <c r="AD2352" s="1"/>
      <c r="AE2352" s="1"/>
      <c r="AF2352" s="1"/>
      <c r="AG2352" s="1"/>
      <c r="AH2352" s="1"/>
    </row>
    <row r="2353" spans="1:34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  <c r="AB2353" s="1"/>
      <c r="AC2353" s="1"/>
      <c r="AD2353" s="1"/>
      <c r="AE2353" s="1"/>
      <c r="AF2353" s="1"/>
      <c r="AG2353" s="1"/>
      <c r="AH2353" s="1"/>
    </row>
    <row r="2354" spans="1:34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  <c r="AB2354" s="1"/>
      <c r="AC2354" s="1"/>
      <c r="AD2354" s="1"/>
      <c r="AE2354" s="1"/>
      <c r="AF2354" s="1"/>
      <c r="AG2354" s="1"/>
      <c r="AH2354" s="1"/>
    </row>
    <row r="2355" spans="1:34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  <c r="AB2355" s="1"/>
      <c r="AC2355" s="1"/>
      <c r="AD2355" s="1"/>
      <c r="AE2355" s="1"/>
      <c r="AF2355" s="1"/>
      <c r="AG2355" s="1"/>
      <c r="AH2355" s="1"/>
    </row>
    <row r="2356" spans="1:34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  <c r="AB2356" s="1"/>
      <c r="AC2356" s="1"/>
      <c r="AD2356" s="1"/>
      <c r="AE2356" s="1"/>
      <c r="AF2356" s="1"/>
      <c r="AG2356" s="1"/>
      <c r="AH2356" s="1"/>
    </row>
    <row r="2357" spans="1:34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  <c r="AB2357" s="1"/>
      <c r="AC2357" s="1"/>
      <c r="AD2357" s="1"/>
      <c r="AE2357" s="1"/>
      <c r="AF2357" s="1"/>
      <c r="AG2357" s="1"/>
      <c r="AH2357" s="1"/>
    </row>
    <row r="2358" spans="1:34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  <c r="AB2358" s="1"/>
      <c r="AC2358" s="1"/>
      <c r="AD2358" s="1"/>
      <c r="AE2358" s="1"/>
      <c r="AF2358" s="1"/>
      <c r="AG2358" s="1"/>
      <c r="AH2358" s="1"/>
    </row>
    <row r="2359" spans="1:34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  <c r="AB2359" s="1"/>
      <c r="AC2359" s="1"/>
      <c r="AD2359" s="1"/>
      <c r="AE2359" s="1"/>
      <c r="AF2359" s="1"/>
      <c r="AG2359" s="1"/>
      <c r="AH2359" s="1"/>
    </row>
    <row r="2360" spans="1:34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  <c r="AB2360" s="1"/>
      <c r="AC2360" s="1"/>
      <c r="AD2360" s="1"/>
      <c r="AE2360" s="1"/>
      <c r="AF2360" s="1"/>
      <c r="AG2360" s="1"/>
      <c r="AH2360" s="1"/>
    </row>
    <row r="2361" spans="1:34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  <c r="AB2361" s="1"/>
      <c r="AC2361" s="1"/>
      <c r="AD2361" s="1"/>
      <c r="AE2361" s="1"/>
      <c r="AF2361" s="1"/>
      <c r="AG2361" s="1"/>
      <c r="AH2361" s="1"/>
    </row>
    <row r="2362" spans="1:34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  <c r="AB2362" s="1"/>
      <c r="AC2362" s="1"/>
      <c r="AD2362" s="1"/>
      <c r="AE2362" s="1"/>
      <c r="AF2362" s="1"/>
      <c r="AG2362" s="1"/>
      <c r="AH2362" s="1"/>
    </row>
    <row r="2363" spans="1:34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  <c r="AB2363" s="1"/>
      <c r="AC2363" s="1"/>
      <c r="AD2363" s="1"/>
      <c r="AE2363" s="1"/>
      <c r="AF2363" s="1"/>
      <c r="AG2363" s="1"/>
      <c r="AH2363" s="1"/>
    </row>
    <row r="2364" spans="1:34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  <c r="AB2364" s="1"/>
      <c r="AC2364" s="1"/>
      <c r="AD2364" s="1"/>
      <c r="AE2364" s="1"/>
      <c r="AF2364" s="1"/>
      <c r="AG2364" s="1"/>
      <c r="AH2364" s="1"/>
    </row>
    <row r="2365" spans="1:34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  <c r="AB2365" s="1"/>
      <c r="AC2365" s="1"/>
      <c r="AD2365" s="1"/>
      <c r="AE2365" s="1"/>
      <c r="AF2365" s="1"/>
      <c r="AG2365" s="1"/>
      <c r="AH2365" s="1"/>
    </row>
    <row r="2366" spans="1:34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  <c r="AB2366" s="1"/>
      <c r="AC2366" s="1"/>
      <c r="AD2366" s="1"/>
      <c r="AE2366" s="1"/>
      <c r="AF2366" s="1"/>
      <c r="AG2366" s="1"/>
      <c r="AH2366" s="1"/>
    </row>
    <row r="2367" spans="1:34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  <c r="AB2367" s="1"/>
      <c r="AC2367" s="1"/>
      <c r="AD2367" s="1"/>
      <c r="AE2367" s="1"/>
      <c r="AF2367" s="1"/>
      <c r="AG2367" s="1"/>
      <c r="AH2367" s="1"/>
    </row>
    <row r="2368" spans="1:34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  <c r="AB2368" s="1"/>
      <c r="AC2368" s="1"/>
      <c r="AD2368" s="1"/>
      <c r="AE2368" s="1"/>
      <c r="AF2368" s="1"/>
      <c r="AG2368" s="1"/>
      <c r="AH2368" s="1"/>
    </row>
    <row r="2369" spans="1:34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  <c r="AB2369" s="1"/>
      <c r="AC2369" s="1"/>
      <c r="AD2369" s="1"/>
      <c r="AE2369" s="1"/>
      <c r="AF2369" s="1"/>
      <c r="AG2369" s="1"/>
      <c r="AH2369" s="1"/>
    </row>
    <row r="2370" spans="1:34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  <c r="AB2370" s="1"/>
      <c r="AC2370" s="1"/>
      <c r="AD2370" s="1"/>
      <c r="AE2370" s="1"/>
      <c r="AF2370" s="1"/>
      <c r="AG2370" s="1"/>
      <c r="AH2370" s="1"/>
    </row>
    <row r="2371" spans="1:34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  <c r="AB2371" s="1"/>
      <c r="AC2371" s="1"/>
      <c r="AD2371" s="1"/>
      <c r="AE2371" s="1"/>
      <c r="AF2371" s="1"/>
      <c r="AG2371" s="1"/>
      <c r="AH2371" s="1"/>
    </row>
    <row r="2372" spans="1:34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  <c r="AB2372" s="1"/>
      <c r="AC2372" s="1"/>
      <c r="AD2372" s="1"/>
      <c r="AE2372" s="1"/>
      <c r="AF2372" s="1"/>
      <c r="AG2372" s="1"/>
      <c r="AH2372" s="1"/>
    </row>
    <row r="2373" spans="1:34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  <c r="AB2373" s="1"/>
      <c r="AC2373" s="1"/>
      <c r="AD2373" s="1"/>
      <c r="AE2373" s="1"/>
      <c r="AF2373" s="1"/>
      <c r="AG2373" s="1"/>
      <c r="AH2373" s="1"/>
    </row>
    <row r="2374" spans="1:34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  <c r="AB2374" s="1"/>
      <c r="AC2374" s="1"/>
      <c r="AD2374" s="1"/>
      <c r="AE2374" s="1"/>
      <c r="AF2374" s="1"/>
      <c r="AG2374" s="1"/>
      <c r="AH2374" s="1"/>
    </row>
    <row r="2375" spans="1:34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  <c r="AB2375" s="1"/>
      <c r="AC2375" s="1"/>
      <c r="AD2375" s="1"/>
      <c r="AE2375" s="1"/>
      <c r="AF2375" s="1"/>
      <c r="AG2375" s="1"/>
      <c r="AH2375" s="1"/>
    </row>
    <row r="2376" spans="1:34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  <c r="AB2376" s="1"/>
      <c r="AC2376" s="1"/>
      <c r="AD2376" s="1"/>
      <c r="AE2376" s="1"/>
      <c r="AF2376" s="1"/>
      <c r="AG2376" s="1"/>
      <c r="AH2376" s="1"/>
    </row>
    <row r="2377" spans="1:34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  <c r="AB2377" s="1"/>
      <c r="AC2377" s="1"/>
      <c r="AD2377" s="1"/>
      <c r="AE2377" s="1"/>
      <c r="AF2377" s="1"/>
      <c r="AG2377" s="1"/>
      <c r="AH2377" s="1"/>
    </row>
    <row r="2378" spans="1:34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  <c r="AB2378" s="1"/>
      <c r="AC2378" s="1"/>
      <c r="AD2378" s="1"/>
      <c r="AE2378" s="1"/>
      <c r="AF2378" s="1"/>
      <c r="AG2378" s="1"/>
      <c r="AH2378" s="1"/>
    </row>
    <row r="2379" spans="1:34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  <c r="AB2379" s="1"/>
      <c r="AC2379" s="1"/>
      <c r="AD2379" s="1"/>
      <c r="AE2379" s="1"/>
      <c r="AF2379" s="1"/>
      <c r="AG2379" s="1"/>
      <c r="AH2379" s="1"/>
    </row>
    <row r="2380" spans="1:34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  <c r="AB2380" s="1"/>
      <c r="AC2380" s="1"/>
      <c r="AD2380" s="1"/>
      <c r="AE2380" s="1"/>
      <c r="AF2380" s="1"/>
      <c r="AG2380" s="1"/>
      <c r="AH2380" s="1"/>
    </row>
    <row r="2381" spans="1:34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  <c r="AB2381" s="1"/>
      <c r="AC2381" s="1"/>
      <c r="AD2381" s="1"/>
      <c r="AE2381" s="1"/>
      <c r="AF2381" s="1"/>
      <c r="AG2381" s="1"/>
      <c r="AH2381" s="1"/>
    </row>
    <row r="2382" spans="1:34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  <c r="AB2382" s="1"/>
      <c r="AC2382" s="1"/>
      <c r="AD2382" s="1"/>
      <c r="AE2382" s="1"/>
      <c r="AF2382" s="1"/>
      <c r="AG2382" s="1"/>
      <c r="AH2382" s="1"/>
    </row>
    <row r="2383" spans="1:34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  <c r="AB2383" s="1"/>
      <c r="AC2383" s="1"/>
      <c r="AD2383" s="1"/>
      <c r="AE2383" s="1"/>
      <c r="AF2383" s="1"/>
      <c r="AG2383" s="1"/>
      <c r="AH2383" s="1"/>
    </row>
    <row r="2384" spans="1:34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  <c r="AB2384" s="1"/>
      <c r="AC2384" s="1"/>
      <c r="AD2384" s="1"/>
      <c r="AE2384" s="1"/>
      <c r="AF2384" s="1"/>
      <c r="AG2384" s="1"/>
      <c r="AH2384" s="1"/>
    </row>
    <row r="2385" spans="1:34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  <c r="AB2385" s="1"/>
      <c r="AC2385" s="1"/>
      <c r="AD2385" s="1"/>
      <c r="AE2385" s="1"/>
      <c r="AF2385" s="1"/>
      <c r="AG2385" s="1"/>
      <c r="AH2385" s="1"/>
    </row>
    <row r="2386" spans="1:34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  <c r="AB2386" s="1"/>
      <c r="AC2386" s="1"/>
      <c r="AD2386" s="1"/>
      <c r="AE2386" s="1"/>
      <c r="AF2386" s="1"/>
      <c r="AG2386" s="1"/>
      <c r="AH2386" s="1"/>
    </row>
    <row r="2387" spans="1:34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  <c r="AB2387" s="1"/>
      <c r="AC2387" s="1"/>
      <c r="AD2387" s="1"/>
      <c r="AE2387" s="1"/>
      <c r="AF2387" s="1"/>
      <c r="AG2387" s="1"/>
      <c r="AH2387" s="1"/>
    </row>
    <row r="2388" spans="1:34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  <c r="AB2388" s="1"/>
      <c r="AC2388" s="1"/>
      <c r="AD2388" s="1"/>
      <c r="AE2388" s="1"/>
      <c r="AF2388" s="1"/>
      <c r="AG2388" s="1"/>
      <c r="AH2388" s="1"/>
    </row>
    <row r="2389" spans="1:34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  <c r="AB2389" s="1"/>
      <c r="AC2389" s="1"/>
      <c r="AD2389" s="1"/>
      <c r="AE2389" s="1"/>
      <c r="AF2389" s="1"/>
      <c r="AG2389" s="1"/>
      <c r="AH2389" s="1"/>
    </row>
    <row r="2390" spans="1:34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  <c r="AB2390" s="1"/>
      <c r="AC2390" s="1"/>
      <c r="AD2390" s="1"/>
      <c r="AE2390" s="1"/>
      <c r="AF2390" s="1"/>
      <c r="AG2390" s="1"/>
      <c r="AH2390" s="1"/>
    </row>
    <row r="2391" spans="1:34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  <c r="AB2391" s="1"/>
      <c r="AC2391" s="1"/>
      <c r="AD2391" s="1"/>
      <c r="AE2391" s="1"/>
      <c r="AF2391" s="1"/>
      <c r="AG2391" s="1"/>
      <c r="AH2391" s="1"/>
    </row>
    <row r="2392" spans="1:34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  <c r="AB2392" s="1"/>
      <c r="AC2392" s="1"/>
      <c r="AD2392" s="1"/>
      <c r="AE2392" s="1"/>
      <c r="AF2392" s="1"/>
      <c r="AG2392" s="1"/>
      <c r="AH2392" s="1"/>
    </row>
    <row r="2393" spans="1:34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  <c r="AB2393" s="1"/>
      <c r="AC2393" s="1"/>
      <c r="AD2393" s="1"/>
      <c r="AE2393" s="1"/>
      <c r="AF2393" s="1"/>
      <c r="AG2393" s="1"/>
      <c r="AH2393" s="1"/>
    </row>
    <row r="2394" spans="1:34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  <c r="AB2394" s="1"/>
      <c r="AC2394" s="1"/>
      <c r="AD2394" s="1"/>
      <c r="AE2394" s="1"/>
      <c r="AF2394" s="1"/>
      <c r="AG2394" s="1"/>
      <c r="AH2394" s="1"/>
    </row>
    <row r="2395" spans="1:34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  <c r="AB2395" s="1"/>
      <c r="AC2395" s="1"/>
      <c r="AD2395" s="1"/>
      <c r="AE2395" s="1"/>
      <c r="AF2395" s="1"/>
      <c r="AG2395" s="1"/>
      <c r="AH2395" s="1"/>
    </row>
    <row r="2396" spans="1:34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  <c r="AB2396" s="1"/>
      <c r="AC2396" s="1"/>
      <c r="AD2396" s="1"/>
      <c r="AE2396" s="1"/>
      <c r="AF2396" s="1"/>
      <c r="AG2396" s="1"/>
      <c r="AH2396" s="1"/>
    </row>
    <row r="2397" spans="1:34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  <c r="AB2397" s="1"/>
      <c r="AC2397" s="1"/>
      <c r="AD2397" s="1"/>
      <c r="AE2397" s="1"/>
      <c r="AF2397" s="1"/>
      <c r="AG2397" s="1"/>
      <c r="AH2397" s="1"/>
    </row>
    <row r="2398" spans="1:34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  <c r="AB2398" s="1"/>
      <c r="AC2398" s="1"/>
      <c r="AD2398" s="1"/>
      <c r="AE2398" s="1"/>
      <c r="AF2398" s="1"/>
      <c r="AG2398" s="1"/>
      <c r="AH2398" s="1"/>
    </row>
    <row r="2399" spans="1:34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  <c r="AB2399" s="1"/>
      <c r="AC2399" s="1"/>
      <c r="AD2399" s="1"/>
      <c r="AE2399" s="1"/>
      <c r="AF2399" s="1"/>
      <c r="AG2399" s="1"/>
      <c r="AH2399" s="1"/>
    </row>
    <row r="2400" spans="1:34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  <c r="AB2400" s="1"/>
      <c r="AC2400" s="1"/>
      <c r="AD2400" s="1"/>
      <c r="AE2400" s="1"/>
      <c r="AF2400" s="1"/>
      <c r="AG2400" s="1"/>
      <c r="AH2400" s="1"/>
    </row>
    <row r="2401" spans="1:34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  <c r="AB2401" s="1"/>
      <c r="AC2401" s="1"/>
      <c r="AD2401" s="1"/>
      <c r="AE2401" s="1"/>
      <c r="AF2401" s="1"/>
      <c r="AG2401" s="1"/>
      <c r="AH2401" s="1"/>
    </row>
    <row r="2402" spans="1:34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  <c r="AB2402" s="1"/>
      <c r="AC2402" s="1"/>
      <c r="AD2402" s="1"/>
      <c r="AE2402" s="1"/>
      <c r="AF2402" s="1"/>
      <c r="AG2402" s="1"/>
      <c r="AH2402" s="1"/>
    </row>
    <row r="2403" spans="1:34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  <c r="AB2403" s="1"/>
      <c r="AC2403" s="1"/>
      <c r="AD2403" s="1"/>
      <c r="AE2403" s="1"/>
      <c r="AF2403" s="1"/>
      <c r="AG2403" s="1"/>
      <c r="AH2403" s="1"/>
    </row>
    <row r="2404" spans="1:34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  <c r="AB2404" s="1"/>
      <c r="AC2404" s="1"/>
      <c r="AD2404" s="1"/>
      <c r="AE2404" s="1"/>
      <c r="AF2404" s="1"/>
      <c r="AG2404" s="1"/>
      <c r="AH2404" s="1"/>
    </row>
    <row r="2405" spans="1:34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  <c r="AB2405" s="1"/>
      <c r="AC2405" s="1"/>
      <c r="AD2405" s="1"/>
      <c r="AE2405" s="1"/>
      <c r="AF2405" s="1"/>
      <c r="AG2405" s="1"/>
      <c r="AH2405" s="1"/>
    </row>
    <row r="2406" spans="1:34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  <c r="AB2406" s="1"/>
      <c r="AC2406" s="1"/>
      <c r="AD2406" s="1"/>
      <c r="AE2406" s="1"/>
      <c r="AF2406" s="1"/>
      <c r="AG2406" s="1"/>
      <c r="AH2406" s="1"/>
    </row>
    <row r="2407" spans="1:34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  <c r="AB2407" s="1"/>
      <c r="AC2407" s="1"/>
      <c r="AD2407" s="1"/>
      <c r="AE2407" s="1"/>
      <c r="AF2407" s="1"/>
      <c r="AG2407" s="1"/>
      <c r="AH2407" s="1"/>
    </row>
    <row r="2408" spans="1:34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  <c r="AB2408" s="1"/>
      <c r="AC2408" s="1"/>
      <c r="AD2408" s="1"/>
      <c r="AE2408" s="1"/>
      <c r="AF2408" s="1"/>
      <c r="AG2408" s="1"/>
      <c r="AH2408" s="1"/>
    </row>
    <row r="2409" spans="1:34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  <c r="AB2409" s="1"/>
      <c r="AC2409" s="1"/>
      <c r="AD2409" s="1"/>
      <c r="AE2409" s="1"/>
      <c r="AF2409" s="1"/>
      <c r="AG2409" s="1"/>
      <c r="AH2409" s="1"/>
    </row>
    <row r="2410" spans="1:34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  <c r="AB2410" s="1"/>
      <c r="AC2410" s="1"/>
      <c r="AD2410" s="1"/>
      <c r="AE2410" s="1"/>
      <c r="AF2410" s="1"/>
      <c r="AG2410" s="1"/>
      <c r="AH2410" s="1"/>
    </row>
    <row r="2411" spans="1:34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  <c r="AB2411" s="1"/>
      <c r="AC2411" s="1"/>
      <c r="AD2411" s="1"/>
      <c r="AE2411" s="1"/>
      <c r="AF2411" s="1"/>
      <c r="AG2411" s="1"/>
      <c r="AH2411" s="1"/>
    </row>
    <row r="2412" spans="1:34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  <c r="AB2412" s="1"/>
      <c r="AC2412" s="1"/>
      <c r="AD2412" s="1"/>
      <c r="AE2412" s="1"/>
      <c r="AF2412" s="1"/>
      <c r="AG2412" s="1"/>
      <c r="AH2412" s="1"/>
    </row>
    <row r="2413" spans="1:34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  <c r="AB2413" s="1"/>
      <c r="AC2413" s="1"/>
      <c r="AD2413" s="1"/>
      <c r="AE2413" s="1"/>
      <c r="AF2413" s="1"/>
      <c r="AG2413" s="1"/>
      <c r="AH2413" s="1"/>
    </row>
    <row r="2414" spans="1:34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  <c r="AB2414" s="1"/>
      <c r="AC2414" s="1"/>
      <c r="AD2414" s="1"/>
      <c r="AE2414" s="1"/>
      <c r="AF2414" s="1"/>
      <c r="AG2414" s="1"/>
      <c r="AH2414" s="1"/>
    </row>
    <row r="2415" spans="1:34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  <c r="AB2415" s="1"/>
      <c r="AC2415" s="1"/>
      <c r="AD2415" s="1"/>
      <c r="AE2415" s="1"/>
      <c r="AF2415" s="1"/>
      <c r="AG2415" s="1"/>
      <c r="AH2415" s="1"/>
    </row>
    <row r="2416" spans="1:34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  <c r="AB2416" s="1"/>
      <c r="AC2416" s="1"/>
      <c r="AD2416" s="1"/>
      <c r="AE2416" s="1"/>
      <c r="AF2416" s="1"/>
      <c r="AG2416" s="1"/>
      <c r="AH2416" s="1"/>
    </row>
    <row r="2417" spans="1:34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  <c r="AB2417" s="1"/>
      <c r="AC2417" s="1"/>
      <c r="AD2417" s="1"/>
      <c r="AE2417" s="1"/>
      <c r="AF2417" s="1"/>
      <c r="AG2417" s="1"/>
      <c r="AH2417" s="1"/>
    </row>
    <row r="2418" spans="1:34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  <c r="AB2418" s="1"/>
      <c r="AC2418" s="1"/>
      <c r="AD2418" s="1"/>
      <c r="AE2418" s="1"/>
      <c r="AF2418" s="1"/>
      <c r="AG2418" s="1"/>
      <c r="AH2418" s="1"/>
    </row>
    <row r="2419" spans="1:34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  <c r="AB2419" s="1"/>
      <c r="AC2419" s="1"/>
      <c r="AD2419" s="1"/>
      <c r="AE2419" s="1"/>
      <c r="AF2419" s="1"/>
      <c r="AG2419" s="1"/>
      <c r="AH2419" s="1"/>
    </row>
    <row r="2420" spans="1:34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  <c r="AB2420" s="1"/>
      <c r="AC2420" s="1"/>
      <c r="AD2420" s="1"/>
      <c r="AE2420" s="1"/>
      <c r="AF2420" s="1"/>
      <c r="AG2420" s="1"/>
      <c r="AH2420" s="1"/>
    </row>
    <row r="2421" spans="1:34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  <c r="AB2421" s="1"/>
      <c r="AC2421" s="1"/>
      <c r="AD2421" s="1"/>
      <c r="AE2421" s="1"/>
      <c r="AF2421" s="1"/>
      <c r="AG2421" s="1"/>
      <c r="AH2421" s="1"/>
    </row>
    <row r="2422" spans="1:34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  <c r="AB2422" s="1"/>
      <c r="AC2422" s="1"/>
      <c r="AD2422" s="1"/>
      <c r="AE2422" s="1"/>
      <c r="AF2422" s="1"/>
      <c r="AG2422" s="1"/>
      <c r="AH2422" s="1"/>
    </row>
    <row r="2423" spans="1:34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  <c r="AB2423" s="1"/>
      <c r="AC2423" s="1"/>
      <c r="AD2423" s="1"/>
      <c r="AE2423" s="1"/>
      <c r="AF2423" s="1"/>
      <c r="AG2423" s="1"/>
      <c r="AH2423" s="1"/>
    </row>
    <row r="2424" spans="1:34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  <c r="AB2424" s="1"/>
      <c r="AC2424" s="1"/>
      <c r="AD2424" s="1"/>
      <c r="AE2424" s="1"/>
      <c r="AF2424" s="1"/>
      <c r="AG2424" s="1"/>
      <c r="AH2424" s="1"/>
    </row>
    <row r="2425" spans="1:34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  <c r="AB2425" s="1"/>
      <c r="AC2425" s="1"/>
      <c r="AD2425" s="1"/>
      <c r="AE2425" s="1"/>
      <c r="AF2425" s="1"/>
      <c r="AG2425" s="1"/>
      <c r="AH2425" s="1"/>
    </row>
    <row r="2426" spans="1:34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  <c r="AB2426" s="1"/>
      <c r="AC2426" s="1"/>
      <c r="AD2426" s="1"/>
      <c r="AE2426" s="1"/>
      <c r="AF2426" s="1"/>
      <c r="AG2426" s="1"/>
      <c r="AH2426" s="1"/>
    </row>
    <row r="2427" spans="1:34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  <c r="AB2427" s="1"/>
      <c r="AC2427" s="1"/>
      <c r="AD2427" s="1"/>
      <c r="AE2427" s="1"/>
      <c r="AF2427" s="1"/>
      <c r="AG2427" s="1"/>
      <c r="AH2427" s="1"/>
    </row>
    <row r="2428" spans="1:34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  <c r="AB2428" s="1"/>
      <c r="AC2428" s="1"/>
      <c r="AD2428" s="1"/>
      <c r="AE2428" s="1"/>
      <c r="AF2428" s="1"/>
      <c r="AG2428" s="1"/>
      <c r="AH2428" s="1"/>
    </row>
    <row r="2429" spans="1:34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  <c r="AB2429" s="1"/>
      <c r="AC2429" s="1"/>
      <c r="AD2429" s="1"/>
      <c r="AE2429" s="1"/>
      <c r="AF2429" s="1"/>
      <c r="AG2429" s="1"/>
      <c r="AH2429" s="1"/>
    </row>
    <row r="2430" spans="1:34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  <c r="AB2430" s="1"/>
      <c r="AC2430" s="1"/>
      <c r="AD2430" s="1"/>
      <c r="AE2430" s="1"/>
      <c r="AF2430" s="1"/>
      <c r="AG2430" s="1"/>
      <c r="AH2430" s="1"/>
    </row>
    <row r="2431" spans="1:34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  <c r="AB2431" s="1"/>
      <c r="AC2431" s="1"/>
      <c r="AD2431" s="1"/>
      <c r="AE2431" s="1"/>
      <c r="AF2431" s="1"/>
      <c r="AG2431" s="1"/>
      <c r="AH2431" s="1"/>
    </row>
    <row r="2432" spans="1:34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  <c r="AB2432" s="1"/>
      <c r="AC2432" s="1"/>
      <c r="AD2432" s="1"/>
      <c r="AE2432" s="1"/>
      <c r="AF2432" s="1"/>
      <c r="AG2432" s="1"/>
      <c r="AH2432" s="1"/>
    </row>
    <row r="2433" spans="1:34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  <c r="AB2433" s="1"/>
      <c r="AC2433" s="1"/>
      <c r="AD2433" s="1"/>
      <c r="AE2433" s="1"/>
      <c r="AF2433" s="1"/>
      <c r="AG2433" s="1"/>
      <c r="AH2433" s="1"/>
    </row>
    <row r="2434" spans="1:34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  <c r="AB2434" s="1"/>
      <c r="AC2434" s="1"/>
      <c r="AD2434" s="1"/>
      <c r="AE2434" s="1"/>
      <c r="AF2434" s="1"/>
      <c r="AG2434" s="1"/>
      <c r="AH2434" s="1"/>
    </row>
    <row r="2435" spans="1:34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  <c r="AB2435" s="1"/>
      <c r="AC2435" s="1"/>
      <c r="AD2435" s="1"/>
      <c r="AE2435" s="1"/>
      <c r="AF2435" s="1"/>
      <c r="AG2435" s="1"/>
      <c r="AH2435" s="1"/>
    </row>
    <row r="2436" spans="1:34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  <c r="AB2436" s="1"/>
      <c r="AC2436" s="1"/>
      <c r="AD2436" s="1"/>
      <c r="AE2436" s="1"/>
      <c r="AF2436" s="1"/>
      <c r="AG2436" s="1"/>
      <c r="AH2436" s="1"/>
    </row>
    <row r="2437" spans="1:34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  <c r="AB2437" s="1"/>
      <c r="AC2437" s="1"/>
      <c r="AD2437" s="1"/>
      <c r="AE2437" s="1"/>
      <c r="AF2437" s="1"/>
      <c r="AG2437" s="1"/>
      <c r="AH2437" s="1"/>
    </row>
    <row r="2438" spans="1:34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  <c r="AB2438" s="1"/>
      <c r="AC2438" s="1"/>
      <c r="AD2438" s="1"/>
      <c r="AE2438" s="1"/>
      <c r="AF2438" s="1"/>
      <c r="AG2438" s="1"/>
      <c r="AH2438" s="1"/>
    </row>
    <row r="2439" spans="1:34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  <c r="AB2439" s="1"/>
      <c r="AC2439" s="1"/>
      <c r="AD2439" s="1"/>
      <c r="AE2439" s="1"/>
      <c r="AF2439" s="1"/>
      <c r="AG2439" s="1"/>
      <c r="AH2439" s="1"/>
    </row>
    <row r="2440" spans="1:34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  <c r="AB2440" s="1"/>
      <c r="AC2440" s="1"/>
      <c r="AD2440" s="1"/>
      <c r="AE2440" s="1"/>
      <c r="AF2440" s="1"/>
      <c r="AG2440" s="1"/>
      <c r="AH2440" s="1"/>
    </row>
    <row r="2441" spans="1:34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  <c r="AB2441" s="1"/>
      <c r="AC2441" s="1"/>
      <c r="AD2441" s="1"/>
      <c r="AE2441" s="1"/>
      <c r="AF2441" s="1"/>
      <c r="AG2441" s="1"/>
      <c r="AH2441" s="1"/>
    </row>
    <row r="2442" spans="1:34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  <c r="AB2442" s="1"/>
      <c r="AC2442" s="1"/>
      <c r="AD2442" s="1"/>
      <c r="AE2442" s="1"/>
      <c r="AF2442" s="1"/>
      <c r="AG2442" s="1"/>
      <c r="AH2442" s="1"/>
    </row>
    <row r="2443" spans="1:34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  <c r="AB2443" s="1"/>
      <c r="AC2443" s="1"/>
      <c r="AD2443" s="1"/>
      <c r="AE2443" s="1"/>
      <c r="AF2443" s="1"/>
      <c r="AG2443" s="1"/>
      <c r="AH2443" s="1"/>
    </row>
    <row r="2444" spans="1:34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  <c r="AB2444" s="1"/>
      <c r="AC2444" s="1"/>
      <c r="AD2444" s="1"/>
      <c r="AE2444" s="1"/>
      <c r="AF2444" s="1"/>
      <c r="AG2444" s="1"/>
      <c r="AH2444" s="1"/>
    </row>
    <row r="2445" spans="1:34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  <c r="AB2445" s="1"/>
      <c r="AC2445" s="1"/>
      <c r="AD2445" s="1"/>
      <c r="AE2445" s="1"/>
      <c r="AF2445" s="1"/>
      <c r="AG2445" s="1"/>
      <c r="AH2445" s="1"/>
    </row>
    <row r="2446" spans="1:34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  <c r="AB2446" s="1"/>
      <c r="AC2446" s="1"/>
      <c r="AD2446" s="1"/>
      <c r="AE2446" s="1"/>
      <c r="AF2446" s="1"/>
      <c r="AG2446" s="1"/>
      <c r="AH2446" s="1"/>
    </row>
    <row r="2447" spans="1:34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  <c r="AB2447" s="1"/>
      <c r="AC2447" s="1"/>
      <c r="AD2447" s="1"/>
      <c r="AE2447" s="1"/>
      <c r="AF2447" s="1"/>
      <c r="AG2447" s="1"/>
      <c r="AH2447" s="1"/>
    </row>
    <row r="2448" spans="1:34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  <c r="AB2448" s="1"/>
      <c r="AC2448" s="1"/>
      <c r="AD2448" s="1"/>
      <c r="AE2448" s="1"/>
      <c r="AF2448" s="1"/>
      <c r="AG2448" s="1"/>
      <c r="AH2448" s="1"/>
    </row>
    <row r="2449" spans="1:34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  <c r="AB2449" s="1"/>
      <c r="AC2449" s="1"/>
      <c r="AD2449" s="1"/>
      <c r="AE2449" s="1"/>
      <c r="AF2449" s="1"/>
      <c r="AG2449" s="1"/>
      <c r="AH2449" s="1"/>
    </row>
    <row r="2450" spans="1:34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  <c r="AB2450" s="1"/>
      <c r="AC2450" s="1"/>
      <c r="AD2450" s="1"/>
      <c r="AE2450" s="1"/>
      <c r="AF2450" s="1"/>
      <c r="AG2450" s="1"/>
      <c r="AH2450" s="1"/>
    </row>
    <row r="2451" spans="1:34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  <c r="AB2451" s="1"/>
      <c r="AC2451" s="1"/>
      <c r="AD2451" s="1"/>
      <c r="AE2451" s="1"/>
      <c r="AF2451" s="1"/>
      <c r="AG2451" s="1"/>
      <c r="AH2451" s="1"/>
    </row>
    <row r="2452" spans="1:34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  <c r="AB2452" s="1"/>
      <c r="AC2452" s="1"/>
      <c r="AD2452" s="1"/>
      <c r="AE2452" s="1"/>
      <c r="AF2452" s="1"/>
      <c r="AG2452" s="1"/>
      <c r="AH2452" s="1"/>
    </row>
    <row r="2453" spans="1:34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  <c r="AB2453" s="1"/>
      <c r="AC2453" s="1"/>
      <c r="AD2453" s="1"/>
      <c r="AE2453" s="1"/>
      <c r="AF2453" s="1"/>
      <c r="AG2453" s="1"/>
      <c r="AH2453" s="1"/>
    </row>
    <row r="2454" spans="1:34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  <c r="AB2454" s="1"/>
      <c r="AC2454" s="1"/>
      <c r="AD2454" s="1"/>
      <c r="AE2454" s="1"/>
      <c r="AF2454" s="1"/>
      <c r="AG2454" s="1"/>
      <c r="AH2454" s="1"/>
    </row>
    <row r="2455" spans="1:34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  <c r="AB2455" s="1"/>
      <c r="AC2455" s="1"/>
      <c r="AD2455" s="1"/>
      <c r="AE2455" s="1"/>
      <c r="AF2455" s="1"/>
      <c r="AG2455" s="1"/>
      <c r="AH2455" s="1"/>
    </row>
    <row r="2456" spans="1:34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  <c r="AB2456" s="1"/>
      <c r="AC2456" s="1"/>
      <c r="AD2456" s="1"/>
      <c r="AE2456" s="1"/>
      <c r="AF2456" s="1"/>
      <c r="AG2456" s="1"/>
      <c r="AH2456" s="1"/>
    </row>
    <row r="2457" spans="1:34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  <c r="AB2457" s="1"/>
      <c r="AC2457" s="1"/>
      <c r="AD2457" s="1"/>
      <c r="AE2457" s="1"/>
      <c r="AF2457" s="1"/>
      <c r="AG2457" s="1"/>
      <c r="AH2457" s="1"/>
    </row>
    <row r="2458" spans="1:34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  <c r="AB2458" s="1"/>
      <c r="AC2458" s="1"/>
      <c r="AD2458" s="1"/>
      <c r="AE2458" s="1"/>
      <c r="AF2458" s="1"/>
      <c r="AG2458" s="1"/>
      <c r="AH2458" s="1"/>
    </row>
    <row r="2459" spans="1:34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  <c r="AB2459" s="1"/>
      <c r="AC2459" s="1"/>
      <c r="AD2459" s="1"/>
      <c r="AE2459" s="1"/>
      <c r="AF2459" s="1"/>
      <c r="AG2459" s="1"/>
      <c r="AH2459" s="1"/>
    </row>
    <row r="2460" spans="1:34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  <c r="AB2460" s="1"/>
      <c r="AC2460" s="1"/>
      <c r="AD2460" s="1"/>
      <c r="AE2460" s="1"/>
      <c r="AF2460" s="1"/>
      <c r="AG2460" s="1"/>
      <c r="AH2460" s="1"/>
    </row>
    <row r="2461" spans="1:34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  <c r="AB2461" s="1"/>
      <c r="AC2461" s="1"/>
      <c r="AD2461" s="1"/>
      <c r="AE2461" s="1"/>
      <c r="AF2461" s="1"/>
      <c r="AG2461" s="1"/>
      <c r="AH2461" s="1"/>
    </row>
    <row r="2462" spans="1:34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  <c r="AB2462" s="1"/>
      <c r="AC2462" s="1"/>
      <c r="AD2462" s="1"/>
      <c r="AE2462" s="1"/>
      <c r="AF2462" s="1"/>
      <c r="AG2462" s="1"/>
      <c r="AH2462" s="1"/>
    </row>
    <row r="2463" spans="1:34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  <c r="AB2463" s="1"/>
      <c r="AC2463" s="1"/>
      <c r="AD2463" s="1"/>
      <c r="AE2463" s="1"/>
      <c r="AF2463" s="1"/>
      <c r="AG2463" s="1"/>
      <c r="AH2463" s="1"/>
    </row>
    <row r="2464" spans="1:34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  <c r="AB2464" s="1"/>
      <c r="AC2464" s="1"/>
      <c r="AD2464" s="1"/>
      <c r="AE2464" s="1"/>
      <c r="AF2464" s="1"/>
      <c r="AG2464" s="1"/>
      <c r="AH2464" s="1"/>
    </row>
    <row r="2465" spans="1:34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  <c r="AB2465" s="1"/>
      <c r="AC2465" s="1"/>
      <c r="AD2465" s="1"/>
      <c r="AE2465" s="1"/>
      <c r="AF2465" s="1"/>
      <c r="AG2465" s="1"/>
      <c r="AH2465" s="1"/>
    </row>
    <row r="2466" spans="1:34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  <c r="AB2466" s="1"/>
      <c r="AC2466" s="1"/>
      <c r="AD2466" s="1"/>
      <c r="AE2466" s="1"/>
      <c r="AF2466" s="1"/>
      <c r="AG2466" s="1"/>
      <c r="AH2466" s="1"/>
    </row>
    <row r="2467" spans="1:34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  <c r="AB2467" s="1"/>
      <c r="AC2467" s="1"/>
      <c r="AD2467" s="1"/>
      <c r="AE2467" s="1"/>
      <c r="AF2467" s="1"/>
      <c r="AG2467" s="1"/>
      <c r="AH2467" s="1"/>
    </row>
    <row r="2468" spans="1:34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  <c r="AB2468" s="1"/>
      <c r="AC2468" s="1"/>
      <c r="AD2468" s="1"/>
      <c r="AE2468" s="1"/>
      <c r="AF2468" s="1"/>
      <c r="AG2468" s="1"/>
      <c r="AH2468" s="1"/>
    </row>
    <row r="2469" spans="1:34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  <c r="AB2469" s="1"/>
      <c r="AC2469" s="1"/>
      <c r="AD2469" s="1"/>
      <c r="AE2469" s="1"/>
      <c r="AF2469" s="1"/>
      <c r="AG2469" s="1"/>
      <c r="AH2469" s="1"/>
    </row>
    <row r="2470" spans="1:34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  <c r="AB2470" s="1"/>
      <c r="AC2470" s="1"/>
      <c r="AD2470" s="1"/>
      <c r="AE2470" s="1"/>
      <c r="AF2470" s="1"/>
      <c r="AG2470" s="1"/>
      <c r="AH2470" s="1"/>
    </row>
    <row r="2471" spans="1:34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  <c r="AB2471" s="1"/>
      <c r="AC2471" s="1"/>
      <c r="AD2471" s="1"/>
      <c r="AE2471" s="1"/>
      <c r="AF2471" s="1"/>
      <c r="AG2471" s="1"/>
      <c r="AH2471" s="1"/>
    </row>
    <row r="2472" spans="1:34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  <c r="AB2472" s="1"/>
      <c r="AC2472" s="1"/>
      <c r="AD2472" s="1"/>
      <c r="AE2472" s="1"/>
      <c r="AF2472" s="1"/>
      <c r="AG2472" s="1"/>
      <c r="AH2472" s="1"/>
    </row>
    <row r="2473" spans="1:34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  <c r="AB2473" s="1"/>
      <c r="AC2473" s="1"/>
      <c r="AD2473" s="1"/>
      <c r="AE2473" s="1"/>
      <c r="AF2473" s="1"/>
      <c r="AG2473" s="1"/>
      <c r="AH2473" s="1"/>
    </row>
    <row r="2474" spans="1:34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  <c r="AB2474" s="1"/>
      <c r="AC2474" s="1"/>
      <c r="AD2474" s="1"/>
      <c r="AE2474" s="1"/>
      <c r="AF2474" s="1"/>
      <c r="AG2474" s="1"/>
      <c r="AH2474" s="1"/>
    </row>
    <row r="2475" spans="1:34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  <c r="AB2475" s="1"/>
      <c r="AC2475" s="1"/>
      <c r="AD2475" s="1"/>
      <c r="AE2475" s="1"/>
      <c r="AF2475" s="1"/>
      <c r="AG2475" s="1"/>
      <c r="AH2475" s="1"/>
    </row>
    <row r="2476" spans="1:34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  <c r="AB2476" s="1"/>
      <c r="AC2476" s="1"/>
      <c r="AD2476" s="1"/>
      <c r="AE2476" s="1"/>
      <c r="AF2476" s="1"/>
      <c r="AG2476" s="1"/>
      <c r="AH2476" s="1"/>
    </row>
    <row r="2477" spans="1:34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  <c r="AB2477" s="1"/>
      <c r="AC2477" s="1"/>
      <c r="AD2477" s="1"/>
      <c r="AE2477" s="1"/>
      <c r="AF2477" s="1"/>
      <c r="AG2477" s="1"/>
      <c r="AH2477" s="1"/>
    </row>
    <row r="2478" spans="1:34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  <c r="AB2478" s="1"/>
      <c r="AC2478" s="1"/>
      <c r="AD2478" s="1"/>
      <c r="AE2478" s="1"/>
      <c r="AF2478" s="1"/>
      <c r="AG2478" s="1"/>
      <c r="AH2478" s="1"/>
    </row>
    <row r="2479" spans="1:34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  <c r="AB2479" s="1"/>
      <c r="AC2479" s="1"/>
      <c r="AD2479" s="1"/>
      <c r="AE2479" s="1"/>
      <c r="AF2479" s="1"/>
      <c r="AG2479" s="1"/>
      <c r="AH2479" s="1"/>
    </row>
    <row r="2480" spans="1:34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  <c r="AB2480" s="1"/>
      <c r="AC2480" s="1"/>
      <c r="AD2480" s="1"/>
      <c r="AE2480" s="1"/>
      <c r="AF2480" s="1"/>
      <c r="AG2480" s="1"/>
      <c r="AH2480" s="1"/>
    </row>
    <row r="2481" spans="1:34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  <c r="AB2481" s="1"/>
      <c r="AC2481" s="1"/>
      <c r="AD2481" s="1"/>
      <c r="AE2481" s="1"/>
      <c r="AF2481" s="1"/>
      <c r="AG2481" s="1"/>
      <c r="AH2481" s="1"/>
    </row>
    <row r="2482" spans="1:34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  <c r="AB2482" s="1"/>
      <c r="AC2482" s="1"/>
      <c r="AD2482" s="1"/>
      <c r="AE2482" s="1"/>
      <c r="AF2482" s="1"/>
      <c r="AG2482" s="1"/>
      <c r="AH2482" s="1"/>
    </row>
    <row r="2483" spans="1:34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  <c r="AB2483" s="1"/>
      <c r="AC2483" s="1"/>
      <c r="AD2483" s="1"/>
      <c r="AE2483" s="1"/>
      <c r="AF2483" s="1"/>
      <c r="AG2483" s="1"/>
      <c r="AH2483" s="1"/>
    </row>
    <row r="2484" spans="1:34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  <c r="AB2484" s="1"/>
      <c r="AC2484" s="1"/>
      <c r="AD2484" s="1"/>
      <c r="AE2484" s="1"/>
      <c r="AF2484" s="1"/>
      <c r="AG2484" s="1"/>
      <c r="AH2484" s="1"/>
    </row>
    <row r="2485" spans="1:34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  <c r="AB2485" s="1"/>
      <c r="AC2485" s="1"/>
      <c r="AD2485" s="1"/>
      <c r="AE2485" s="1"/>
      <c r="AF2485" s="1"/>
      <c r="AG2485" s="1"/>
      <c r="AH2485" s="1"/>
    </row>
    <row r="2486" spans="1:34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  <c r="AB2486" s="1"/>
      <c r="AC2486" s="1"/>
      <c r="AD2486" s="1"/>
      <c r="AE2486" s="1"/>
      <c r="AF2486" s="1"/>
      <c r="AG2486" s="1"/>
      <c r="AH2486" s="1"/>
    </row>
    <row r="2487" spans="1:34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  <c r="AB2487" s="1"/>
      <c r="AC2487" s="1"/>
      <c r="AD2487" s="1"/>
      <c r="AE2487" s="1"/>
      <c r="AF2487" s="1"/>
      <c r="AG2487" s="1"/>
      <c r="AH2487" s="1"/>
    </row>
    <row r="2488" spans="1:34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  <c r="AB2488" s="1"/>
      <c r="AC2488" s="1"/>
      <c r="AD2488" s="1"/>
      <c r="AE2488" s="1"/>
      <c r="AF2488" s="1"/>
      <c r="AG2488" s="1"/>
      <c r="AH2488" s="1"/>
    </row>
    <row r="2489" spans="1:34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  <c r="AB2489" s="1"/>
      <c r="AC2489" s="1"/>
      <c r="AD2489" s="1"/>
      <c r="AE2489" s="1"/>
      <c r="AF2489" s="1"/>
      <c r="AG2489" s="1"/>
      <c r="AH2489" s="1"/>
    </row>
    <row r="2490" spans="1:34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  <c r="AB2490" s="1"/>
      <c r="AC2490" s="1"/>
      <c r="AD2490" s="1"/>
      <c r="AE2490" s="1"/>
      <c r="AF2490" s="1"/>
      <c r="AG2490" s="1"/>
      <c r="AH2490" s="1"/>
    </row>
    <row r="2491" spans="1:34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  <c r="AB2491" s="1"/>
      <c r="AC2491" s="1"/>
      <c r="AD2491" s="1"/>
      <c r="AE2491" s="1"/>
      <c r="AF2491" s="1"/>
      <c r="AG2491" s="1"/>
      <c r="AH2491" s="1"/>
    </row>
    <row r="2492" spans="1:34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  <c r="AB2492" s="1"/>
      <c r="AC2492" s="1"/>
      <c r="AD2492" s="1"/>
      <c r="AE2492" s="1"/>
      <c r="AF2492" s="1"/>
      <c r="AG2492" s="1"/>
      <c r="AH2492" s="1"/>
    </row>
    <row r="2493" spans="1:34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  <c r="AB2493" s="1"/>
      <c r="AC2493" s="1"/>
      <c r="AD2493" s="1"/>
      <c r="AE2493" s="1"/>
      <c r="AF2493" s="1"/>
      <c r="AG2493" s="1"/>
      <c r="AH2493" s="1"/>
    </row>
    <row r="2494" spans="1:34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  <c r="AB2494" s="1"/>
      <c r="AC2494" s="1"/>
      <c r="AD2494" s="1"/>
      <c r="AE2494" s="1"/>
      <c r="AF2494" s="1"/>
      <c r="AG2494" s="1"/>
      <c r="AH2494" s="1"/>
    </row>
    <row r="2495" spans="1:34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  <c r="AB2495" s="1"/>
      <c r="AC2495" s="1"/>
      <c r="AD2495" s="1"/>
      <c r="AE2495" s="1"/>
      <c r="AF2495" s="1"/>
      <c r="AG2495" s="1"/>
      <c r="AH2495" s="1"/>
    </row>
    <row r="2496" spans="1:34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  <c r="AB2496" s="1"/>
      <c r="AC2496" s="1"/>
      <c r="AD2496" s="1"/>
      <c r="AE2496" s="1"/>
      <c r="AF2496" s="1"/>
      <c r="AG2496" s="1"/>
      <c r="AH2496" s="1"/>
    </row>
    <row r="2497" spans="1:34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  <c r="AB2497" s="1"/>
      <c r="AC2497" s="1"/>
      <c r="AD2497" s="1"/>
      <c r="AE2497" s="1"/>
      <c r="AF2497" s="1"/>
      <c r="AG2497" s="1"/>
      <c r="AH2497" s="1"/>
    </row>
    <row r="2498" spans="1:34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  <c r="AB2498" s="1"/>
      <c r="AC2498" s="1"/>
      <c r="AD2498" s="1"/>
      <c r="AE2498" s="1"/>
      <c r="AF2498" s="1"/>
      <c r="AG2498" s="1"/>
      <c r="AH2498" s="1"/>
    </row>
    <row r="2499" spans="1:34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  <c r="AB2499" s="1"/>
      <c r="AC2499" s="1"/>
      <c r="AD2499" s="1"/>
      <c r="AE2499" s="1"/>
      <c r="AF2499" s="1"/>
      <c r="AG2499" s="1"/>
      <c r="AH2499" s="1"/>
    </row>
    <row r="2500" spans="1:34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  <c r="AB2500" s="1"/>
      <c r="AC2500" s="1"/>
      <c r="AD2500" s="1"/>
      <c r="AE2500" s="1"/>
      <c r="AF2500" s="1"/>
      <c r="AG2500" s="1"/>
      <c r="AH2500" s="1"/>
    </row>
    <row r="2501" spans="1:34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  <c r="AB2501" s="1"/>
      <c r="AC2501" s="1"/>
      <c r="AD2501" s="1"/>
      <c r="AE2501" s="1"/>
      <c r="AF2501" s="1"/>
      <c r="AG2501" s="1"/>
      <c r="AH2501" s="1"/>
    </row>
    <row r="2502" spans="1:34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  <c r="AB2502" s="1"/>
      <c r="AC2502" s="1"/>
      <c r="AD2502" s="1"/>
      <c r="AE2502" s="1"/>
      <c r="AF2502" s="1"/>
      <c r="AG2502" s="1"/>
      <c r="AH2502" s="1"/>
    </row>
    <row r="2503" spans="1:34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  <c r="AB2503" s="1"/>
      <c r="AC2503" s="1"/>
      <c r="AD2503" s="1"/>
      <c r="AE2503" s="1"/>
      <c r="AF2503" s="1"/>
      <c r="AG2503" s="1"/>
      <c r="AH2503" s="1"/>
    </row>
    <row r="2504" spans="1:34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  <c r="AB2504" s="1"/>
      <c r="AC2504" s="1"/>
      <c r="AD2504" s="1"/>
      <c r="AE2504" s="1"/>
      <c r="AF2504" s="1"/>
      <c r="AG2504" s="1"/>
      <c r="AH2504" s="1"/>
    </row>
    <row r="2505" spans="1:34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  <c r="AB2505" s="1"/>
      <c r="AC2505" s="1"/>
      <c r="AD2505" s="1"/>
      <c r="AE2505" s="1"/>
      <c r="AF2505" s="1"/>
      <c r="AG2505" s="1"/>
      <c r="AH2505" s="1"/>
    </row>
    <row r="2506" spans="1:34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  <c r="AB2506" s="1"/>
      <c r="AC2506" s="1"/>
      <c r="AD2506" s="1"/>
      <c r="AE2506" s="1"/>
      <c r="AF2506" s="1"/>
      <c r="AG2506" s="1"/>
      <c r="AH2506" s="1"/>
    </row>
    <row r="2507" spans="1:34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  <c r="AB2507" s="1"/>
      <c r="AC2507" s="1"/>
      <c r="AD2507" s="1"/>
      <c r="AE2507" s="1"/>
      <c r="AF2507" s="1"/>
      <c r="AG2507" s="1"/>
      <c r="AH2507" s="1"/>
    </row>
    <row r="2508" spans="1:34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  <c r="AB2508" s="1"/>
      <c r="AC2508" s="1"/>
      <c r="AD2508" s="1"/>
      <c r="AE2508" s="1"/>
      <c r="AF2508" s="1"/>
      <c r="AG2508" s="1"/>
      <c r="AH2508" s="1"/>
    </row>
    <row r="2509" spans="1:34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  <c r="AB2509" s="1"/>
      <c r="AC2509" s="1"/>
      <c r="AD2509" s="1"/>
      <c r="AE2509" s="1"/>
      <c r="AF2509" s="1"/>
      <c r="AG2509" s="1"/>
      <c r="AH2509" s="1"/>
    </row>
    <row r="2510" spans="1:34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  <c r="AB2510" s="1"/>
      <c r="AC2510" s="1"/>
      <c r="AD2510" s="1"/>
      <c r="AE2510" s="1"/>
      <c r="AF2510" s="1"/>
      <c r="AG2510" s="1"/>
      <c r="AH2510" s="1"/>
    </row>
    <row r="2511" spans="1:34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  <c r="AB2511" s="1"/>
      <c r="AC2511" s="1"/>
      <c r="AD2511" s="1"/>
      <c r="AE2511" s="1"/>
      <c r="AF2511" s="1"/>
      <c r="AG2511" s="1"/>
      <c r="AH2511" s="1"/>
    </row>
    <row r="2512" spans="1:34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  <c r="AB2512" s="1"/>
      <c r="AC2512" s="1"/>
      <c r="AD2512" s="1"/>
      <c r="AE2512" s="1"/>
      <c r="AF2512" s="1"/>
      <c r="AG2512" s="1"/>
      <c r="AH2512" s="1"/>
    </row>
    <row r="2513" spans="1:34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  <c r="AB2513" s="1"/>
      <c r="AC2513" s="1"/>
      <c r="AD2513" s="1"/>
      <c r="AE2513" s="1"/>
      <c r="AF2513" s="1"/>
      <c r="AG2513" s="1"/>
      <c r="AH2513" s="1"/>
    </row>
    <row r="2514" spans="1:34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  <c r="AB2514" s="1"/>
      <c r="AC2514" s="1"/>
      <c r="AD2514" s="1"/>
      <c r="AE2514" s="1"/>
      <c r="AF2514" s="1"/>
      <c r="AG2514" s="1"/>
      <c r="AH2514" s="1"/>
    </row>
    <row r="2515" spans="1:34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  <c r="AB2515" s="1"/>
      <c r="AC2515" s="1"/>
      <c r="AD2515" s="1"/>
      <c r="AE2515" s="1"/>
      <c r="AF2515" s="1"/>
      <c r="AG2515" s="1"/>
      <c r="AH2515" s="1"/>
    </row>
    <row r="2516" spans="1:34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  <c r="AB2516" s="1"/>
      <c r="AC2516" s="1"/>
      <c r="AD2516" s="1"/>
      <c r="AE2516" s="1"/>
      <c r="AF2516" s="1"/>
      <c r="AG2516" s="1"/>
      <c r="AH2516" s="1"/>
    </row>
    <row r="2517" spans="1:34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  <c r="AB2517" s="1"/>
      <c r="AC2517" s="1"/>
      <c r="AD2517" s="1"/>
      <c r="AE2517" s="1"/>
      <c r="AF2517" s="1"/>
      <c r="AG2517" s="1"/>
      <c r="AH2517" s="1"/>
    </row>
    <row r="2518" spans="1:34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  <c r="AB2518" s="1"/>
      <c r="AC2518" s="1"/>
      <c r="AD2518" s="1"/>
      <c r="AE2518" s="1"/>
      <c r="AF2518" s="1"/>
      <c r="AG2518" s="1"/>
      <c r="AH2518" s="1"/>
    </row>
    <row r="2519" spans="1:34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  <c r="AB2519" s="1"/>
      <c r="AC2519" s="1"/>
      <c r="AD2519" s="1"/>
      <c r="AE2519" s="1"/>
      <c r="AF2519" s="1"/>
      <c r="AG2519" s="1"/>
      <c r="AH2519" s="1"/>
    </row>
    <row r="2520" spans="1:34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  <c r="AB2520" s="1"/>
      <c r="AC2520" s="1"/>
      <c r="AD2520" s="1"/>
      <c r="AE2520" s="1"/>
      <c r="AF2520" s="1"/>
      <c r="AG2520" s="1"/>
      <c r="AH2520" s="1"/>
    </row>
    <row r="2521" spans="1:34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  <c r="AB2521" s="1"/>
      <c r="AC2521" s="1"/>
      <c r="AD2521" s="1"/>
      <c r="AE2521" s="1"/>
      <c r="AF2521" s="1"/>
      <c r="AG2521" s="1"/>
      <c r="AH2521" s="1"/>
    </row>
    <row r="2522" spans="1:34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  <c r="AB2522" s="1"/>
      <c r="AC2522" s="1"/>
      <c r="AD2522" s="1"/>
      <c r="AE2522" s="1"/>
      <c r="AF2522" s="1"/>
      <c r="AG2522" s="1"/>
      <c r="AH2522" s="1"/>
    </row>
    <row r="2523" spans="1:34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  <c r="AB2523" s="1"/>
      <c r="AC2523" s="1"/>
      <c r="AD2523" s="1"/>
      <c r="AE2523" s="1"/>
      <c r="AF2523" s="1"/>
      <c r="AG2523" s="1"/>
      <c r="AH2523" s="1"/>
    </row>
    <row r="2524" spans="1:34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  <c r="AB2524" s="1"/>
      <c r="AC2524" s="1"/>
      <c r="AD2524" s="1"/>
      <c r="AE2524" s="1"/>
      <c r="AF2524" s="1"/>
      <c r="AG2524" s="1"/>
      <c r="AH2524" s="1"/>
    </row>
    <row r="2525" spans="1:34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  <c r="AB2525" s="1"/>
      <c r="AC2525" s="1"/>
      <c r="AD2525" s="1"/>
      <c r="AE2525" s="1"/>
      <c r="AF2525" s="1"/>
      <c r="AG2525" s="1"/>
      <c r="AH2525" s="1"/>
    </row>
    <row r="2526" spans="1:34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  <c r="AB2526" s="1"/>
      <c r="AC2526" s="1"/>
      <c r="AD2526" s="1"/>
      <c r="AE2526" s="1"/>
      <c r="AF2526" s="1"/>
      <c r="AG2526" s="1"/>
      <c r="AH2526" s="1"/>
    </row>
    <row r="2527" spans="1:34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  <c r="AB2527" s="1"/>
      <c r="AC2527" s="1"/>
      <c r="AD2527" s="1"/>
      <c r="AE2527" s="1"/>
      <c r="AF2527" s="1"/>
      <c r="AG2527" s="1"/>
      <c r="AH2527" s="1"/>
    </row>
    <row r="2528" spans="1:34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  <c r="AB2528" s="1"/>
      <c r="AC2528" s="1"/>
      <c r="AD2528" s="1"/>
      <c r="AE2528" s="1"/>
      <c r="AF2528" s="1"/>
      <c r="AG2528" s="1"/>
      <c r="AH2528" s="1"/>
    </row>
    <row r="2529" spans="1:34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  <c r="AB2529" s="1"/>
      <c r="AC2529" s="1"/>
      <c r="AD2529" s="1"/>
      <c r="AE2529" s="1"/>
      <c r="AF2529" s="1"/>
      <c r="AG2529" s="1"/>
      <c r="AH2529" s="1"/>
    </row>
    <row r="2530" spans="1:34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  <c r="AB2530" s="1"/>
      <c r="AC2530" s="1"/>
      <c r="AD2530" s="1"/>
      <c r="AE2530" s="1"/>
      <c r="AF2530" s="1"/>
      <c r="AG2530" s="1"/>
      <c r="AH2530" s="1"/>
    </row>
    <row r="2531" spans="1:34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  <c r="AB2531" s="1"/>
      <c r="AC2531" s="1"/>
      <c r="AD2531" s="1"/>
      <c r="AE2531" s="1"/>
      <c r="AF2531" s="1"/>
      <c r="AG2531" s="1"/>
      <c r="AH2531" s="1"/>
    </row>
    <row r="2532" spans="1:34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  <c r="AB2532" s="1"/>
      <c r="AC2532" s="1"/>
      <c r="AD2532" s="1"/>
      <c r="AE2532" s="1"/>
      <c r="AF2532" s="1"/>
      <c r="AG2532" s="1"/>
      <c r="AH2532" s="1"/>
    </row>
    <row r="2533" spans="1:34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  <c r="AB2533" s="1"/>
      <c r="AC2533" s="1"/>
      <c r="AD2533" s="1"/>
      <c r="AE2533" s="1"/>
      <c r="AF2533" s="1"/>
      <c r="AG2533" s="1"/>
      <c r="AH2533" s="1"/>
    </row>
    <row r="2534" spans="1:34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  <c r="AB2534" s="1"/>
      <c r="AC2534" s="1"/>
      <c r="AD2534" s="1"/>
      <c r="AE2534" s="1"/>
      <c r="AF2534" s="1"/>
      <c r="AG2534" s="1"/>
      <c r="AH2534" s="1"/>
    </row>
    <row r="2535" spans="1:34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  <c r="AB2535" s="1"/>
      <c r="AC2535" s="1"/>
      <c r="AD2535" s="1"/>
      <c r="AE2535" s="1"/>
      <c r="AF2535" s="1"/>
      <c r="AG2535" s="1"/>
      <c r="AH2535" s="1"/>
    </row>
    <row r="2536" spans="1:34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  <c r="AB2536" s="1"/>
      <c r="AC2536" s="1"/>
      <c r="AD2536" s="1"/>
      <c r="AE2536" s="1"/>
      <c r="AF2536" s="1"/>
      <c r="AG2536" s="1"/>
      <c r="AH2536" s="1"/>
    </row>
    <row r="2537" spans="1:34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  <c r="AB2537" s="1"/>
      <c r="AC2537" s="1"/>
      <c r="AD2537" s="1"/>
      <c r="AE2537" s="1"/>
      <c r="AF2537" s="1"/>
      <c r="AG2537" s="1"/>
      <c r="AH2537" s="1"/>
    </row>
    <row r="2538" spans="1:34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  <c r="AB2538" s="1"/>
      <c r="AC2538" s="1"/>
      <c r="AD2538" s="1"/>
      <c r="AE2538" s="1"/>
      <c r="AF2538" s="1"/>
      <c r="AG2538" s="1"/>
      <c r="AH2538" s="1"/>
    </row>
    <row r="2539" spans="1:34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  <c r="AB2539" s="1"/>
      <c r="AC2539" s="1"/>
      <c r="AD2539" s="1"/>
      <c r="AE2539" s="1"/>
      <c r="AF2539" s="1"/>
      <c r="AG2539" s="1"/>
      <c r="AH2539" s="1"/>
    </row>
    <row r="2540" spans="1:34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  <c r="AB2540" s="1"/>
      <c r="AC2540" s="1"/>
      <c r="AD2540" s="1"/>
      <c r="AE2540" s="1"/>
      <c r="AF2540" s="1"/>
      <c r="AG2540" s="1"/>
      <c r="AH2540" s="1"/>
    </row>
    <row r="2541" spans="1:34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  <c r="AB2541" s="1"/>
      <c r="AC2541" s="1"/>
      <c r="AD2541" s="1"/>
      <c r="AE2541" s="1"/>
      <c r="AF2541" s="1"/>
      <c r="AG2541" s="1"/>
      <c r="AH2541" s="1"/>
    </row>
    <row r="2542" spans="1:34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  <c r="AB2542" s="1"/>
      <c r="AC2542" s="1"/>
      <c r="AD2542" s="1"/>
      <c r="AE2542" s="1"/>
      <c r="AF2542" s="1"/>
      <c r="AG2542" s="1"/>
      <c r="AH2542" s="1"/>
    </row>
    <row r="2543" spans="1:34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  <c r="AB2543" s="1"/>
      <c r="AC2543" s="1"/>
      <c r="AD2543" s="1"/>
      <c r="AE2543" s="1"/>
      <c r="AF2543" s="1"/>
      <c r="AG2543" s="1"/>
      <c r="AH2543" s="1"/>
    </row>
    <row r="2544" spans="1:34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  <c r="AB2544" s="1"/>
      <c r="AC2544" s="1"/>
      <c r="AD2544" s="1"/>
      <c r="AE2544" s="1"/>
      <c r="AF2544" s="1"/>
      <c r="AG2544" s="1"/>
      <c r="AH2544" s="1"/>
    </row>
    <row r="2545" spans="1:34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  <c r="AB2545" s="1"/>
      <c r="AC2545" s="1"/>
      <c r="AD2545" s="1"/>
      <c r="AE2545" s="1"/>
      <c r="AF2545" s="1"/>
      <c r="AG2545" s="1"/>
      <c r="AH2545" s="1"/>
    </row>
    <row r="2546" spans="1:34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  <c r="AB2546" s="1"/>
      <c r="AC2546" s="1"/>
      <c r="AD2546" s="1"/>
      <c r="AE2546" s="1"/>
      <c r="AF2546" s="1"/>
      <c r="AG2546" s="1"/>
      <c r="AH2546" s="1"/>
    </row>
    <row r="2547" spans="1:34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  <c r="AB2547" s="1"/>
      <c r="AC2547" s="1"/>
      <c r="AD2547" s="1"/>
      <c r="AE2547" s="1"/>
      <c r="AF2547" s="1"/>
      <c r="AG2547" s="1"/>
      <c r="AH2547" s="1"/>
    </row>
    <row r="2548" spans="1:34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  <c r="AB2548" s="1"/>
      <c r="AC2548" s="1"/>
      <c r="AD2548" s="1"/>
      <c r="AE2548" s="1"/>
      <c r="AF2548" s="1"/>
      <c r="AG2548" s="1"/>
      <c r="AH2548" s="1"/>
    </row>
    <row r="2549" spans="1:34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  <c r="AB2549" s="1"/>
      <c r="AC2549" s="1"/>
      <c r="AD2549" s="1"/>
      <c r="AE2549" s="1"/>
      <c r="AF2549" s="1"/>
      <c r="AG2549" s="1"/>
      <c r="AH2549" s="1"/>
    </row>
    <row r="2550" spans="1:34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  <c r="AB2550" s="1"/>
      <c r="AC2550" s="1"/>
      <c r="AD2550" s="1"/>
      <c r="AE2550" s="1"/>
      <c r="AF2550" s="1"/>
      <c r="AG2550" s="1"/>
      <c r="AH2550" s="1"/>
    </row>
    <row r="2551" spans="1:34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  <c r="AB2551" s="1"/>
      <c r="AC2551" s="1"/>
      <c r="AD2551" s="1"/>
      <c r="AE2551" s="1"/>
      <c r="AF2551" s="1"/>
      <c r="AG2551" s="1"/>
      <c r="AH2551" s="1"/>
    </row>
    <row r="2552" spans="1:34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  <c r="AB2552" s="1"/>
      <c r="AC2552" s="1"/>
      <c r="AD2552" s="1"/>
      <c r="AE2552" s="1"/>
      <c r="AF2552" s="1"/>
      <c r="AG2552" s="1"/>
      <c r="AH2552" s="1"/>
    </row>
    <row r="2553" spans="1:34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  <c r="AB2553" s="1"/>
      <c r="AC2553" s="1"/>
      <c r="AD2553" s="1"/>
      <c r="AE2553" s="1"/>
      <c r="AF2553" s="1"/>
      <c r="AG2553" s="1"/>
      <c r="AH2553" s="1"/>
    </row>
    <row r="2554" spans="1:34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  <c r="AB2554" s="1"/>
      <c r="AC2554" s="1"/>
      <c r="AD2554" s="1"/>
      <c r="AE2554" s="1"/>
      <c r="AF2554" s="1"/>
      <c r="AG2554" s="1"/>
      <c r="AH2554" s="1"/>
    </row>
    <row r="2555" spans="1:34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  <c r="AB2555" s="1"/>
      <c r="AC2555" s="1"/>
      <c r="AD2555" s="1"/>
      <c r="AE2555" s="1"/>
      <c r="AF2555" s="1"/>
      <c r="AG2555" s="1"/>
      <c r="AH2555" s="1"/>
    </row>
    <row r="2556" spans="1:34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  <c r="AB2556" s="1"/>
      <c r="AC2556" s="1"/>
      <c r="AD2556" s="1"/>
      <c r="AE2556" s="1"/>
      <c r="AF2556" s="1"/>
      <c r="AG2556" s="1"/>
      <c r="AH2556" s="1"/>
    </row>
    <row r="2557" spans="1:34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  <c r="AB2557" s="1"/>
      <c r="AC2557" s="1"/>
      <c r="AD2557" s="1"/>
      <c r="AE2557" s="1"/>
      <c r="AF2557" s="1"/>
      <c r="AG2557" s="1"/>
      <c r="AH2557" s="1"/>
    </row>
    <row r="2558" spans="1:34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  <c r="AB2558" s="1"/>
      <c r="AC2558" s="1"/>
      <c r="AD2558" s="1"/>
      <c r="AE2558" s="1"/>
      <c r="AF2558" s="1"/>
      <c r="AG2558" s="1"/>
      <c r="AH2558" s="1"/>
    </row>
    <row r="2559" spans="1:34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  <c r="AB2559" s="1"/>
      <c r="AC2559" s="1"/>
      <c r="AD2559" s="1"/>
      <c r="AE2559" s="1"/>
      <c r="AF2559" s="1"/>
      <c r="AG2559" s="1"/>
      <c r="AH2559" s="1"/>
    </row>
    <row r="2560" spans="1:34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  <c r="AB2560" s="1"/>
      <c r="AC2560" s="1"/>
      <c r="AD2560" s="1"/>
      <c r="AE2560" s="1"/>
      <c r="AF2560" s="1"/>
      <c r="AG2560" s="1"/>
      <c r="AH2560" s="1"/>
    </row>
    <row r="2561" spans="1:34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  <c r="AB2561" s="1"/>
      <c r="AC2561" s="1"/>
      <c r="AD2561" s="1"/>
      <c r="AE2561" s="1"/>
      <c r="AF2561" s="1"/>
      <c r="AG2561" s="1"/>
      <c r="AH2561" s="1"/>
    </row>
    <row r="2562" spans="1:34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  <c r="AB2562" s="1"/>
      <c r="AC2562" s="1"/>
      <c r="AD2562" s="1"/>
      <c r="AE2562" s="1"/>
      <c r="AF2562" s="1"/>
      <c r="AG2562" s="1"/>
      <c r="AH2562" s="1"/>
    </row>
    <row r="2563" spans="1:34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  <c r="AB2563" s="1"/>
      <c r="AC2563" s="1"/>
      <c r="AD2563" s="1"/>
      <c r="AE2563" s="1"/>
      <c r="AF2563" s="1"/>
      <c r="AG2563" s="1"/>
      <c r="AH2563" s="1"/>
    </row>
    <row r="2564" spans="1:34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  <c r="AB2564" s="1"/>
      <c r="AC2564" s="1"/>
      <c r="AD2564" s="1"/>
      <c r="AE2564" s="1"/>
      <c r="AF2564" s="1"/>
      <c r="AG2564" s="1"/>
      <c r="AH2564" s="1"/>
    </row>
    <row r="2565" spans="1:34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  <c r="AB2565" s="1"/>
      <c r="AC2565" s="1"/>
      <c r="AD2565" s="1"/>
      <c r="AE2565" s="1"/>
      <c r="AF2565" s="1"/>
      <c r="AG2565" s="1"/>
      <c r="AH2565" s="1"/>
    </row>
    <row r="2566" spans="1:34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  <c r="AB2566" s="1"/>
      <c r="AC2566" s="1"/>
      <c r="AD2566" s="1"/>
      <c r="AE2566" s="1"/>
      <c r="AF2566" s="1"/>
      <c r="AG2566" s="1"/>
      <c r="AH2566" s="1"/>
    </row>
    <row r="2567" spans="1:34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  <c r="AB2567" s="1"/>
      <c r="AC2567" s="1"/>
      <c r="AD2567" s="1"/>
      <c r="AE2567" s="1"/>
      <c r="AF2567" s="1"/>
      <c r="AG2567" s="1"/>
      <c r="AH2567" s="1"/>
    </row>
    <row r="2568" spans="1:34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  <c r="AB2568" s="1"/>
      <c r="AC2568" s="1"/>
      <c r="AD2568" s="1"/>
      <c r="AE2568" s="1"/>
      <c r="AF2568" s="1"/>
      <c r="AG2568" s="1"/>
      <c r="AH2568" s="1"/>
    </row>
    <row r="2569" spans="1:34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  <c r="AB2569" s="1"/>
      <c r="AC2569" s="1"/>
      <c r="AD2569" s="1"/>
      <c r="AE2569" s="1"/>
      <c r="AF2569" s="1"/>
      <c r="AG2569" s="1"/>
      <c r="AH2569" s="1"/>
    </row>
    <row r="2570" spans="1:34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  <c r="AB2570" s="1"/>
      <c r="AC2570" s="1"/>
      <c r="AD2570" s="1"/>
      <c r="AE2570" s="1"/>
      <c r="AF2570" s="1"/>
      <c r="AG2570" s="1"/>
      <c r="AH2570" s="1"/>
    </row>
    <row r="2571" spans="1:34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  <c r="AB2571" s="1"/>
      <c r="AC2571" s="1"/>
      <c r="AD2571" s="1"/>
      <c r="AE2571" s="1"/>
      <c r="AF2571" s="1"/>
      <c r="AG2571" s="1"/>
      <c r="AH2571" s="1"/>
    </row>
    <row r="2572" spans="1:34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  <c r="AB2572" s="1"/>
      <c r="AC2572" s="1"/>
      <c r="AD2572" s="1"/>
      <c r="AE2572" s="1"/>
      <c r="AF2572" s="1"/>
      <c r="AG2572" s="1"/>
      <c r="AH2572" s="1"/>
    </row>
    <row r="2573" spans="1:34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  <c r="AB2573" s="1"/>
      <c r="AC2573" s="1"/>
      <c r="AD2573" s="1"/>
      <c r="AE2573" s="1"/>
      <c r="AF2573" s="1"/>
      <c r="AG2573" s="1"/>
      <c r="AH2573" s="1"/>
    </row>
    <row r="2574" spans="1:34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  <c r="AB2574" s="1"/>
      <c r="AC2574" s="1"/>
      <c r="AD2574" s="1"/>
      <c r="AE2574" s="1"/>
      <c r="AF2574" s="1"/>
      <c r="AG2574" s="1"/>
      <c r="AH2574" s="1"/>
    </row>
    <row r="2575" spans="1:34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  <c r="AB2575" s="1"/>
      <c r="AC2575" s="1"/>
      <c r="AD2575" s="1"/>
      <c r="AE2575" s="1"/>
      <c r="AF2575" s="1"/>
      <c r="AG2575" s="1"/>
      <c r="AH2575" s="1"/>
    </row>
    <row r="2576" spans="1:34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  <c r="AB2576" s="1"/>
      <c r="AC2576" s="1"/>
      <c r="AD2576" s="1"/>
      <c r="AE2576" s="1"/>
      <c r="AF2576" s="1"/>
      <c r="AG2576" s="1"/>
      <c r="AH2576" s="1"/>
    </row>
    <row r="2577" spans="1:34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  <c r="AB2577" s="1"/>
      <c r="AC2577" s="1"/>
      <c r="AD2577" s="1"/>
      <c r="AE2577" s="1"/>
      <c r="AF2577" s="1"/>
      <c r="AG2577" s="1"/>
      <c r="AH2577" s="1"/>
    </row>
    <row r="2578" spans="1:34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  <c r="AB2578" s="1"/>
      <c r="AC2578" s="1"/>
      <c r="AD2578" s="1"/>
      <c r="AE2578" s="1"/>
      <c r="AF2578" s="1"/>
      <c r="AG2578" s="1"/>
      <c r="AH2578" s="1"/>
    </row>
    <row r="2579" spans="1:34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  <c r="AB2579" s="1"/>
      <c r="AC2579" s="1"/>
      <c r="AD2579" s="1"/>
      <c r="AE2579" s="1"/>
      <c r="AF2579" s="1"/>
      <c r="AG2579" s="1"/>
      <c r="AH2579" s="1"/>
    </row>
    <row r="2580" spans="1:34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  <c r="AB2580" s="1"/>
      <c r="AC2580" s="1"/>
      <c r="AD2580" s="1"/>
      <c r="AE2580" s="1"/>
      <c r="AF2580" s="1"/>
      <c r="AG2580" s="1"/>
      <c r="AH2580" s="1"/>
    </row>
    <row r="2581" spans="1:34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  <c r="AB2581" s="1"/>
      <c r="AC2581" s="1"/>
      <c r="AD2581" s="1"/>
      <c r="AE2581" s="1"/>
      <c r="AF2581" s="1"/>
      <c r="AG2581" s="1"/>
      <c r="AH2581" s="1"/>
    </row>
    <row r="2582" spans="1:34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  <c r="AB2582" s="1"/>
      <c r="AC2582" s="1"/>
      <c r="AD2582" s="1"/>
      <c r="AE2582" s="1"/>
      <c r="AF2582" s="1"/>
      <c r="AG2582" s="1"/>
      <c r="AH2582" s="1"/>
    </row>
    <row r="2583" spans="1:34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  <c r="AB2583" s="1"/>
      <c r="AC2583" s="1"/>
      <c r="AD2583" s="1"/>
      <c r="AE2583" s="1"/>
      <c r="AF2583" s="1"/>
      <c r="AG2583" s="1"/>
      <c r="AH2583" s="1"/>
    </row>
    <row r="2584" spans="1:34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  <c r="AB2584" s="1"/>
      <c r="AC2584" s="1"/>
      <c r="AD2584" s="1"/>
      <c r="AE2584" s="1"/>
      <c r="AF2584" s="1"/>
      <c r="AG2584" s="1"/>
      <c r="AH2584" s="1"/>
    </row>
    <row r="2585" spans="1:34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  <c r="AB2585" s="1"/>
      <c r="AC2585" s="1"/>
      <c r="AD2585" s="1"/>
      <c r="AE2585" s="1"/>
      <c r="AF2585" s="1"/>
      <c r="AG2585" s="1"/>
      <c r="AH2585" s="1"/>
    </row>
    <row r="2586" spans="1:34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  <c r="AB2586" s="1"/>
      <c r="AC2586" s="1"/>
      <c r="AD2586" s="1"/>
      <c r="AE2586" s="1"/>
      <c r="AF2586" s="1"/>
      <c r="AG2586" s="1"/>
      <c r="AH2586" s="1"/>
    </row>
    <row r="2587" spans="1:34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  <c r="AB2587" s="1"/>
      <c r="AC2587" s="1"/>
      <c r="AD2587" s="1"/>
      <c r="AE2587" s="1"/>
      <c r="AF2587" s="1"/>
      <c r="AG2587" s="1"/>
      <c r="AH2587" s="1"/>
    </row>
    <row r="2588" spans="1:34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  <c r="AB2588" s="1"/>
      <c r="AC2588" s="1"/>
      <c r="AD2588" s="1"/>
      <c r="AE2588" s="1"/>
      <c r="AF2588" s="1"/>
      <c r="AG2588" s="1"/>
      <c r="AH2588" s="1"/>
    </row>
    <row r="2589" spans="1:34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  <c r="AB2589" s="1"/>
      <c r="AC2589" s="1"/>
      <c r="AD2589" s="1"/>
      <c r="AE2589" s="1"/>
      <c r="AF2589" s="1"/>
      <c r="AG2589" s="1"/>
      <c r="AH2589" s="1"/>
    </row>
    <row r="2590" spans="1:34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  <c r="AB2590" s="1"/>
      <c r="AC2590" s="1"/>
      <c r="AD2590" s="1"/>
      <c r="AE2590" s="1"/>
      <c r="AF2590" s="1"/>
      <c r="AG2590" s="1"/>
      <c r="AH2590" s="1"/>
    </row>
    <row r="2591" spans="1:34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  <c r="AB2591" s="1"/>
      <c r="AC2591" s="1"/>
      <c r="AD2591" s="1"/>
      <c r="AE2591" s="1"/>
      <c r="AF2591" s="1"/>
      <c r="AG2591" s="1"/>
      <c r="AH2591" s="1"/>
    </row>
    <row r="2592" spans="1:34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  <c r="AB2592" s="1"/>
      <c r="AC2592" s="1"/>
      <c r="AD2592" s="1"/>
      <c r="AE2592" s="1"/>
      <c r="AF2592" s="1"/>
      <c r="AG2592" s="1"/>
      <c r="AH2592" s="1"/>
    </row>
    <row r="2593" spans="1:34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  <c r="AB2593" s="1"/>
      <c r="AC2593" s="1"/>
      <c r="AD2593" s="1"/>
      <c r="AE2593" s="1"/>
      <c r="AF2593" s="1"/>
      <c r="AG2593" s="1"/>
      <c r="AH2593" s="1"/>
    </row>
    <row r="2594" spans="1:34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  <c r="AB2594" s="1"/>
      <c r="AC2594" s="1"/>
      <c r="AD2594" s="1"/>
      <c r="AE2594" s="1"/>
      <c r="AF2594" s="1"/>
      <c r="AG2594" s="1"/>
      <c r="AH2594" s="1"/>
    </row>
    <row r="2595" spans="1:34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  <c r="AB2595" s="1"/>
      <c r="AC2595" s="1"/>
      <c r="AD2595" s="1"/>
      <c r="AE2595" s="1"/>
      <c r="AF2595" s="1"/>
      <c r="AG2595" s="1"/>
      <c r="AH2595" s="1"/>
    </row>
    <row r="2596" spans="1:34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  <c r="AB2596" s="1"/>
      <c r="AC2596" s="1"/>
      <c r="AD2596" s="1"/>
      <c r="AE2596" s="1"/>
      <c r="AF2596" s="1"/>
      <c r="AG2596" s="1"/>
      <c r="AH2596" s="1"/>
    </row>
    <row r="2597" spans="1:34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  <c r="AB2597" s="1"/>
      <c r="AC2597" s="1"/>
      <c r="AD2597" s="1"/>
      <c r="AE2597" s="1"/>
      <c r="AF2597" s="1"/>
      <c r="AG2597" s="1"/>
      <c r="AH2597" s="1"/>
    </row>
    <row r="2598" spans="1:34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  <c r="AB2598" s="1"/>
      <c r="AC2598" s="1"/>
      <c r="AD2598" s="1"/>
      <c r="AE2598" s="1"/>
      <c r="AF2598" s="1"/>
      <c r="AG2598" s="1"/>
      <c r="AH2598" s="1"/>
    </row>
    <row r="2599" spans="1:34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  <c r="AB2599" s="1"/>
      <c r="AC2599" s="1"/>
      <c r="AD2599" s="1"/>
      <c r="AE2599" s="1"/>
      <c r="AF2599" s="1"/>
      <c r="AG2599" s="1"/>
      <c r="AH2599" s="1"/>
    </row>
    <row r="2600" spans="1:34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  <c r="AB2600" s="1"/>
      <c r="AC2600" s="1"/>
      <c r="AD2600" s="1"/>
      <c r="AE2600" s="1"/>
      <c r="AF2600" s="1"/>
      <c r="AG2600" s="1"/>
      <c r="AH2600" s="1"/>
    </row>
    <row r="2601" spans="1:34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  <c r="AB2601" s="1"/>
      <c r="AC2601" s="1"/>
      <c r="AD2601" s="1"/>
      <c r="AE2601" s="1"/>
      <c r="AF2601" s="1"/>
      <c r="AG2601" s="1"/>
      <c r="AH2601" s="1"/>
    </row>
    <row r="2602" spans="1:34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  <c r="AB2602" s="1"/>
      <c r="AC2602" s="1"/>
      <c r="AD2602" s="1"/>
      <c r="AE2602" s="1"/>
      <c r="AF2602" s="1"/>
      <c r="AG2602" s="1"/>
      <c r="AH2602" s="1"/>
    </row>
    <row r="2603" spans="1:34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  <c r="AB2603" s="1"/>
      <c r="AC2603" s="1"/>
      <c r="AD2603" s="1"/>
      <c r="AE2603" s="1"/>
      <c r="AF2603" s="1"/>
      <c r="AG2603" s="1"/>
      <c r="AH2603" s="1"/>
    </row>
    <row r="2604" spans="1:34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  <c r="AB2604" s="1"/>
      <c r="AC2604" s="1"/>
      <c r="AD2604" s="1"/>
      <c r="AE2604" s="1"/>
      <c r="AF2604" s="1"/>
      <c r="AG2604" s="1"/>
      <c r="AH2604" s="1"/>
    </row>
    <row r="2605" spans="1:34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  <c r="AB2605" s="1"/>
      <c r="AC2605" s="1"/>
      <c r="AD2605" s="1"/>
      <c r="AE2605" s="1"/>
      <c r="AF2605" s="1"/>
      <c r="AG2605" s="1"/>
      <c r="AH2605" s="1"/>
    </row>
    <row r="2606" spans="1:34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  <c r="AB2606" s="1"/>
      <c r="AC2606" s="1"/>
      <c r="AD2606" s="1"/>
      <c r="AE2606" s="1"/>
      <c r="AF2606" s="1"/>
      <c r="AG2606" s="1"/>
      <c r="AH2606" s="1"/>
    </row>
    <row r="2607" spans="1:34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  <c r="AB2607" s="1"/>
      <c r="AC2607" s="1"/>
      <c r="AD2607" s="1"/>
      <c r="AE2607" s="1"/>
      <c r="AF2607" s="1"/>
      <c r="AG2607" s="1"/>
      <c r="AH2607" s="1"/>
    </row>
    <row r="2608" spans="1:34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  <c r="AB2608" s="1"/>
      <c r="AC2608" s="1"/>
      <c r="AD2608" s="1"/>
      <c r="AE2608" s="1"/>
      <c r="AF2608" s="1"/>
      <c r="AG2608" s="1"/>
      <c r="AH2608" s="1"/>
    </row>
    <row r="2609" spans="1:34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  <c r="AB2609" s="1"/>
      <c r="AC2609" s="1"/>
      <c r="AD2609" s="1"/>
      <c r="AE2609" s="1"/>
      <c r="AF2609" s="1"/>
      <c r="AG2609" s="1"/>
      <c r="AH2609" s="1"/>
    </row>
    <row r="2610" spans="1:34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  <c r="AB2610" s="1"/>
      <c r="AC2610" s="1"/>
      <c r="AD2610" s="1"/>
      <c r="AE2610" s="1"/>
      <c r="AF2610" s="1"/>
      <c r="AG2610" s="1"/>
      <c r="AH2610" s="1"/>
    </row>
    <row r="2611" spans="1:34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  <c r="AB2611" s="1"/>
      <c r="AC2611" s="1"/>
      <c r="AD2611" s="1"/>
      <c r="AE2611" s="1"/>
      <c r="AF2611" s="1"/>
      <c r="AG2611" s="1"/>
      <c r="AH2611" s="1"/>
    </row>
    <row r="2612" spans="1:34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  <c r="AB2612" s="1"/>
      <c r="AC2612" s="1"/>
      <c r="AD2612" s="1"/>
      <c r="AE2612" s="1"/>
      <c r="AF2612" s="1"/>
      <c r="AG2612" s="1"/>
      <c r="AH2612" s="1"/>
    </row>
    <row r="2613" spans="1:34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  <c r="AB2613" s="1"/>
      <c r="AC2613" s="1"/>
      <c r="AD2613" s="1"/>
      <c r="AE2613" s="1"/>
      <c r="AF2613" s="1"/>
      <c r="AG2613" s="1"/>
      <c r="AH2613" s="1"/>
    </row>
    <row r="2614" spans="1:34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  <c r="AB2614" s="1"/>
      <c r="AC2614" s="1"/>
      <c r="AD2614" s="1"/>
      <c r="AE2614" s="1"/>
      <c r="AF2614" s="1"/>
      <c r="AG2614" s="1"/>
      <c r="AH2614" s="1"/>
    </row>
    <row r="2615" spans="1:34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  <c r="AB2615" s="1"/>
      <c r="AC2615" s="1"/>
      <c r="AD2615" s="1"/>
      <c r="AE2615" s="1"/>
      <c r="AF2615" s="1"/>
      <c r="AG2615" s="1"/>
      <c r="AH2615" s="1"/>
    </row>
    <row r="2616" spans="1:34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  <c r="AB2616" s="1"/>
      <c r="AC2616" s="1"/>
      <c r="AD2616" s="1"/>
      <c r="AE2616" s="1"/>
      <c r="AF2616" s="1"/>
      <c r="AG2616" s="1"/>
      <c r="AH2616" s="1"/>
    </row>
    <row r="2617" spans="1:34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  <c r="AB2617" s="1"/>
      <c r="AC2617" s="1"/>
      <c r="AD2617" s="1"/>
      <c r="AE2617" s="1"/>
      <c r="AF2617" s="1"/>
      <c r="AG2617" s="1"/>
      <c r="AH2617" s="1"/>
    </row>
    <row r="2618" spans="1:34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  <c r="AB2618" s="1"/>
      <c r="AC2618" s="1"/>
      <c r="AD2618" s="1"/>
      <c r="AE2618" s="1"/>
      <c r="AF2618" s="1"/>
      <c r="AG2618" s="1"/>
      <c r="AH2618" s="1"/>
    </row>
    <row r="2619" spans="1:34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  <c r="AB2619" s="1"/>
      <c r="AC2619" s="1"/>
      <c r="AD2619" s="1"/>
      <c r="AE2619" s="1"/>
      <c r="AF2619" s="1"/>
      <c r="AG2619" s="1"/>
      <c r="AH2619" s="1"/>
    </row>
    <row r="2620" spans="1:34">
      <c r="A2620" s="1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  <c r="AB2620" s="1"/>
      <c r="AC2620" s="1"/>
      <c r="AD2620" s="1"/>
      <c r="AE2620" s="1"/>
      <c r="AF2620" s="1"/>
      <c r="AG2620" s="1"/>
      <c r="AH2620" s="1"/>
    </row>
    <row r="2621" spans="1:34">
      <c r="A2621" s="1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  <c r="AB2621" s="1"/>
      <c r="AC2621" s="1"/>
      <c r="AD2621" s="1"/>
      <c r="AE2621" s="1"/>
      <c r="AF2621" s="1"/>
      <c r="AG2621" s="1"/>
      <c r="AH2621" s="1"/>
    </row>
    <row r="2622" spans="1:34">
      <c r="A2622" s="1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  <c r="AB2622" s="1"/>
      <c r="AC2622" s="1"/>
      <c r="AD2622" s="1"/>
      <c r="AE2622" s="1"/>
      <c r="AF2622" s="1"/>
      <c r="AG2622" s="1"/>
      <c r="AH2622" s="1"/>
    </row>
    <row r="2623" spans="1:34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  <c r="AB2623" s="1"/>
      <c r="AC2623" s="1"/>
      <c r="AD2623" s="1"/>
      <c r="AE2623" s="1"/>
      <c r="AF2623" s="1"/>
      <c r="AG2623" s="1"/>
      <c r="AH2623" s="1"/>
    </row>
    <row r="2624" spans="1:34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  <c r="AB2624" s="1"/>
      <c r="AC2624" s="1"/>
      <c r="AD2624" s="1"/>
      <c r="AE2624" s="1"/>
      <c r="AF2624" s="1"/>
      <c r="AG2624" s="1"/>
      <c r="AH2624" s="1"/>
    </row>
    <row r="2625" spans="1:34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  <c r="AB2625" s="1"/>
      <c r="AC2625" s="1"/>
      <c r="AD2625" s="1"/>
      <c r="AE2625" s="1"/>
      <c r="AF2625" s="1"/>
      <c r="AG2625" s="1"/>
      <c r="AH2625" s="1"/>
    </row>
    <row r="2626" spans="1:34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  <c r="AB2626" s="1"/>
      <c r="AC2626" s="1"/>
      <c r="AD2626" s="1"/>
      <c r="AE2626" s="1"/>
      <c r="AF2626" s="1"/>
      <c r="AG2626" s="1"/>
      <c r="AH2626" s="1"/>
    </row>
    <row r="2627" spans="1:34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  <c r="AB2627" s="1"/>
      <c r="AC2627" s="1"/>
      <c r="AD2627" s="1"/>
      <c r="AE2627" s="1"/>
      <c r="AF2627" s="1"/>
      <c r="AG2627" s="1"/>
      <c r="AH2627" s="1"/>
    </row>
    <row r="2628" spans="1:34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  <c r="AB2628" s="1"/>
      <c r="AC2628" s="1"/>
      <c r="AD2628" s="1"/>
      <c r="AE2628" s="1"/>
      <c r="AF2628" s="1"/>
      <c r="AG2628" s="1"/>
      <c r="AH2628" s="1"/>
    </row>
    <row r="2629" spans="1:34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  <c r="AB2629" s="1"/>
      <c r="AC2629" s="1"/>
      <c r="AD2629" s="1"/>
      <c r="AE2629" s="1"/>
      <c r="AF2629" s="1"/>
      <c r="AG2629" s="1"/>
      <c r="AH2629" s="1"/>
    </row>
    <row r="2630" spans="1:34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  <c r="AB2630" s="1"/>
      <c r="AC2630" s="1"/>
      <c r="AD2630" s="1"/>
      <c r="AE2630" s="1"/>
      <c r="AF2630" s="1"/>
      <c r="AG2630" s="1"/>
      <c r="AH2630" s="1"/>
    </row>
    <row r="2631" spans="1:34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  <c r="AB2631" s="1"/>
      <c r="AC2631" s="1"/>
      <c r="AD2631" s="1"/>
      <c r="AE2631" s="1"/>
      <c r="AF2631" s="1"/>
      <c r="AG2631" s="1"/>
      <c r="AH2631" s="1"/>
    </row>
    <row r="2632" spans="1:34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  <c r="AB2632" s="1"/>
      <c r="AC2632" s="1"/>
      <c r="AD2632" s="1"/>
      <c r="AE2632" s="1"/>
      <c r="AF2632" s="1"/>
      <c r="AG2632" s="1"/>
      <c r="AH2632" s="1"/>
    </row>
    <row r="2633" spans="1:34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  <c r="AB2633" s="1"/>
      <c r="AC2633" s="1"/>
      <c r="AD2633" s="1"/>
      <c r="AE2633" s="1"/>
      <c r="AF2633" s="1"/>
      <c r="AG2633" s="1"/>
      <c r="AH2633" s="1"/>
    </row>
    <row r="2634" spans="1:34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  <c r="AB2634" s="1"/>
      <c r="AC2634" s="1"/>
      <c r="AD2634" s="1"/>
      <c r="AE2634" s="1"/>
      <c r="AF2634" s="1"/>
      <c r="AG2634" s="1"/>
      <c r="AH2634" s="1"/>
    </row>
    <row r="2635" spans="1:34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  <c r="AB2635" s="1"/>
      <c r="AC2635" s="1"/>
      <c r="AD2635" s="1"/>
      <c r="AE2635" s="1"/>
      <c r="AF2635" s="1"/>
      <c r="AG2635" s="1"/>
      <c r="AH2635" s="1"/>
    </row>
    <row r="2636" spans="1:34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  <c r="AB2636" s="1"/>
      <c r="AC2636" s="1"/>
      <c r="AD2636" s="1"/>
      <c r="AE2636" s="1"/>
      <c r="AF2636" s="1"/>
      <c r="AG2636" s="1"/>
      <c r="AH2636" s="1"/>
    </row>
    <row r="2637" spans="1:34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  <c r="AB2637" s="1"/>
      <c r="AC2637" s="1"/>
      <c r="AD2637" s="1"/>
      <c r="AE2637" s="1"/>
      <c r="AF2637" s="1"/>
      <c r="AG2637" s="1"/>
      <c r="AH2637" s="1"/>
    </row>
    <row r="2638" spans="1:34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  <c r="AB2638" s="1"/>
      <c r="AC2638" s="1"/>
      <c r="AD2638" s="1"/>
      <c r="AE2638" s="1"/>
      <c r="AF2638" s="1"/>
      <c r="AG2638" s="1"/>
      <c r="AH2638" s="1"/>
    </row>
    <row r="2639" spans="1:34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  <c r="AB2639" s="1"/>
      <c r="AC2639" s="1"/>
      <c r="AD2639" s="1"/>
      <c r="AE2639" s="1"/>
      <c r="AF2639" s="1"/>
      <c r="AG2639" s="1"/>
      <c r="AH2639" s="1"/>
    </row>
    <row r="2640" spans="1:34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  <c r="AB2640" s="1"/>
      <c r="AC2640" s="1"/>
      <c r="AD2640" s="1"/>
      <c r="AE2640" s="1"/>
      <c r="AF2640" s="1"/>
      <c r="AG2640" s="1"/>
      <c r="AH2640" s="1"/>
    </row>
    <row r="2641" spans="1:34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  <c r="AB2641" s="1"/>
      <c r="AC2641" s="1"/>
      <c r="AD2641" s="1"/>
      <c r="AE2641" s="1"/>
      <c r="AF2641" s="1"/>
      <c r="AG2641" s="1"/>
      <c r="AH2641" s="1"/>
    </row>
    <row r="2642" spans="1:34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  <c r="AB2642" s="1"/>
      <c r="AC2642" s="1"/>
      <c r="AD2642" s="1"/>
      <c r="AE2642" s="1"/>
      <c r="AF2642" s="1"/>
      <c r="AG2642" s="1"/>
      <c r="AH2642" s="1"/>
    </row>
    <row r="2643" spans="1:34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  <c r="AB2643" s="1"/>
      <c r="AC2643" s="1"/>
      <c r="AD2643" s="1"/>
      <c r="AE2643" s="1"/>
      <c r="AF2643" s="1"/>
      <c r="AG2643" s="1"/>
      <c r="AH2643" s="1"/>
    </row>
    <row r="2644" spans="1:34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  <c r="AB2644" s="1"/>
      <c r="AC2644" s="1"/>
      <c r="AD2644" s="1"/>
      <c r="AE2644" s="1"/>
      <c r="AF2644" s="1"/>
      <c r="AG2644" s="1"/>
      <c r="AH2644" s="1"/>
    </row>
    <row r="2645" spans="1:34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  <c r="AB2645" s="1"/>
      <c r="AC2645" s="1"/>
      <c r="AD2645" s="1"/>
      <c r="AE2645" s="1"/>
      <c r="AF2645" s="1"/>
      <c r="AG2645" s="1"/>
      <c r="AH2645" s="1"/>
    </row>
    <row r="2646" spans="1:34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  <c r="AB2646" s="1"/>
      <c r="AC2646" s="1"/>
      <c r="AD2646" s="1"/>
      <c r="AE2646" s="1"/>
      <c r="AF2646" s="1"/>
      <c r="AG2646" s="1"/>
      <c r="AH2646" s="1"/>
    </row>
    <row r="2647" spans="1:34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  <c r="AB2647" s="1"/>
      <c r="AC2647" s="1"/>
      <c r="AD2647" s="1"/>
      <c r="AE2647" s="1"/>
      <c r="AF2647" s="1"/>
      <c r="AG2647" s="1"/>
      <c r="AH2647" s="1"/>
    </row>
    <row r="2648" spans="1:34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  <c r="AB2648" s="1"/>
      <c r="AC2648" s="1"/>
      <c r="AD2648" s="1"/>
      <c r="AE2648" s="1"/>
      <c r="AF2648" s="1"/>
      <c r="AG2648" s="1"/>
      <c r="AH2648" s="1"/>
    </row>
    <row r="2649" spans="1:34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  <c r="AB2649" s="1"/>
      <c r="AC2649" s="1"/>
      <c r="AD2649" s="1"/>
      <c r="AE2649" s="1"/>
      <c r="AF2649" s="1"/>
      <c r="AG2649" s="1"/>
      <c r="AH2649" s="1"/>
    </row>
    <row r="2650" spans="1:34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  <c r="AB2650" s="1"/>
      <c r="AC2650" s="1"/>
      <c r="AD2650" s="1"/>
      <c r="AE2650" s="1"/>
      <c r="AF2650" s="1"/>
      <c r="AG2650" s="1"/>
      <c r="AH2650" s="1"/>
    </row>
    <row r="2651" spans="1:34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  <c r="AB2651" s="1"/>
      <c r="AC2651" s="1"/>
      <c r="AD2651" s="1"/>
      <c r="AE2651" s="1"/>
      <c r="AF2651" s="1"/>
      <c r="AG2651" s="1"/>
      <c r="AH2651" s="1"/>
    </row>
    <row r="2652" spans="1:34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  <c r="AB2652" s="1"/>
      <c r="AC2652" s="1"/>
      <c r="AD2652" s="1"/>
      <c r="AE2652" s="1"/>
      <c r="AF2652" s="1"/>
      <c r="AG2652" s="1"/>
      <c r="AH2652" s="1"/>
    </row>
    <row r="2653" spans="1:34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  <c r="AB2653" s="1"/>
      <c r="AC2653" s="1"/>
      <c r="AD2653" s="1"/>
      <c r="AE2653" s="1"/>
      <c r="AF2653" s="1"/>
      <c r="AG2653" s="1"/>
      <c r="AH2653" s="1"/>
    </row>
    <row r="2654" spans="1:34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  <c r="AB2654" s="1"/>
      <c r="AC2654" s="1"/>
      <c r="AD2654" s="1"/>
      <c r="AE2654" s="1"/>
      <c r="AF2654" s="1"/>
      <c r="AG2654" s="1"/>
      <c r="AH2654" s="1"/>
    </row>
    <row r="2655" spans="1:34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  <c r="AB2655" s="1"/>
      <c r="AC2655" s="1"/>
      <c r="AD2655" s="1"/>
      <c r="AE2655" s="1"/>
      <c r="AF2655" s="1"/>
      <c r="AG2655" s="1"/>
      <c r="AH2655" s="1"/>
    </row>
    <row r="2656" spans="1:34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  <c r="AB2656" s="1"/>
      <c r="AC2656" s="1"/>
      <c r="AD2656" s="1"/>
      <c r="AE2656" s="1"/>
      <c r="AF2656" s="1"/>
      <c r="AG2656" s="1"/>
      <c r="AH2656" s="1"/>
    </row>
    <row r="2657" spans="1:34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  <c r="AB2657" s="1"/>
      <c r="AC2657" s="1"/>
      <c r="AD2657" s="1"/>
      <c r="AE2657" s="1"/>
      <c r="AF2657" s="1"/>
      <c r="AG2657" s="1"/>
      <c r="AH2657" s="1"/>
    </row>
    <row r="2658" spans="1:34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  <c r="AB2658" s="1"/>
      <c r="AC2658" s="1"/>
      <c r="AD2658" s="1"/>
      <c r="AE2658" s="1"/>
      <c r="AF2658" s="1"/>
      <c r="AG2658" s="1"/>
      <c r="AH2658" s="1"/>
    </row>
    <row r="2659" spans="1:34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  <c r="AB2659" s="1"/>
      <c r="AC2659" s="1"/>
      <c r="AD2659" s="1"/>
      <c r="AE2659" s="1"/>
      <c r="AF2659" s="1"/>
      <c r="AG2659" s="1"/>
      <c r="AH2659" s="1"/>
    </row>
    <row r="2660" spans="1:34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  <c r="AB2660" s="1"/>
      <c r="AC2660" s="1"/>
      <c r="AD2660" s="1"/>
      <c r="AE2660" s="1"/>
      <c r="AF2660" s="1"/>
      <c r="AG2660" s="1"/>
      <c r="AH2660" s="1"/>
    </row>
    <row r="2661" spans="1:34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  <c r="AB2661" s="1"/>
      <c r="AC2661" s="1"/>
      <c r="AD2661" s="1"/>
      <c r="AE2661" s="1"/>
      <c r="AF2661" s="1"/>
      <c r="AG2661" s="1"/>
      <c r="AH2661" s="1"/>
    </row>
    <row r="2662" spans="1:34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  <c r="AB2662" s="1"/>
      <c r="AC2662" s="1"/>
      <c r="AD2662" s="1"/>
      <c r="AE2662" s="1"/>
      <c r="AF2662" s="1"/>
      <c r="AG2662" s="1"/>
      <c r="AH2662" s="1"/>
    </row>
    <row r="2663" spans="1:34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  <c r="AB2663" s="1"/>
      <c r="AC2663" s="1"/>
      <c r="AD2663" s="1"/>
      <c r="AE2663" s="1"/>
      <c r="AF2663" s="1"/>
      <c r="AG2663" s="1"/>
      <c r="AH2663" s="1"/>
    </row>
    <row r="2664" spans="1:34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  <c r="AB2664" s="1"/>
      <c r="AC2664" s="1"/>
      <c r="AD2664" s="1"/>
      <c r="AE2664" s="1"/>
      <c r="AF2664" s="1"/>
      <c r="AG2664" s="1"/>
      <c r="AH2664" s="1"/>
    </row>
    <row r="2665" spans="1:34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  <c r="AB2665" s="1"/>
      <c r="AC2665" s="1"/>
      <c r="AD2665" s="1"/>
      <c r="AE2665" s="1"/>
      <c r="AF2665" s="1"/>
      <c r="AG2665" s="1"/>
      <c r="AH2665" s="1"/>
    </row>
    <row r="2666" spans="1:34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  <c r="AB2666" s="1"/>
      <c r="AC2666" s="1"/>
      <c r="AD2666" s="1"/>
      <c r="AE2666" s="1"/>
      <c r="AF2666" s="1"/>
      <c r="AG2666" s="1"/>
      <c r="AH2666" s="1"/>
    </row>
    <row r="2667" spans="1:34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  <c r="AB2667" s="1"/>
      <c r="AC2667" s="1"/>
      <c r="AD2667" s="1"/>
      <c r="AE2667" s="1"/>
      <c r="AF2667" s="1"/>
      <c r="AG2667" s="1"/>
      <c r="AH2667" s="1"/>
    </row>
    <row r="2668" spans="1:34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  <c r="AB2668" s="1"/>
      <c r="AC2668" s="1"/>
      <c r="AD2668" s="1"/>
      <c r="AE2668" s="1"/>
      <c r="AF2668" s="1"/>
      <c r="AG2668" s="1"/>
      <c r="AH2668" s="1"/>
    </row>
    <row r="2669" spans="1:34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  <c r="AB2669" s="1"/>
      <c r="AC2669" s="1"/>
      <c r="AD2669" s="1"/>
      <c r="AE2669" s="1"/>
      <c r="AF2669" s="1"/>
      <c r="AG2669" s="1"/>
      <c r="AH2669" s="1"/>
    </row>
    <row r="2670" spans="1:34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  <c r="AB2670" s="1"/>
      <c r="AC2670" s="1"/>
      <c r="AD2670" s="1"/>
      <c r="AE2670" s="1"/>
      <c r="AF2670" s="1"/>
      <c r="AG2670" s="1"/>
      <c r="AH2670" s="1"/>
    </row>
    <row r="2671" spans="1:34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  <c r="AB2671" s="1"/>
      <c r="AC2671" s="1"/>
      <c r="AD2671" s="1"/>
      <c r="AE2671" s="1"/>
      <c r="AF2671" s="1"/>
      <c r="AG2671" s="1"/>
      <c r="AH2671" s="1"/>
    </row>
    <row r="2672" spans="1:34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  <c r="AB2672" s="1"/>
      <c r="AC2672" s="1"/>
      <c r="AD2672" s="1"/>
      <c r="AE2672" s="1"/>
      <c r="AF2672" s="1"/>
      <c r="AG2672" s="1"/>
      <c r="AH2672" s="1"/>
    </row>
    <row r="2673" spans="1:34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  <c r="AB2673" s="1"/>
      <c r="AC2673" s="1"/>
      <c r="AD2673" s="1"/>
      <c r="AE2673" s="1"/>
      <c r="AF2673" s="1"/>
      <c r="AG2673" s="1"/>
      <c r="AH2673" s="1"/>
    </row>
    <row r="2674" spans="1:34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  <c r="AB2674" s="1"/>
      <c r="AC2674" s="1"/>
      <c r="AD2674" s="1"/>
      <c r="AE2674" s="1"/>
      <c r="AF2674" s="1"/>
      <c r="AG2674" s="1"/>
      <c r="AH2674" s="1"/>
    </row>
    <row r="2675" spans="1:34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  <c r="AB2675" s="1"/>
      <c r="AC2675" s="1"/>
      <c r="AD2675" s="1"/>
      <c r="AE2675" s="1"/>
      <c r="AF2675" s="1"/>
      <c r="AG2675" s="1"/>
      <c r="AH2675" s="1"/>
    </row>
    <row r="2676" spans="1:34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  <c r="AB2676" s="1"/>
      <c r="AC2676" s="1"/>
      <c r="AD2676" s="1"/>
      <c r="AE2676" s="1"/>
      <c r="AF2676" s="1"/>
      <c r="AG2676" s="1"/>
      <c r="AH2676" s="1"/>
    </row>
    <row r="2677" spans="1:34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  <c r="AB2677" s="1"/>
      <c r="AC2677" s="1"/>
      <c r="AD2677" s="1"/>
      <c r="AE2677" s="1"/>
      <c r="AF2677" s="1"/>
      <c r="AG2677" s="1"/>
      <c r="AH2677" s="1"/>
    </row>
    <row r="2678" spans="1:34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  <c r="AB2678" s="1"/>
      <c r="AC2678" s="1"/>
      <c r="AD2678" s="1"/>
      <c r="AE2678" s="1"/>
      <c r="AF2678" s="1"/>
      <c r="AG2678" s="1"/>
      <c r="AH2678" s="1"/>
    </row>
    <row r="2679" spans="1:34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  <c r="AB2679" s="1"/>
      <c r="AC2679" s="1"/>
      <c r="AD2679" s="1"/>
      <c r="AE2679" s="1"/>
      <c r="AF2679" s="1"/>
      <c r="AG2679" s="1"/>
      <c r="AH2679" s="1"/>
    </row>
    <row r="2680" spans="1:34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  <c r="AB2680" s="1"/>
      <c r="AC2680" s="1"/>
      <c r="AD2680" s="1"/>
      <c r="AE2680" s="1"/>
      <c r="AF2680" s="1"/>
      <c r="AG2680" s="1"/>
      <c r="AH2680" s="1"/>
    </row>
    <row r="2681" spans="1:34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  <c r="AB2681" s="1"/>
      <c r="AC2681" s="1"/>
      <c r="AD2681" s="1"/>
      <c r="AE2681" s="1"/>
      <c r="AF2681" s="1"/>
      <c r="AG2681" s="1"/>
      <c r="AH2681" s="1"/>
    </row>
    <row r="2682" spans="1:34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  <c r="AB2682" s="1"/>
      <c r="AC2682" s="1"/>
      <c r="AD2682" s="1"/>
      <c r="AE2682" s="1"/>
      <c r="AF2682" s="1"/>
      <c r="AG2682" s="1"/>
      <c r="AH2682" s="1"/>
    </row>
    <row r="2683" spans="1:34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  <c r="AB2683" s="1"/>
      <c r="AC2683" s="1"/>
      <c r="AD2683" s="1"/>
      <c r="AE2683" s="1"/>
      <c r="AF2683" s="1"/>
      <c r="AG2683" s="1"/>
      <c r="AH2683" s="1"/>
    </row>
    <row r="2684" spans="1:34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  <c r="AB2684" s="1"/>
      <c r="AC2684" s="1"/>
      <c r="AD2684" s="1"/>
      <c r="AE2684" s="1"/>
      <c r="AF2684" s="1"/>
      <c r="AG2684" s="1"/>
      <c r="AH2684" s="1"/>
    </row>
    <row r="2685" spans="1:34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  <c r="AB2685" s="1"/>
      <c r="AC2685" s="1"/>
      <c r="AD2685" s="1"/>
      <c r="AE2685" s="1"/>
      <c r="AF2685" s="1"/>
      <c r="AG2685" s="1"/>
      <c r="AH2685" s="1"/>
    </row>
    <row r="2686" spans="1:34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  <c r="AB2686" s="1"/>
      <c r="AC2686" s="1"/>
      <c r="AD2686" s="1"/>
      <c r="AE2686" s="1"/>
      <c r="AF2686" s="1"/>
      <c r="AG2686" s="1"/>
      <c r="AH2686" s="1"/>
    </row>
    <row r="2687" spans="1:34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  <c r="AB2687" s="1"/>
      <c r="AC2687" s="1"/>
      <c r="AD2687" s="1"/>
      <c r="AE2687" s="1"/>
      <c r="AF2687" s="1"/>
      <c r="AG2687" s="1"/>
      <c r="AH2687" s="1"/>
    </row>
    <row r="2688" spans="1:34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  <c r="AB2688" s="1"/>
      <c r="AC2688" s="1"/>
      <c r="AD2688" s="1"/>
      <c r="AE2688" s="1"/>
      <c r="AF2688" s="1"/>
      <c r="AG2688" s="1"/>
      <c r="AH2688" s="1"/>
    </row>
    <row r="2689" spans="1:34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  <c r="AB2689" s="1"/>
      <c r="AC2689" s="1"/>
      <c r="AD2689" s="1"/>
      <c r="AE2689" s="1"/>
      <c r="AF2689" s="1"/>
      <c r="AG2689" s="1"/>
      <c r="AH2689" s="1"/>
    </row>
    <row r="2690" spans="1:34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  <c r="AB2690" s="1"/>
      <c r="AC2690" s="1"/>
      <c r="AD2690" s="1"/>
      <c r="AE2690" s="1"/>
      <c r="AF2690" s="1"/>
      <c r="AG2690" s="1"/>
      <c r="AH2690" s="1"/>
    </row>
    <row r="2691" spans="1:34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  <c r="AB2691" s="1"/>
      <c r="AC2691" s="1"/>
      <c r="AD2691" s="1"/>
      <c r="AE2691" s="1"/>
      <c r="AF2691" s="1"/>
      <c r="AG2691" s="1"/>
      <c r="AH2691" s="1"/>
    </row>
    <row r="2692" spans="1:34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  <c r="AB2692" s="1"/>
      <c r="AC2692" s="1"/>
      <c r="AD2692" s="1"/>
      <c r="AE2692" s="1"/>
      <c r="AF2692" s="1"/>
      <c r="AG2692" s="1"/>
      <c r="AH2692" s="1"/>
    </row>
    <row r="2693" spans="1:34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  <c r="AB2693" s="1"/>
      <c r="AC2693" s="1"/>
      <c r="AD2693" s="1"/>
      <c r="AE2693" s="1"/>
      <c r="AF2693" s="1"/>
      <c r="AG2693" s="1"/>
      <c r="AH2693" s="1"/>
    </row>
    <row r="2694" spans="1:34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  <c r="AB2694" s="1"/>
      <c r="AC2694" s="1"/>
      <c r="AD2694" s="1"/>
      <c r="AE2694" s="1"/>
      <c r="AF2694" s="1"/>
      <c r="AG2694" s="1"/>
      <c r="AH2694" s="1"/>
    </row>
    <row r="2695" spans="1:34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  <c r="AB2695" s="1"/>
      <c r="AC2695" s="1"/>
      <c r="AD2695" s="1"/>
      <c r="AE2695" s="1"/>
      <c r="AF2695" s="1"/>
      <c r="AG2695" s="1"/>
      <c r="AH2695" s="1"/>
    </row>
    <row r="2696" spans="1:34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  <c r="AB2696" s="1"/>
      <c r="AC2696" s="1"/>
      <c r="AD2696" s="1"/>
      <c r="AE2696" s="1"/>
      <c r="AF2696" s="1"/>
      <c r="AG2696" s="1"/>
      <c r="AH2696" s="1"/>
    </row>
    <row r="2697" spans="1:34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  <c r="AB2697" s="1"/>
      <c r="AC2697" s="1"/>
      <c r="AD2697" s="1"/>
      <c r="AE2697" s="1"/>
      <c r="AF2697" s="1"/>
      <c r="AG2697" s="1"/>
      <c r="AH2697" s="1"/>
    </row>
    <row r="2698" spans="1:34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  <c r="AB2698" s="1"/>
      <c r="AC2698" s="1"/>
      <c r="AD2698" s="1"/>
      <c r="AE2698" s="1"/>
      <c r="AF2698" s="1"/>
      <c r="AG2698" s="1"/>
      <c r="AH2698" s="1"/>
    </row>
    <row r="2699" spans="1:34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  <c r="AB2699" s="1"/>
      <c r="AC2699" s="1"/>
      <c r="AD2699" s="1"/>
      <c r="AE2699" s="1"/>
      <c r="AF2699" s="1"/>
      <c r="AG2699" s="1"/>
      <c r="AH2699" s="1"/>
    </row>
    <row r="2700" spans="1:34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  <c r="AB2700" s="1"/>
      <c r="AC2700" s="1"/>
      <c r="AD2700" s="1"/>
      <c r="AE2700" s="1"/>
      <c r="AF2700" s="1"/>
      <c r="AG2700" s="1"/>
      <c r="AH2700" s="1"/>
    </row>
    <row r="2701" spans="1:34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  <c r="AB2701" s="1"/>
      <c r="AC2701" s="1"/>
      <c r="AD2701" s="1"/>
      <c r="AE2701" s="1"/>
      <c r="AF2701" s="1"/>
      <c r="AG2701" s="1"/>
      <c r="AH2701" s="1"/>
    </row>
    <row r="2702" spans="1:34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  <c r="AB2702" s="1"/>
      <c r="AC2702" s="1"/>
      <c r="AD2702" s="1"/>
      <c r="AE2702" s="1"/>
      <c r="AF2702" s="1"/>
      <c r="AG2702" s="1"/>
      <c r="AH2702" s="1"/>
    </row>
    <row r="2703" spans="1:34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  <c r="AB2703" s="1"/>
      <c r="AC2703" s="1"/>
      <c r="AD2703" s="1"/>
      <c r="AE2703" s="1"/>
      <c r="AF2703" s="1"/>
      <c r="AG2703" s="1"/>
      <c r="AH2703" s="1"/>
    </row>
    <row r="2704" spans="1:34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  <c r="AB2704" s="1"/>
      <c r="AC2704" s="1"/>
      <c r="AD2704" s="1"/>
      <c r="AE2704" s="1"/>
      <c r="AF2704" s="1"/>
      <c r="AG2704" s="1"/>
      <c r="AH2704" s="1"/>
    </row>
    <row r="2705" spans="1:34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  <c r="AB2705" s="1"/>
      <c r="AC2705" s="1"/>
      <c r="AD2705" s="1"/>
      <c r="AE2705" s="1"/>
      <c r="AF2705" s="1"/>
      <c r="AG2705" s="1"/>
      <c r="AH2705" s="1"/>
    </row>
    <row r="2706" spans="1:34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  <c r="AB2706" s="1"/>
      <c r="AC2706" s="1"/>
      <c r="AD2706" s="1"/>
      <c r="AE2706" s="1"/>
      <c r="AF2706" s="1"/>
      <c r="AG2706" s="1"/>
      <c r="AH2706" s="1"/>
    </row>
    <row r="2707" spans="1:34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  <c r="AB2707" s="1"/>
      <c r="AC2707" s="1"/>
      <c r="AD2707" s="1"/>
      <c r="AE2707" s="1"/>
      <c r="AF2707" s="1"/>
      <c r="AG2707" s="1"/>
      <c r="AH2707" s="1"/>
    </row>
    <row r="2708" spans="1:34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  <c r="AB2708" s="1"/>
      <c r="AC2708" s="1"/>
      <c r="AD2708" s="1"/>
      <c r="AE2708" s="1"/>
      <c r="AF2708" s="1"/>
      <c r="AG2708" s="1"/>
      <c r="AH2708" s="1"/>
    </row>
    <row r="2709" spans="1:34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  <c r="AB2709" s="1"/>
      <c r="AC2709" s="1"/>
      <c r="AD2709" s="1"/>
      <c r="AE2709" s="1"/>
      <c r="AF2709" s="1"/>
      <c r="AG2709" s="1"/>
      <c r="AH2709" s="1"/>
    </row>
    <row r="2710" spans="1:34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  <c r="AB2710" s="1"/>
      <c r="AC2710" s="1"/>
      <c r="AD2710" s="1"/>
      <c r="AE2710" s="1"/>
      <c r="AF2710" s="1"/>
      <c r="AG2710" s="1"/>
      <c r="AH2710" s="1"/>
    </row>
    <row r="2711" spans="1:34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  <c r="AB2711" s="1"/>
      <c r="AC2711" s="1"/>
      <c r="AD2711" s="1"/>
      <c r="AE2711" s="1"/>
      <c r="AF2711" s="1"/>
      <c r="AG2711" s="1"/>
      <c r="AH2711" s="1"/>
    </row>
    <row r="2712" spans="1:34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  <c r="AB2712" s="1"/>
      <c r="AC2712" s="1"/>
      <c r="AD2712" s="1"/>
      <c r="AE2712" s="1"/>
      <c r="AF2712" s="1"/>
      <c r="AG2712" s="1"/>
      <c r="AH2712" s="1"/>
    </row>
    <row r="2713" spans="1:34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  <c r="AB2713" s="1"/>
      <c r="AC2713" s="1"/>
      <c r="AD2713" s="1"/>
      <c r="AE2713" s="1"/>
      <c r="AF2713" s="1"/>
      <c r="AG2713" s="1"/>
      <c r="AH2713" s="1"/>
    </row>
    <row r="2714" spans="1:34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  <c r="AB2714" s="1"/>
      <c r="AC2714" s="1"/>
      <c r="AD2714" s="1"/>
      <c r="AE2714" s="1"/>
      <c r="AF2714" s="1"/>
      <c r="AG2714" s="1"/>
      <c r="AH2714" s="1"/>
    </row>
    <row r="2715" spans="1:34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  <c r="AB2715" s="1"/>
      <c r="AC2715" s="1"/>
      <c r="AD2715" s="1"/>
      <c r="AE2715" s="1"/>
      <c r="AF2715" s="1"/>
      <c r="AG2715" s="1"/>
      <c r="AH2715" s="1"/>
    </row>
    <row r="2716" spans="1:34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  <c r="AB2716" s="1"/>
      <c r="AC2716" s="1"/>
      <c r="AD2716" s="1"/>
      <c r="AE2716" s="1"/>
      <c r="AF2716" s="1"/>
      <c r="AG2716" s="1"/>
      <c r="AH2716" s="1"/>
    </row>
    <row r="2717" spans="1:34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  <c r="AB2717" s="1"/>
      <c r="AC2717" s="1"/>
      <c r="AD2717" s="1"/>
      <c r="AE2717" s="1"/>
      <c r="AF2717" s="1"/>
      <c r="AG2717" s="1"/>
      <c r="AH2717" s="1"/>
    </row>
    <row r="2718" spans="1:34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  <c r="AB2718" s="1"/>
      <c r="AC2718" s="1"/>
      <c r="AD2718" s="1"/>
      <c r="AE2718" s="1"/>
      <c r="AF2718" s="1"/>
      <c r="AG2718" s="1"/>
      <c r="AH2718" s="1"/>
    </row>
    <row r="2719" spans="1:34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  <c r="AB2719" s="1"/>
      <c r="AC2719" s="1"/>
      <c r="AD2719" s="1"/>
      <c r="AE2719" s="1"/>
      <c r="AF2719" s="1"/>
      <c r="AG2719" s="1"/>
      <c r="AH2719" s="1"/>
    </row>
    <row r="2720" spans="1:34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  <c r="AB2720" s="1"/>
      <c r="AC2720" s="1"/>
      <c r="AD2720" s="1"/>
      <c r="AE2720" s="1"/>
      <c r="AF2720" s="1"/>
      <c r="AG2720" s="1"/>
      <c r="AH2720" s="1"/>
    </row>
    <row r="2721" spans="1:34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  <c r="AB2721" s="1"/>
      <c r="AC2721" s="1"/>
      <c r="AD2721" s="1"/>
      <c r="AE2721" s="1"/>
      <c r="AF2721" s="1"/>
      <c r="AG2721" s="1"/>
      <c r="AH2721" s="1"/>
    </row>
    <row r="2722" spans="1:34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  <c r="AB2722" s="1"/>
      <c r="AC2722" s="1"/>
      <c r="AD2722" s="1"/>
      <c r="AE2722" s="1"/>
      <c r="AF2722" s="1"/>
      <c r="AG2722" s="1"/>
      <c r="AH2722" s="1"/>
    </row>
    <row r="2723" spans="1:34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  <c r="AB2723" s="1"/>
      <c r="AC2723" s="1"/>
      <c r="AD2723" s="1"/>
      <c r="AE2723" s="1"/>
      <c r="AF2723" s="1"/>
      <c r="AG2723" s="1"/>
      <c r="AH2723" s="1"/>
    </row>
    <row r="2724" spans="1:34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  <c r="AB2724" s="1"/>
      <c r="AC2724" s="1"/>
      <c r="AD2724" s="1"/>
      <c r="AE2724" s="1"/>
      <c r="AF2724" s="1"/>
      <c r="AG2724" s="1"/>
      <c r="AH2724" s="1"/>
    </row>
    <row r="2725" spans="1:34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  <c r="AB2725" s="1"/>
      <c r="AC2725" s="1"/>
      <c r="AD2725" s="1"/>
      <c r="AE2725" s="1"/>
      <c r="AF2725" s="1"/>
      <c r="AG2725" s="1"/>
      <c r="AH2725" s="1"/>
    </row>
    <row r="2726" spans="1:34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  <c r="AB2726" s="1"/>
      <c r="AC2726" s="1"/>
      <c r="AD2726" s="1"/>
      <c r="AE2726" s="1"/>
      <c r="AF2726" s="1"/>
      <c r="AG2726" s="1"/>
      <c r="AH2726" s="1"/>
    </row>
    <row r="2727" spans="1:34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  <c r="AB2727" s="1"/>
      <c r="AC2727" s="1"/>
      <c r="AD2727" s="1"/>
      <c r="AE2727" s="1"/>
      <c r="AF2727" s="1"/>
      <c r="AG2727" s="1"/>
      <c r="AH2727" s="1"/>
    </row>
    <row r="2728" spans="1:34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  <c r="AB2728" s="1"/>
      <c r="AC2728" s="1"/>
      <c r="AD2728" s="1"/>
      <c r="AE2728" s="1"/>
      <c r="AF2728" s="1"/>
      <c r="AG2728" s="1"/>
      <c r="AH2728" s="1"/>
    </row>
    <row r="2729" spans="1:34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  <c r="AB2729" s="1"/>
      <c r="AC2729" s="1"/>
      <c r="AD2729" s="1"/>
      <c r="AE2729" s="1"/>
      <c r="AF2729" s="1"/>
      <c r="AG2729" s="1"/>
      <c r="AH2729" s="1"/>
    </row>
    <row r="2730" spans="1:34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  <c r="AB2730" s="1"/>
      <c r="AC2730" s="1"/>
      <c r="AD2730" s="1"/>
      <c r="AE2730" s="1"/>
      <c r="AF2730" s="1"/>
      <c r="AG2730" s="1"/>
      <c r="AH2730" s="1"/>
    </row>
    <row r="2731" spans="1:34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  <c r="AB2731" s="1"/>
      <c r="AC2731" s="1"/>
      <c r="AD2731" s="1"/>
      <c r="AE2731" s="1"/>
      <c r="AF2731" s="1"/>
      <c r="AG2731" s="1"/>
      <c r="AH2731" s="1"/>
    </row>
    <row r="2732" spans="1:34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  <c r="AB2732" s="1"/>
      <c r="AC2732" s="1"/>
      <c r="AD2732" s="1"/>
      <c r="AE2732" s="1"/>
      <c r="AF2732" s="1"/>
      <c r="AG2732" s="1"/>
      <c r="AH2732" s="1"/>
    </row>
    <row r="2733" spans="1:34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  <c r="AB2733" s="1"/>
      <c r="AC2733" s="1"/>
      <c r="AD2733" s="1"/>
      <c r="AE2733" s="1"/>
      <c r="AF2733" s="1"/>
      <c r="AG2733" s="1"/>
      <c r="AH2733" s="1"/>
    </row>
    <row r="2734" spans="1:34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  <c r="AB2734" s="1"/>
      <c r="AC2734" s="1"/>
      <c r="AD2734" s="1"/>
      <c r="AE2734" s="1"/>
      <c r="AF2734" s="1"/>
      <c r="AG2734" s="1"/>
      <c r="AH2734" s="1"/>
    </row>
    <row r="2735" spans="1:34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  <c r="AB2735" s="1"/>
      <c r="AC2735" s="1"/>
      <c r="AD2735" s="1"/>
      <c r="AE2735" s="1"/>
      <c r="AF2735" s="1"/>
      <c r="AG2735" s="1"/>
      <c r="AH2735" s="1"/>
    </row>
    <row r="2736" spans="1:34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  <c r="AB2736" s="1"/>
      <c r="AC2736" s="1"/>
      <c r="AD2736" s="1"/>
      <c r="AE2736" s="1"/>
      <c r="AF2736" s="1"/>
      <c r="AG2736" s="1"/>
      <c r="AH2736" s="1"/>
    </row>
    <row r="2737" spans="1:34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  <c r="AB2737" s="1"/>
      <c r="AC2737" s="1"/>
      <c r="AD2737" s="1"/>
      <c r="AE2737" s="1"/>
      <c r="AF2737" s="1"/>
      <c r="AG2737" s="1"/>
      <c r="AH2737" s="1"/>
    </row>
    <row r="2738" spans="1:34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  <c r="AB2738" s="1"/>
      <c r="AC2738" s="1"/>
      <c r="AD2738" s="1"/>
      <c r="AE2738" s="1"/>
      <c r="AF2738" s="1"/>
      <c r="AG2738" s="1"/>
      <c r="AH2738" s="1"/>
    </row>
    <row r="2739" spans="1:34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  <c r="AB2739" s="1"/>
      <c r="AC2739" s="1"/>
      <c r="AD2739" s="1"/>
      <c r="AE2739" s="1"/>
      <c r="AF2739" s="1"/>
      <c r="AG2739" s="1"/>
      <c r="AH2739" s="1"/>
    </row>
    <row r="2740" spans="1:34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  <c r="AB2740" s="1"/>
      <c r="AC2740" s="1"/>
      <c r="AD2740" s="1"/>
      <c r="AE2740" s="1"/>
      <c r="AF2740" s="1"/>
      <c r="AG2740" s="1"/>
      <c r="AH2740" s="1"/>
    </row>
    <row r="2741" spans="1:34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  <c r="AB2741" s="1"/>
      <c r="AC2741" s="1"/>
      <c r="AD2741" s="1"/>
      <c r="AE2741" s="1"/>
      <c r="AF2741" s="1"/>
      <c r="AG2741" s="1"/>
      <c r="AH2741" s="1"/>
    </row>
    <row r="2742" spans="1:34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  <c r="AB2742" s="1"/>
      <c r="AC2742" s="1"/>
      <c r="AD2742" s="1"/>
      <c r="AE2742" s="1"/>
      <c r="AF2742" s="1"/>
      <c r="AG2742" s="1"/>
      <c r="AH2742" s="1"/>
    </row>
    <row r="2743" spans="1:34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  <c r="AB2743" s="1"/>
      <c r="AC2743" s="1"/>
      <c r="AD2743" s="1"/>
      <c r="AE2743" s="1"/>
      <c r="AF2743" s="1"/>
      <c r="AG2743" s="1"/>
      <c r="AH2743" s="1"/>
    </row>
    <row r="2744" spans="1:34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  <c r="AB2744" s="1"/>
      <c r="AC2744" s="1"/>
      <c r="AD2744" s="1"/>
      <c r="AE2744" s="1"/>
      <c r="AF2744" s="1"/>
      <c r="AG2744" s="1"/>
      <c r="AH2744" s="1"/>
    </row>
    <row r="2745" spans="1:34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  <c r="AB2745" s="1"/>
      <c r="AC2745" s="1"/>
      <c r="AD2745" s="1"/>
      <c r="AE2745" s="1"/>
      <c r="AF2745" s="1"/>
      <c r="AG2745" s="1"/>
      <c r="AH2745" s="1"/>
    </row>
    <row r="2746" spans="1:34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  <c r="AB2746" s="1"/>
      <c r="AC2746" s="1"/>
      <c r="AD2746" s="1"/>
      <c r="AE2746" s="1"/>
      <c r="AF2746" s="1"/>
      <c r="AG2746" s="1"/>
      <c r="AH2746" s="1"/>
    </row>
    <row r="2747" spans="1:34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  <c r="AB2747" s="1"/>
      <c r="AC2747" s="1"/>
      <c r="AD2747" s="1"/>
      <c r="AE2747" s="1"/>
      <c r="AF2747" s="1"/>
      <c r="AG2747" s="1"/>
      <c r="AH2747" s="1"/>
    </row>
    <row r="2748" spans="1:34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  <c r="AB2748" s="1"/>
      <c r="AC2748" s="1"/>
      <c r="AD2748" s="1"/>
      <c r="AE2748" s="1"/>
      <c r="AF2748" s="1"/>
      <c r="AG2748" s="1"/>
      <c r="AH2748" s="1"/>
    </row>
    <row r="2749" spans="1:34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  <c r="AB2749" s="1"/>
      <c r="AC2749" s="1"/>
      <c r="AD2749" s="1"/>
      <c r="AE2749" s="1"/>
      <c r="AF2749" s="1"/>
      <c r="AG2749" s="1"/>
      <c r="AH2749" s="1"/>
    </row>
    <row r="2750" spans="1:34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  <c r="AB2750" s="1"/>
      <c r="AC2750" s="1"/>
      <c r="AD2750" s="1"/>
      <c r="AE2750" s="1"/>
      <c r="AF2750" s="1"/>
      <c r="AG2750" s="1"/>
      <c r="AH2750" s="1"/>
    </row>
    <row r="2751" spans="1:34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  <c r="AB2751" s="1"/>
      <c r="AC2751" s="1"/>
      <c r="AD2751" s="1"/>
      <c r="AE2751" s="1"/>
      <c r="AF2751" s="1"/>
      <c r="AG2751" s="1"/>
      <c r="AH2751" s="1"/>
    </row>
    <row r="2752" spans="1:34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  <c r="AB2752" s="1"/>
      <c r="AC2752" s="1"/>
      <c r="AD2752" s="1"/>
      <c r="AE2752" s="1"/>
      <c r="AF2752" s="1"/>
      <c r="AG2752" s="1"/>
      <c r="AH2752" s="1"/>
    </row>
    <row r="2753" spans="1:34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  <c r="AB2753" s="1"/>
      <c r="AC2753" s="1"/>
      <c r="AD2753" s="1"/>
      <c r="AE2753" s="1"/>
      <c r="AF2753" s="1"/>
      <c r="AG2753" s="1"/>
      <c r="AH2753" s="1"/>
    </row>
    <row r="2754" spans="1:34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  <c r="AB2754" s="1"/>
      <c r="AC2754" s="1"/>
      <c r="AD2754" s="1"/>
      <c r="AE2754" s="1"/>
      <c r="AF2754" s="1"/>
      <c r="AG2754" s="1"/>
      <c r="AH2754" s="1"/>
    </row>
    <row r="2755" spans="1:34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  <c r="AB2755" s="1"/>
      <c r="AC2755" s="1"/>
      <c r="AD2755" s="1"/>
      <c r="AE2755" s="1"/>
      <c r="AF2755" s="1"/>
      <c r="AG2755" s="1"/>
      <c r="AH2755" s="1"/>
    </row>
    <row r="2756" spans="1:34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  <c r="AB2756" s="1"/>
      <c r="AC2756" s="1"/>
      <c r="AD2756" s="1"/>
      <c r="AE2756" s="1"/>
      <c r="AF2756" s="1"/>
      <c r="AG2756" s="1"/>
      <c r="AH2756" s="1"/>
    </row>
    <row r="2757" spans="1:34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  <c r="AB2757" s="1"/>
      <c r="AC2757" s="1"/>
      <c r="AD2757" s="1"/>
      <c r="AE2757" s="1"/>
      <c r="AF2757" s="1"/>
      <c r="AG2757" s="1"/>
      <c r="AH2757" s="1"/>
    </row>
    <row r="2758" spans="1:34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  <c r="AB2758" s="1"/>
      <c r="AC2758" s="1"/>
      <c r="AD2758" s="1"/>
      <c r="AE2758" s="1"/>
      <c r="AF2758" s="1"/>
      <c r="AG2758" s="1"/>
      <c r="AH2758" s="1"/>
    </row>
    <row r="2759" spans="1:34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  <c r="AB2759" s="1"/>
      <c r="AC2759" s="1"/>
      <c r="AD2759" s="1"/>
      <c r="AE2759" s="1"/>
      <c r="AF2759" s="1"/>
      <c r="AG2759" s="1"/>
      <c r="AH2759" s="1"/>
    </row>
    <row r="2760" spans="1:34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  <c r="AB2760" s="1"/>
      <c r="AC2760" s="1"/>
      <c r="AD2760" s="1"/>
      <c r="AE2760" s="1"/>
      <c r="AF2760" s="1"/>
      <c r="AG2760" s="1"/>
      <c r="AH2760" s="1"/>
    </row>
    <row r="2761" spans="1:34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1"/>
      <c r="AB2761" s="1"/>
      <c r="AC2761" s="1"/>
      <c r="AD2761" s="1"/>
      <c r="AE2761" s="1"/>
      <c r="AF2761" s="1"/>
      <c r="AG2761" s="1"/>
      <c r="AH2761" s="1"/>
    </row>
    <row r="2762" spans="1:34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1"/>
      <c r="AB2762" s="1"/>
      <c r="AC2762" s="1"/>
      <c r="AD2762" s="1"/>
      <c r="AE2762" s="1"/>
      <c r="AF2762" s="1"/>
      <c r="AG2762" s="1"/>
      <c r="AH2762" s="1"/>
    </row>
    <row r="2763" spans="1:34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1"/>
      <c r="AB2763" s="1"/>
      <c r="AC2763" s="1"/>
      <c r="AD2763" s="1"/>
      <c r="AE2763" s="1"/>
      <c r="AF2763" s="1"/>
      <c r="AG2763" s="1"/>
      <c r="AH2763" s="1"/>
    </row>
    <row r="2764" spans="1:34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1"/>
      <c r="AB2764" s="1"/>
      <c r="AC2764" s="1"/>
      <c r="AD2764" s="1"/>
      <c r="AE2764" s="1"/>
      <c r="AF2764" s="1"/>
      <c r="AG2764" s="1"/>
      <c r="AH2764" s="1"/>
    </row>
    <row r="2765" spans="1:34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1"/>
      <c r="AB2765" s="1"/>
      <c r="AC2765" s="1"/>
      <c r="AD2765" s="1"/>
      <c r="AE2765" s="1"/>
      <c r="AF2765" s="1"/>
      <c r="AG2765" s="1"/>
      <c r="AH2765" s="1"/>
    </row>
    <row r="2766" spans="1:34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1"/>
      <c r="AB2766" s="1"/>
      <c r="AC2766" s="1"/>
      <c r="AD2766" s="1"/>
      <c r="AE2766" s="1"/>
      <c r="AF2766" s="1"/>
      <c r="AG2766" s="1"/>
      <c r="AH2766" s="1"/>
    </row>
    <row r="2767" spans="1:34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1"/>
      <c r="AB2767" s="1"/>
      <c r="AC2767" s="1"/>
      <c r="AD2767" s="1"/>
      <c r="AE2767" s="1"/>
      <c r="AF2767" s="1"/>
      <c r="AG2767" s="1"/>
      <c r="AH2767" s="1"/>
    </row>
    <row r="2768" spans="1:34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1"/>
      <c r="AB2768" s="1"/>
      <c r="AC2768" s="1"/>
      <c r="AD2768" s="1"/>
      <c r="AE2768" s="1"/>
      <c r="AF2768" s="1"/>
      <c r="AG2768" s="1"/>
      <c r="AH2768" s="1"/>
    </row>
    <row r="2769" spans="1:34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1"/>
      <c r="AB2769" s="1"/>
      <c r="AC2769" s="1"/>
      <c r="AD2769" s="1"/>
      <c r="AE2769" s="1"/>
      <c r="AF2769" s="1"/>
      <c r="AG2769" s="1"/>
      <c r="AH2769" s="1"/>
    </row>
    <row r="2770" spans="1:34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1"/>
      <c r="AB2770" s="1"/>
      <c r="AC2770" s="1"/>
      <c r="AD2770" s="1"/>
      <c r="AE2770" s="1"/>
      <c r="AF2770" s="1"/>
      <c r="AG2770" s="1"/>
      <c r="AH2770" s="1"/>
    </row>
    <row r="2771" spans="1:34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1"/>
      <c r="AB2771" s="1"/>
      <c r="AC2771" s="1"/>
      <c r="AD2771" s="1"/>
      <c r="AE2771" s="1"/>
      <c r="AF2771" s="1"/>
      <c r="AG2771" s="1"/>
      <c r="AH2771" s="1"/>
    </row>
    <row r="2772" spans="1:34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1"/>
      <c r="AB2772" s="1"/>
      <c r="AC2772" s="1"/>
      <c r="AD2772" s="1"/>
      <c r="AE2772" s="1"/>
      <c r="AF2772" s="1"/>
      <c r="AG2772" s="1"/>
      <c r="AH2772" s="1"/>
    </row>
    <row r="2773" spans="1:34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1"/>
      <c r="AB2773" s="1"/>
      <c r="AC2773" s="1"/>
      <c r="AD2773" s="1"/>
      <c r="AE2773" s="1"/>
      <c r="AF2773" s="1"/>
      <c r="AG2773" s="1"/>
      <c r="AH2773" s="1"/>
    </row>
    <row r="2774" spans="1:34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1"/>
      <c r="AB2774" s="1"/>
      <c r="AC2774" s="1"/>
      <c r="AD2774" s="1"/>
      <c r="AE2774" s="1"/>
      <c r="AF2774" s="1"/>
      <c r="AG2774" s="1"/>
      <c r="AH2774" s="1"/>
    </row>
    <row r="2775" spans="1:34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1"/>
      <c r="AB2775" s="1"/>
      <c r="AC2775" s="1"/>
      <c r="AD2775" s="1"/>
      <c r="AE2775" s="1"/>
      <c r="AF2775" s="1"/>
      <c r="AG2775" s="1"/>
      <c r="AH2775" s="1"/>
    </row>
    <row r="2776" spans="1:34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1"/>
      <c r="AB2776" s="1"/>
      <c r="AC2776" s="1"/>
      <c r="AD2776" s="1"/>
      <c r="AE2776" s="1"/>
      <c r="AF2776" s="1"/>
      <c r="AG2776" s="1"/>
      <c r="AH2776" s="1"/>
    </row>
    <row r="2777" spans="1:34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1"/>
      <c r="AB2777" s="1"/>
      <c r="AC2777" s="1"/>
      <c r="AD2777" s="1"/>
      <c r="AE2777" s="1"/>
      <c r="AF2777" s="1"/>
      <c r="AG2777" s="1"/>
      <c r="AH2777" s="1"/>
    </row>
    <row r="2778" spans="1:34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1"/>
      <c r="AB2778" s="1"/>
      <c r="AC2778" s="1"/>
      <c r="AD2778" s="1"/>
      <c r="AE2778" s="1"/>
      <c r="AF2778" s="1"/>
      <c r="AG2778" s="1"/>
      <c r="AH2778" s="1"/>
    </row>
    <row r="2779" spans="1:34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1"/>
      <c r="AB2779" s="1"/>
      <c r="AC2779" s="1"/>
      <c r="AD2779" s="1"/>
      <c r="AE2779" s="1"/>
      <c r="AF2779" s="1"/>
      <c r="AG2779" s="1"/>
      <c r="AH2779" s="1"/>
    </row>
    <row r="2780" spans="1:34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1"/>
      <c r="AB2780" s="1"/>
      <c r="AC2780" s="1"/>
      <c r="AD2780" s="1"/>
      <c r="AE2780" s="1"/>
      <c r="AF2780" s="1"/>
      <c r="AG2780" s="1"/>
      <c r="AH2780" s="1"/>
    </row>
    <row r="2781" spans="1:34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1"/>
      <c r="AB2781" s="1"/>
      <c r="AC2781" s="1"/>
      <c r="AD2781" s="1"/>
      <c r="AE2781" s="1"/>
      <c r="AF2781" s="1"/>
      <c r="AG2781" s="1"/>
      <c r="AH2781" s="1"/>
    </row>
    <row r="2782" spans="1:34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1"/>
      <c r="AB2782" s="1"/>
      <c r="AC2782" s="1"/>
      <c r="AD2782" s="1"/>
      <c r="AE2782" s="1"/>
      <c r="AF2782" s="1"/>
      <c r="AG2782" s="1"/>
      <c r="AH2782" s="1"/>
    </row>
    <row r="2783" spans="1:34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1"/>
      <c r="AB2783" s="1"/>
      <c r="AC2783" s="1"/>
      <c r="AD2783" s="1"/>
      <c r="AE2783" s="1"/>
      <c r="AF2783" s="1"/>
      <c r="AG2783" s="1"/>
      <c r="AH2783" s="1"/>
    </row>
    <row r="2784" spans="1:34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1"/>
      <c r="AB2784" s="1"/>
      <c r="AC2784" s="1"/>
      <c r="AD2784" s="1"/>
      <c r="AE2784" s="1"/>
      <c r="AF2784" s="1"/>
      <c r="AG2784" s="1"/>
      <c r="AH2784" s="1"/>
    </row>
    <row r="2785" spans="1:34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  <c r="AB2785" s="1"/>
      <c r="AC2785" s="1"/>
      <c r="AD2785" s="1"/>
      <c r="AE2785" s="1"/>
      <c r="AF2785" s="1"/>
      <c r="AG2785" s="1"/>
      <c r="AH2785" s="1"/>
    </row>
    <row r="2786" spans="1:34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  <c r="AB2786" s="1"/>
      <c r="AC2786" s="1"/>
      <c r="AD2786" s="1"/>
      <c r="AE2786" s="1"/>
      <c r="AF2786" s="1"/>
      <c r="AG2786" s="1"/>
      <c r="AH2786" s="1"/>
    </row>
    <row r="2787" spans="1:34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  <c r="AB2787" s="1"/>
      <c r="AC2787" s="1"/>
      <c r="AD2787" s="1"/>
      <c r="AE2787" s="1"/>
      <c r="AF2787" s="1"/>
      <c r="AG2787" s="1"/>
      <c r="AH2787" s="1"/>
    </row>
    <row r="2788" spans="1:34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  <c r="AB2788" s="1"/>
      <c r="AC2788" s="1"/>
      <c r="AD2788" s="1"/>
      <c r="AE2788" s="1"/>
      <c r="AF2788" s="1"/>
      <c r="AG2788" s="1"/>
      <c r="AH2788" s="1"/>
    </row>
    <row r="2789" spans="1:34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  <c r="AB2789" s="1"/>
      <c r="AC2789" s="1"/>
      <c r="AD2789" s="1"/>
      <c r="AE2789" s="1"/>
      <c r="AF2789" s="1"/>
      <c r="AG2789" s="1"/>
      <c r="AH2789" s="1"/>
    </row>
    <row r="2790" spans="1:34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  <c r="AB2790" s="1"/>
      <c r="AC2790" s="1"/>
      <c r="AD2790" s="1"/>
      <c r="AE2790" s="1"/>
      <c r="AF2790" s="1"/>
      <c r="AG2790" s="1"/>
      <c r="AH2790" s="1"/>
    </row>
    <row r="2791" spans="1:34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  <c r="AB2791" s="1"/>
      <c r="AC2791" s="1"/>
      <c r="AD2791" s="1"/>
      <c r="AE2791" s="1"/>
      <c r="AF2791" s="1"/>
      <c r="AG2791" s="1"/>
      <c r="AH2791" s="1"/>
    </row>
    <row r="2792" spans="1:34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  <c r="AB2792" s="1"/>
      <c r="AC2792" s="1"/>
      <c r="AD2792" s="1"/>
      <c r="AE2792" s="1"/>
      <c r="AF2792" s="1"/>
      <c r="AG2792" s="1"/>
      <c r="AH2792" s="1"/>
    </row>
    <row r="2793" spans="1:34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  <c r="AB2793" s="1"/>
      <c r="AC2793" s="1"/>
      <c r="AD2793" s="1"/>
      <c r="AE2793" s="1"/>
      <c r="AF2793" s="1"/>
      <c r="AG2793" s="1"/>
      <c r="AH2793" s="1"/>
    </row>
    <row r="2794" spans="1:34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  <c r="AB2794" s="1"/>
      <c r="AC2794" s="1"/>
      <c r="AD2794" s="1"/>
      <c r="AE2794" s="1"/>
      <c r="AF2794" s="1"/>
      <c r="AG2794" s="1"/>
      <c r="AH2794" s="1"/>
    </row>
    <row r="2795" spans="1:34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  <c r="AB2795" s="1"/>
      <c r="AC2795" s="1"/>
      <c r="AD2795" s="1"/>
      <c r="AE2795" s="1"/>
      <c r="AF2795" s="1"/>
      <c r="AG2795" s="1"/>
      <c r="AH2795" s="1"/>
    </row>
    <row r="2796" spans="1:34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  <c r="AB2796" s="1"/>
      <c r="AC2796" s="1"/>
      <c r="AD2796" s="1"/>
      <c r="AE2796" s="1"/>
      <c r="AF2796" s="1"/>
      <c r="AG2796" s="1"/>
      <c r="AH2796" s="1"/>
    </row>
    <row r="2797" spans="1:34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</row>
    <row r="2798" spans="1:34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</row>
    <row r="2799" spans="1:34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</row>
    <row r="2800" spans="1:34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</row>
    <row r="2801" spans="1:34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</row>
    <row r="2802" spans="1:34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</row>
    <row r="2803" spans="1:34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</row>
    <row r="2804" spans="1:34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</row>
    <row r="2805" spans="1:34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</row>
    <row r="2806" spans="1:34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</row>
    <row r="2807" spans="1:34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</row>
    <row r="2808" spans="1:34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</row>
    <row r="2809" spans="1:34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</row>
    <row r="2810" spans="1:34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</row>
    <row r="2811" spans="1:34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</row>
    <row r="2812" spans="1:34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</row>
    <row r="2813" spans="1:34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</row>
    <row r="2814" spans="1:34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</row>
    <row r="2815" spans="1:34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</row>
    <row r="2816" spans="1:34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</row>
    <row r="2817" spans="1:34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</row>
    <row r="2818" spans="1:34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</row>
    <row r="2819" spans="1:34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</row>
    <row r="2820" spans="1:34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</row>
    <row r="2821" spans="1:34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</row>
    <row r="2822" spans="1:34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</row>
    <row r="2823" spans="1:34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</row>
    <row r="2824" spans="1:34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</row>
    <row r="2825" spans="1:34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</row>
    <row r="2826" spans="1:34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</row>
    <row r="2827" spans="1:34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</row>
    <row r="2828" spans="1:34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</row>
    <row r="2829" spans="1:34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</row>
    <row r="2830" spans="1:34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</row>
    <row r="2831" spans="1:34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</row>
    <row r="2832" spans="1:34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</row>
    <row r="2833" spans="1:34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</row>
    <row r="2834" spans="1:34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</row>
    <row r="2835" spans="1:34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</row>
    <row r="2836" spans="1:34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</row>
    <row r="2837" spans="1:34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</row>
    <row r="2838" spans="1:34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</row>
    <row r="2839" spans="1:34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</row>
    <row r="2840" spans="1:34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</row>
    <row r="2841" spans="1:34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</row>
    <row r="2842" spans="1:34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</row>
    <row r="2843" spans="1:34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</row>
    <row r="2844" spans="1:34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</row>
    <row r="2845" spans="1:34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</row>
    <row r="2846" spans="1:34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</row>
    <row r="2847" spans="1:34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</row>
    <row r="2848" spans="1:34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</row>
    <row r="2849" spans="1:34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</row>
    <row r="2850" spans="1:34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</row>
    <row r="2851" spans="1:34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</row>
    <row r="2852" spans="1:34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</row>
    <row r="2853" spans="1:34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</row>
    <row r="2854" spans="1:34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</row>
    <row r="2855" spans="1:34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</row>
    <row r="2856" spans="1:34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</row>
    <row r="2857" spans="1:34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</row>
    <row r="2858" spans="1:34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</row>
    <row r="2859" spans="1:34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</row>
    <row r="2860" spans="1:34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</row>
    <row r="2861" spans="1:34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</row>
    <row r="2862" spans="1:34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</row>
    <row r="2863" spans="1:34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</row>
    <row r="2864" spans="1:34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</row>
    <row r="2865" spans="1:34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</row>
    <row r="2866" spans="1:34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</row>
    <row r="2867" spans="1:34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</row>
    <row r="2868" spans="1:34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</row>
    <row r="2869" spans="1:34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</row>
    <row r="2870" spans="1:34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</row>
    <row r="2871" spans="1:34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</row>
    <row r="2872" spans="1:34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</row>
    <row r="2873" spans="1:34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</row>
    <row r="2874" spans="1:34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</row>
    <row r="2875" spans="1:34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</row>
    <row r="2876" spans="1:34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</row>
    <row r="2877" spans="1:34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</row>
    <row r="2878" spans="1:34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</row>
    <row r="2879" spans="1:34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</row>
    <row r="2880" spans="1:34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</row>
    <row r="2881" spans="1:34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</row>
    <row r="2882" spans="1:34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</row>
    <row r="2883" spans="1:34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</row>
    <row r="2884" spans="1:34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</row>
    <row r="2885" spans="1:34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</row>
    <row r="2886" spans="1:34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</row>
    <row r="2887" spans="1:34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</row>
    <row r="2888" spans="1:34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</row>
    <row r="2889" spans="1:34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</row>
    <row r="2890" spans="1:34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</row>
    <row r="2891" spans="1:34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</row>
    <row r="2892" spans="1:34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</row>
    <row r="2893" spans="1:34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</row>
    <row r="2894" spans="1:34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</row>
    <row r="2895" spans="1:34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</row>
    <row r="2896" spans="1:34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</row>
    <row r="2897" spans="1:34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</row>
    <row r="2898" spans="1:34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</row>
    <row r="2899" spans="1:34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</row>
    <row r="2900" spans="1:34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</row>
    <row r="2901" spans="1:34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</row>
    <row r="2902" spans="1:34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</row>
    <row r="2903" spans="1:34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</row>
    <row r="2904" spans="1:34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</row>
    <row r="2905" spans="1:34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</row>
    <row r="2906" spans="1:34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</row>
    <row r="2907" spans="1:34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</row>
    <row r="2908" spans="1:34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</row>
    <row r="2909" spans="1:34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</row>
    <row r="2910" spans="1:34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</row>
    <row r="2911" spans="1:34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</row>
    <row r="2912" spans="1:34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</row>
    <row r="2913" spans="1:34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</row>
    <row r="2914" spans="1:34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</row>
    <row r="2915" spans="1:34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</row>
    <row r="2916" spans="1:34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</row>
    <row r="2917" spans="1:34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</row>
    <row r="2918" spans="1:34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</row>
    <row r="2919" spans="1:34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</row>
    <row r="2920" spans="1:34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</row>
    <row r="2921" spans="1:34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</row>
    <row r="2922" spans="1:34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</row>
    <row r="2923" spans="1:34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</row>
    <row r="2924" spans="1:34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</row>
    <row r="2925" spans="1:34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</row>
    <row r="2926" spans="1:34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</row>
    <row r="2927" spans="1:34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</row>
    <row r="2928" spans="1:34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</row>
    <row r="2929" spans="1:34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</row>
    <row r="2930" spans="1:34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</row>
    <row r="2931" spans="1:34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</row>
    <row r="2932" spans="1:34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</row>
    <row r="2933" spans="1:34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</row>
    <row r="2934" spans="1:34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</row>
    <row r="2935" spans="1:34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</row>
    <row r="2936" spans="1:34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</row>
    <row r="2937" spans="1:34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</row>
    <row r="2938" spans="1:34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</row>
    <row r="2939" spans="1:34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</row>
    <row r="2940" spans="1:34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</row>
    <row r="2941" spans="1:34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</row>
    <row r="2942" spans="1:34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</row>
    <row r="2943" spans="1:34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</row>
    <row r="2944" spans="1:34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</row>
    <row r="2945" spans="1:34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</row>
    <row r="2946" spans="1:34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</row>
    <row r="2947" spans="1:34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</row>
    <row r="2948" spans="1:34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</row>
    <row r="2949" spans="1:34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</row>
    <row r="2950" spans="1:34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</row>
    <row r="2951" spans="1:34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</row>
    <row r="2952" spans="1:34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</row>
    <row r="2953" spans="1:34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</row>
    <row r="2954" spans="1:34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</row>
    <row r="2955" spans="1:34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</row>
    <row r="2956" spans="1:34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</row>
    <row r="2957" spans="1:34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</row>
    <row r="2958" spans="1:34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</row>
    <row r="2959" spans="1:34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</row>
    <row r="2960" spans="1:34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</row>
    <row r="2961" spans="1:34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</row>
    <row r="2962" spans="1:34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</row>
    <row r="2963" spans="1:34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</row>
    <row r="2964" spans="1:34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</row>
    <row r="2965" spans="1:34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</row>
    <row r="2966" spans="1:34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</row>
    <row r="2967" spans="1:34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</row>
    <row r="2968" spans="1:34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</row>
    <row r="2969" spans="1:34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</row>
    <row r="2970" spans="1:34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</row>
    <row r="2971" spans="1:34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</row>
    <row r="2972" spans="1:34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</row>
    <row r="2973" spans="1:34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</row>
    <row r="2974" spans="1:34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</row>
    <row r="2975" spans="1:34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</row>
    <row r="2976" spans="1:34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</row>
    <row r="2977" spans="1:34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</row>
    <row r="2978" spans="1:34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</row>
    <row r="2979" spans="1:34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</row>
    <row r="2980" spans="1:34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</row>
    <row r="2981" spans="1:34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</row>
    <row r="2982" spans="1:34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</row>
    <row r="2983" spans="1:34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</row>
    <row r="2984" spans="1:34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</row>
    <row r="2985" spans="1:34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</row>
    <row r="2986" spans="1:34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</row>
    <row r="2987" spans="1:34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</row>
    <row r="2988" spans="1:34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</row>
    <row r="2989" spans="1:34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</row>
    <row r="2990" spans="1:34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</row>
    <row r="2991" spans="1:34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</row>
    <row r="2992" spans="1:34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</row>
    <row r="2993" spans="1:34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</row>
    <row r="2994" spans="1:34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</row>
    <row r="2995" spans="1:34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</row>
    <row r="2996" spans="1:34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</row>
    <row r="2997" spans="1:34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</row>
    <row r="2998" spans="1:34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</row>
    <row r="2999" spans="1:34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</row>
    <row r="3000" spans="1:34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</row>
    <row r="3001" spans="1:34">
      <c r="A3001" s="1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</row>
    <row r="3002" spans="1:34">
      <c r="A3002" s="1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</row>
    <row r="3003" spans="1:34">
      <c r="A3003" s="1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</row>
    <row r="3004" spans="1:34">
      <c r="A3004" s="1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</row>
    <row r="3005" spans="1:34">
      <c r="A3005" s="1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</row>
    <row r="3006" spans="1:34">
      <c r="A3006" s="1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</row>
    <row r="3007" spans="1:34">
      <c r="A3007" s="1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</row>
    <row r="3008" spans="1:34">
      <c r="A3008" s="1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</row>
    <row r="3009" spans="1:34">
      <c r="A3009" s="1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</row>
    <row r="3010" spans="1:34">
      <c r="A3010" s="1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</row>
    <row r="3011" spans="1:34">
      <c r="A3011" s="1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</row>
    <row r="3012" spans="1:34">
      <c r="A3012" s="1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</row>
    <row r="3013" spans="1:34">
      <c r="A3013" s="1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</row>
    <row r="3014" spans="1:34">
      <c r="A3014" s="1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</row>
    <row r="3015" spans="1:34">
      <c r="A3015" s="1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</row>
    <row r="3016" spans="1:34">
      <c r="A3016" s="1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</row>
    <row r="3017" spans="1:34">
      <c r="A3017" s="1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</row>
    <row r="3018" spans="1:34">
      <c r="A3018" s="1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</row>
    <row r="3019" spans="1:34">
      <c r="A3019" s="1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</row>
    <row r="3020" spans="1:34">
      <c r="A3020" s="1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</row>
    <row r="3021" spans="1:34">
      <c r="A3021" s="1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</row>
    <row r="3022" spans="1:34">
      <c r="A3022" s="1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</row>
    <row r="3023" spans="1:34">
      <c r="A3023" s="1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</row>
    <row r="3024" spans="1:34">
      <c r="A3024" s="1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</row>
    <row r="3025" spans="1:34">
      <c r="A3025" s="1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</row>
    <row r="3026" spans="1:34">
      <c r="A3026" s="1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</row>
    <row r="3027" spans="1:34">
      <c r="A3027" s="1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</row>
    <row r="3028" spans="1:34">
      <c r="A3028" s="1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</row>
    <row r="3029" spans="1:34">
      <c r="A3029" s="1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</row>
    <row r="3030" spans="1:34">
      <c r="A3030" s="1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</row>
    <row r="3031" spans="1:34">
      <c r="A3031" s="1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</row>
    <row r="3032" spans="1:34">
      <c r="A3032" s="1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</row>
    <row r="3033" spans="1:34">
      <c r="A3033" s="1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</row>
    <row r="3034" spans="1:34">
      <c r="A3034" s="1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</row>
    <row r="3035" spans="1:34">
      <c r="A3035" s="1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</row>
    <row r="3036" spans="1:34">
      <c r="A3036" s="1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</row>
    <row r="3037" spans="1:34">
      <c r="A3037" s="1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</row>
    <row r="3038" spans="1:34">
      <c r="A3038" s="1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</row>
    <row r="3039" spans="1:34">
      <c r="A3039" s="1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</row>
    <row r="3040" spans="1:34">
      <c r="A3040" s="1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</row>
    <row r="3041" spans="1:34">
      <c r="A3041" s="1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</row>
    <row r="3042" spans="1:34">
      <c r="A3042" s="1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</row>
    <row r="3043" spans="1:34">
      <c r="A3043" s="1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</row>
    <row r="3044" spans="1:34">
      <c r="A3044" s="1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</row>
    <row r="3045" spans="1:34">
      <c r="A3045" s="1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</row>
    <row r="3046" spans="1:34">
      <c r="A3046" s="1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</row>
    <row r="3047" spans="1:34">
      <c r="A3047" s="1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</row>
    <row r="3048" spans="1:34">
      <c r="A3048" s="1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</row>
    <row r="3049" spans="1:34">
      <c r="A3049" s="1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</row>
    <row r="3050" spans="1:34">
      <c r="A3050" s="1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</row>
    <row r="3051" spans="1:34">
      <c r="A3051" s="1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</row>
    <row r="3052" spans="1:34">
      <c r="A3052" s="1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</row>
    <row r="3053" spans="1:34">
      <c r="A3053" s="1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</row>
    <row r="3054" spans="1:34">
      <c r="A3054" s="1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</row>
    <row r="3055" spans="1:34">
      <c r="A3055" s="1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</row>
    <row r="3056" spans="1:34">
      <c r="A3056" s="1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</row>
    <row r="3057" spans="1:34">
      <c r="A3057" s="1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</row>
    <row r="3058" spans="1:34">
      <c r="A3058" s="1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</row>
    <row r="3059" spans="1:34">
      <c r="A3059" s="1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</row>
    <row r="3060" spans="1:34">
      <c r="A3060" s="1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</row>
    <row r="3061" spans="1:34">
      <c r="A3061" s="1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</row>
    <row r="3062" spans="1:34">
      <c r="A3062" s="1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</row>
    <row r="3063" spans="1:34">
      <c r="A3063" s="1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</row>
    <row r="3064" spans="1:34">
      <c r="A3064" s="1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</row>
    <row r="3065" spans="1:34">
      <c r="A3065" s="1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</row>
    <row r="3066" spans="1:34">
      <c r="A3066" s="1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</row>
    <row r="3067" spans="1:34">
      <c r="A3067" s="1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</row>
    <row r="3068" spans="1:34">
      <c r="A3068" s="1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</row>
    <row r="3069" spans="1:34">
      <c r="A3069" s="1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</row>
    <row r="3070" spans="1:34">
      <c r="A3070" s="1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</row>
    <row r="3071" spans="1:34">
      <c r="A3071" s="1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</row>
    <row r="3072" spans="1:34">
      <c r="A3072" s="1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</row>
    <row r="3073" spans="1:34">
      <c r="A3073" s="1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</row>
    <row r="3074" spans="1:34">
      <c r="A3074" s="1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</row>
    <row r="3075" spans="1:34">
      <c r="A3075" s="1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</row>
    <row r="3076" spans="1:34">
      <c r="A3076" s="1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</row>
    <row r="3077" spans="1:34">
      <c r="A3077" s="1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</row>
    <row r="3078" spans="1:34">
      <c r="A3078" s="1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</row>
    <row r="3079" spans="1:34">
      <c r="A3079" s="1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</row>
    <row r="3080" spans="1:34">
      <c r="A3080" s="1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</row>
    <row r="3081" spans="1:34">
      <c r="A3081" s="1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</row>
    <row r="3082" spans="1:34">
      <c r="A3082" s="1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</row>
    <row r="3083" spans="1:34">
      <c r="A3083" s="1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</row>
    <row r="3084" spans="1:34">
      <c r="A3084" s="1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</row>
    <row r="3085" spans="1:34">
      <c r="A3085" s="1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</row>
    <row r="3086" spans="1:34">
      <c r="A3086" s="1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</row>
    <row r="3087" spans="1:34">
      <c r="A3087" s="1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</row>
    <row r="3088" spans="1:34">
      <c r="A3088" s="1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</row>
    <row r="3089" spans="1:34">
      <c r="A3089" s="1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</row>
    <row r="3090" spans="1:34">
      <c r="A3090" s="1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</row>
    <row r="3091" spans="1:34">
      <c r="A3091" s="1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</row>
    <row r="3092" spans="1:34">
      <c r="A3092" s="1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</row>
    <row r="3093" spans="1:34">
      <c r="A3093" s="1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</row>
    <row r="3094" spans="1:34">
      <c r="A3094" s="1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</row>
    <row r="3095" spans="1:34">
      <c r="A3095" s="1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</row>
    <row r="3096" spans="1:34">
      <c r="A3096" s="1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</row>
    <row r="3097" spans="1:34">
      <c r="A3097" s="1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</row>
    <row r="3098" spans="1:34">
      <c r="A3098" s="1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</row>
    <row r="3099" spans="1:34">
      <c r="A3099" s="1"/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1"/>
    </row>
    <row r="3100" spans="1:34">
      <c r="A3100" s="1"/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1"/>
    </row>
    <row r="3101" spans="1:34">
      <c r="A3101" s="1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</row>
    <row r="3102" spans="1:34">
      <c r="A3102" s="1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</row>
    <row r="3103" spans="1:34">
      <c r="A3103" s="1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</row>
    <row r="3104" spans="1:34">
      <c r="A3104" s="1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</row>
    <row r="3105" spans="1:34">
      <c r="A3105" s="1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</row>
    <row r="3106" spans="1:34">
      <c r="A3106" s="1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</row>
    <row r="3107" spans="1:34">
      <c r="A3107" s="1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</row>
    <row r="3108" spans="1:34">
      <c r="A3108" s="1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</row>
    <row r="3109" spans="1:34">
      <c r="A3109" s="1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</row>
    <row r="3110" spans="1:34">
      <c r="A3110" s="1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</row>
    <row r="3111" spans="1:34">
      <c r="A3111" s="1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</row>
    <row r="3112" spans="1:34">
      <c r="A3112" s="1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</row>
    <row r="3113" spans="1:34">
      <c r="A3113" s="1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</row>
    <row r="3114" spans="1:34">
      <c r="A3114" s="1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</row>
    <row r="3115" spans="1:34">
      <c r="A3115" s="1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</row>
    <row r="3116" spans="1:34">
      <c r="A3116" s="1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</row>
    <row r="3117" spans="1:34">
      <c r="A3117" s="1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</row>
    <row r="3118" spans="1:34">
      <c r="A3118" s="1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</row>
    <row r="3119" spans="1:34">
      <c r="A3119" s="1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</row>
    <row r="3120" spans="1:34">
      <c r="A3120" s="1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</row>
    <row r="3121" spans="1:34">
      <c r="A3121" s="1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</row>
    <row r="3122" spans="1:34">
      <c r="A3122" s="1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</row>
    <row r="3123" spans="1:34">
      <c r="A3123" s="1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</row>
    <row r="3124" spans="1:34">
      <c r="A3124" s="1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</row>
    <row r="3125" spans="1:34">
      <c r="A3125" s="1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</row>
    <row r="3126" spans="1:34">
      <c r="A3126" s="1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</row>
    <row r="3127" spans="1:34">
      <c r="A3127" s="1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</row>
    <row r="3128" spans="1:34">
      <c r="A3128" s="1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</row>
    <row r="3129" spans="1:34">
      <c r="A3129" s="1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</row>
    <row r="3130" spans="1:34">
      <c r="A3130" s="1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</row>
    <row r="3131" spans="1:34">
      <c r="A3131" s="1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</row>
    <row r="3132" spans="1:34">
      <c r="A3132" s="1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</row>
    <row r="3133" spans="1:34">
      <c r="A3133" s="1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</row>
    <row r="3134" spans="1:34">
      <c r="A3134" s="1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</row>
    <row r="3135" spans="1:34">
      <c r="A3135" s="1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</row>
    <row r="3136" spans="1:34">
      <c r="A3136" s="1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</row>
    <row r="3137" spans="1:34">
      <c r="A3137" s="1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</row>
    <row r="3138" spans="1:34">
      <c r="A3138" s="1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</row>
    <row r="3139" spans="1:34">
      <c r="A3139" s="1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</row>
    <row r="3140" spans="1:34">
      <c r="A3140" s="1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</row>
    <row r="3141" spans="1:34">
      <c r="A3141" s="1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</row>
    <row r="3142" spans="1:34">
      <c r="A3142" s="1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</row>
    <row r="3143" spans="1:34">
      <c r="A3143" s="1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</row>
    <row r="3144" spans="1:34">
      <c r="A3144" s="1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</row>
    <row r="3145" spans="1:34">
      <c r="A3145" s="1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</row>
    <row r="3146" spans="1:34">
      <c r="A3146" s="1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</row>
    <row r="3147" spans="1:34">
      <c r="A3147" s="1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</row>
    <row r="3148" spans="1:34">
      <c r="A3148" s="1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</row>
    <row r="3149" spans="1:34">
      <c r="A3149" s="1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</row>
    <row r="3150" spans="1:34">
      <c r="A3150" s="1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</row>
    <row r="3151" spans="1:34">
      <c r="A3151" s="1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</row>
    <row r="3152" spans="1:34">
      <c r="A3152" s="1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</row>
    <row r="3153" spans="1:34">
      <c r="A3153" s="1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</row>
    <row r="3154" spans="1:34">
      <c r="A3154" s="1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</row>
    <row r="3155" spans="1:34">
      <c r="A3155" s="1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</row>
    <row r="3156" spans="1:34">
      <c r="A3156" s="1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</row>
    <row r="3157" spans="1:34">
      <c r="A3157" s="1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</row>
    <row r="3158" spans="1:34">
      <c r="A3158" s="1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</row>
    <row r="3159" spans="1:34">
      <c r="A3159" s="1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</row>
    <row r="3160" spans="1:34">
      <c r="A3160" s="1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</row>
    <row r="3161" spans="1:34">
      <c r="A3161" s="1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</row>
    <row r="3162" spans="1:34">
      <c r="A3162" s="1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</row>
    <row r="3163" spans="1:34">
      <c r="A3163" s="1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</row>
    <row r="3164" spans="1:34">
      <c r="A3164" s="1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</row>
    <row r="3165" spans="1:34">
      <c r="A3165" s="1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</row>
    <row r="3166" spans="1:34">
      <c r="A3166" s="1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</row>
    <row r="3167" spans="1:34">
      <c r="A3167" s="1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</row>
    <row r="3168" spans="1:34">
      <c r="A3168" s="1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</row>
    <row r="3169" spans="1:34">
      <c r="A3169" s="1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</row>
    <row r="3170" spans="1:34">
      <c r="A3170" s="1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</row>
    <row r="3171" spans="1:34">
      <c r="A3171" s="1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</row>
    <row r="3172" spans="1:34">
      <c r="A3172" s="1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</row>
    <row r="3173" spans="1:34">
      <c r="A3173" s="1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</row>
    <row r="3174" spans="1:34">
      <c r="A3174" s="1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</row>
    <row r="3175" spans="1:34">
      <c r="A3175" s="1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</row>
    <row r="3176" spans="1:34">
      <c r="A3176" s="1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</row>
    <row r="3177" spans="1:34">
      <c r="A3177" s="1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</row>
    <row r="3178" spans="1:34">
      <c r="A3178" s="1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</row>
    <row r="3179" spans="1:34">
      <c r="A3179" s="1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</row>
    <row r="3180" spans="1:34">
      <c r="A3180" s="1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</row>
    <row r="3181" spans="1:34">
      <c r="A3181" s="1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</row>
    <row r="3182" spans="1:34">
      <c r="A3182" s="1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</row>
    <row r="3183" spans="1:34">
      <c r="A3183" s="1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</row>
    <row r="3184" spans="1:34">
      <c r="A3184" s="1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</row>
    <row r="3185" spans="1:34">
      <c r="A3185" s="1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</row>
    <row r="3186" spans="1:34">
      <c r="A3186" s="1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</row>
    <row r="3187" spans="1:34">
      <c r="A3187" s="1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</row>
    <row r="3188" spans="1:34">
      <c r="A3188" s="1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</row>
    <row r="3189" spans="1:34">
      <c r="A3189" s="1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</row>
    <row r="3190" spans="1:34">
      <c r="A3190" s="1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</row>
    <row r="3191" spans="1:34">
      <c r="A3191" s="1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</row>
    <row r="3192" spans="1:34">
      <c r="A3192" s="1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</row>
    <row r="3193" spans="1:34">
      <c r="A3193" s="1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</row>
    <row r="3194" spans="1:34">
      <c r="A3194" s="1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</row>
    <row r="3195" spans="1:34">
      <c r="A3195" s="1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</row>
    <row r="3196" spans="1:34">
      <c r="A3196" s="1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</row>
    <row r="3197" spans="1:34">
      <c r="A3197" s="1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</row>
    <row r="3198" spans="1:34">
      <c r="A3198" s="1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</row>
    <row r="3199" spans="1:34">
      <c r="A3199" s="1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</row>
    <row r="3200" spans="1:34">
      <c r="A3200" s="1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</row>
    <row r="3201" spans="1:34">
      <c r="A3201" s="1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</row>
    <row r="3202" spans="1:34">
      <c r="A3202" s="1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</row>
    <row r="3203" spans="1:34">
      <c r="A3203" s="1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</row>
    <row r="3204" spans="1:34">
      <c r="A3204" s="1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</row>
    <row r="3205" spans="1:34">
      <c r="A3205" s="1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</row>
    <row r="3206" spans="1:34">
      <c r="A3206" s="1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</row>
    <row r="3207" spans="1:34">
      <c r="A3207" s="1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</row>
    <row r="3208" spans="1:34">
      <c r="A3208" s="1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</row>
    <row r="3209" spans="1:34">
      <c r="A3209" s="1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</row>
    <row r="3210" spans="1:34">
      <c r="A3210" s="1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</row>
    <row r="3211" spans="1:34">
      <c r="A3211" s="1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</row>
    <row r="3212" spans="1:34">
      <c r="A3212" s="1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</row>
    <row r="3213" spans="1:34">
      <c r="A3213" s="1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</row>
    <row r="3214" spans="1:34">
      <c r="A3214" s="1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</row>
    <row r="3215" spans="1:34">
      <c r="A3215" s="1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</row>
    <row r="3216" spans="1:34">
      <c r="A3216" s="1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</row>
    <row r="3217" spans="1:34">
      <c r="A3217" s="1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</row>
    <row r="3218" spans="1:34">
      <c r="A3218" s="1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</row>
    <row r="3219" spans="1:34">
      <c r="A3219" s="1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</row>
    <row r="3220" spans="1:34">
      <c r="A3220" s="1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</row>
    <row r="3221" spans="1:34">
      <c r="A3221" s="1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</row>
    <row r="3222" spans="1:34">
      <c r="A3222" s="1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</row>
    <row r="3223" spans="1:34">
      <c r="A3223" s="1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</row>
    <row r="3224" spans="1:34">
      <c r="A3224" s="1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</row>
    <row r="3225" spans="1:34">
      <c r="A3225" s="1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</row>
    <row r="3226" spans="1:34">
      <c r="A3226" s="1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</row>
    <row r="3227" spans="1:34">
      <c r="A3227" s="1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</row>
    <row r="3228" spans="1:34">
      <c r="A3228" s="1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</row>
    <row r="3229" spans="1:34">
      <c r="A3229" s="1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</row>
    <row r="3230" spans="1:34">
      <c r="A3230" s="1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</row>
    <row r="3231" spans="1:34">
      <c r="A3231" s="1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</row>
    <row r="3232" spans="1:34">
      <c r="A3232" s="1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</row>
    <row r="3233" spans="1:34">
      <c r="A3233" s="1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</row>
    <row r="3234" spans="1:34">
      <c r="A3234" s="1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</row>
    <row r="3235" spans="1:34">
      <c r="A3235" s="1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</row>
    <row r="3236" spans="1:34">
      <c r="A3236" s="1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</row>
    <row r="3237" spans="1:34">
      <c r="A3237" s="1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</row>
    <row r="3238" spans="1:34">
      <c r="A3238" s="1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</row>
    <row r="3239" spans="1:34">
      <c r="A3239" s="1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</row>
    <row r="3240" spans="1:34">
      <c r="A3240" s="1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</row>
    <row r="3241" spans="1:34">
      <c r="A3241" s="1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</row>
    <row r="3242" spans="1:34">
      <c r="A3242" s="1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</row>
    <row r="3243" spans="1:34">
      <c r="A3243" s="1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</row>
    <row r="3244" spans="1:34">
      <c r="A3244" s="1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</row>
    <row r="3245" spans="1:34">
      <c r="A3245" s="1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</row>
    <row r="3246" spans="1:34">
      <c r="A3246" s="1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</row>
    <row r="3247" spans="1:34">
      <c r="A3247" s="1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</row>
    <row r="3248" spans="1:34">
      <c r="A3248" s="1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</row>
    <row r="3249" spans="1:34">
      <c r="A3249" s="1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</row>
    <row r="3250" spans="1:34">
      <c r="A3250" s="1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</row>
    <row r="3251" spans="1:34">
      <c r="A3251" s="1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</row>
    <row r="3252" spans="1:34">
      <c r="A3252" s="1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</row>
    <row r="3253" spans="1:34">
      <c r="A3253" s="1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</row>
    <row r="3254" spans="1:34">
      <c r="A3254" s="1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</row>
    <row r="3255" spans="1:34">
      <c r="A3255" s="1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</row>
    <row r="3256" spans="1:34">
      <c r="A3256" s="1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</row>
    <row r="3257" spans="1:34">
      <c r="A3257" s="1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</row>
    <row r="3258" spans="1:34">
      <c r="A3258" s="1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</row>
    <row r="3259" spans="1:34">
      <c r="A3259" s="1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</row>
    <row r="3260" spans="1:34">
      <c r="A3260" s="1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</row>
    <row r="3261" spans="1:34">
      <c r="A3261" s="1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</row>
    <row r="3262" spans="1:34">
      <c r="A3262" s="1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</row>
    <row r="3263" spans="1:34">
      <c r="A3263" s="1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</row>
    <row r="3264" spans="1:34">
      <c r="A3264" s="1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</row>
    <row r="3265" spans="1:34">
      <c r="A3265" s="1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</row>
    <row r="3266" spans="1:34">
      <c r="A3266" s="1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</row>
    <row r="3267" spans="1:34">
      <c r="A3267" s="1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</row>
    <row r="3268" spans="1:34">
      <c r="A3268" s="1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</row>
    <row r="3269" spans="1:34">
      <c r="A3269" s="1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</row>
    <row r="3270" spans="1:34">
      <c r="A3270" s="1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</row>
    <row r="3271" spans="1:34">
      <c r="A3271" s="1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</row>
    <row r="3272" spans="1:34">
      <c r="A3272" s="1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</row>
    <row r="3273" spans="1:34">
      <c r="A3273" s="1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</row>
    <row r="3274" spans="1:34">
      <c r="A3274" s="1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</row>
    <row r="3275" spans="1:34">
      <c r="A3275" s="1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</row>
    <row r="3276" spans="1:34">
      <c r="A3276" s="1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</row>
    <row r="3277" spans="1:34">
      <c r="A3277" s="1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</row>
    <row r="3278" spans="1:34">
      <c r="A3278" s="1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</row>
    <row r="3279" spans="1:34">
      <c r="A3279" s="1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</row>
    <row r="3280" spans="1:34">
      <c r="A3280" s="1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</row>
    <row r="3281" spans="1:34">
      <c r="A3281" s="1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</row>
    <row r="3282" spans="1:34">
      <c r="A3282" s="1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</row>
    <row r="3283" spans="1:34">
      <c r="A3283" s="1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</row>
    <row r="3284" spans="1:34">
      <c r="A3284" s="1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</row>
    <row r="3285" spans="1:34">
      <c r="A3285" s="1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</row>
    <row r="3286" spans="1:34">
      <c r="A3286" s="1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</row>
    <row r="3287" spans="1:34">
      <c r="A3287" s="1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</row>
    <row r="3288" spans="1:34">
      <c r="A3288" s="1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</row>
    <row r="3289" spans="1:34">
      <c r="A3289" s="1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</row>
    <row r="3290" spans="1:34">
      <c r="A3290" s="1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</row>
    <row r="3291" spans="1:34">
      <c r="A3291" s="1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</row>
    <row r="3292" spans="1:34">
      <c r="A3292" s="1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</row>
    <row r="3293" spans="1:34">
      <c r="A3293" s="1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</row>
    <row r="3294" spans="1:34">
      <c r="A3294" s="1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</row>
    <row r="3295" spans="1:34">
      <c r="A3295" s="1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</row>
    <row r="3296" spans="1:34">
      <c r="A3296" s="1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</row>
    <row r="3297" spans="1:34">
      <c r="A3297" s="1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</row>
    <row r="3298" spans="1:34">
      <c r="A3298" s="1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</row>
    <row r="3299" spans="1:34">
      <c r="A3299" s="1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</row>
    <row r="3300" spans="1:34">
      <c r="A3300" s="1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</row>
    <row r="3301" spans="1:34">
      <c r="A3301" s="1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</row>
    <row r="3302" spans="1:34">
      <c r="A3302" s="1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</row>
    <row r="3303" spans="1:34">
      <c r="A3303" s="1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</row>
    <row r="3304" spans="1:34">
      <c r="A3304" s="1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</row>
    <row r="3305" spans="1:34">
      <c r="A3305" s="1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</row>
    <row r="3306" spans="1:34">
      <c r="A3306" s="1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</row>
    <row r="3307" spans="1:34">
      <c r="A3307" s="1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</row>
    <row r="3308" spans="1:34">
      <c r="A3308" s="1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</row>
    <row r="3309" spans="1:34">
      <c r="A3309" s="1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</row>
    <row r="3310" spans="1:34">
      <c r="A3310" s="1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</row>
    <row r="3311" spans="1:34">
      <c r="A3311" s="1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</row>
    <row r="3312" spans="1:34">
      <c r="A3312" s="1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</row>
    <row r="3313" spans="1:34">
      <c r="A3313" s="1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</row>
    <row r="3314" spans="1:34">
      <c r="A3314" s="1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</row>
    <row r="3315" spans="1:34">
      <c r="A3315" s="1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</row>
    <row r="3316" spans="1:34">
      <c r="A3316" s="1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</row>
    <row r="3317" spans="1:34">
      <c r="A3317" s="1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</row>
    <row r="3318" spans="1:34">
      <c r="A3318" s="1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</row>
    <row r="3319" spans="1:34">
      <c r="A3319" s="1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</row>
    <row r="3320" spans="1:34">
      <c r="A3320" s="1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</row>
    <row r="3321" spans="1:34">
      <c r="A3321" s="1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</row>
    <row r="3322" spans="1:34">
      <c r="A3322" s="1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</row>
    <row r="3323" spans="1:34">
      <c r="A3323" s="1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</row>
    <row r="3324" spans="1:34">
      <c r="A3324" s="1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</row>
    <row r="3325" spans="1:34">
      <c r="A3325" s="1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</row>
    <row r="3326" spans="1:34">
      <c r="A3326" s="1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</row>
    <row r="3327" spans="1:34">
      <c r="A3327" s="1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</row>
    <row r="3328" spans="1:34">
      <c r="A3328" s="1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</row>
    <row r="3329" spans="1:34">
      <c r="A3329" s="1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</row>
    <row r="3330" spans="1:34">
      <c r="A3330" s="1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</row>
    <row r="3331" spans="1:34">
      <c r="A3331" s="1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</row>
    <row r="3332" spans="1:34">
      <c r="A3332" s="1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</row>
    <row r="3333" spans="1:34">
      <c r="A3333" s="1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</row>
    <row r="3334" spans="1:34">
      <c r="A3334" s="1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</row>
    <row r="3335" spans="1:34">
      <c r="A3335" s="1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</row>
    <row r="3336" spans="1:34">
      <c r="A3336" s="1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</row>
    <row r="3337" spans="1:34">
      <c r="A3337" s="1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</row>
    <row r="3338" spans="1:34">
      <c r="A3338" s="1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</row>
    <row r="3339" spans="1:34">
      <c r="A3339" s="1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</row>
    <row r="3340" spans="1:34">
      <c r="A3340" s="1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</row>
    <row r="3341" spans="1:34">
      <c r="A3341" s="1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</row>
    <row r="3342" spans="1:34">
      <c r="A3342" s="1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</row>
    <row r="3343" spans="1:34">
      <c r="A3343" s="1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</row>
    <row r="3344" spans="1:34">
      <c r="A3344" s="1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</row>
    <row r="3345" spans="1:34">
      <c r="A3345" s="1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</row>
    <row r="3346" spans="1:34">
      <c r="A3346" s="1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</row>
    <row r="3347" spans="1:34">
      <c r="A3347" s="1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</row>
    <row r="3348" spans="1:34">
      <c r="A3348" s="1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</row>
    <row r="3349" spans="1:34">
      <c r="A3349" s="1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</row>
    <row r="3350" spans="1:34">
      <c r="A3350" s="1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</row>
    <row r="3351" spans="1:34">
      <c r="A3351" s="1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</row>
    <row r="3352" spans="1:34">
      <c r="A3352" s="1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</row>
    <row r="3353" spans="1:34">
      <c r="A3353" s="1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</row>
    <row r="3354" spans="1:34">
      <c r="A3354" s="1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</row>
    <row r="3355" spans="1:34">
      <c r="A3355" s="1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</row>
    <row r="3356" spans="1:34">
      <c r="A3356" s="1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</row>
    <row r="3357" spans="1:34">
      <c r="A3357" s="1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</row>
    <row r="3358" spans="1:34">
      <c r="A3358" s="1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</row>
    <row r="3359" spans="1:34">
      <c r="A3359" s="1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</row>
    <row r="3360" spans="1:34">
      <c r="A3360" s="1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</row>
    <row r="3361" spans="1:34">
      <c r="A3361" s="1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</row>
    <row r="3362" spans="1:34">
      <c r="A3362" s="1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</row>
    <row r="3363" spans="1:34">
      <c r="A3363" s="1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</row>
    <row r="3364" spans="1:34">
      <c r="A3364" s="1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</row>
    <row r="3365" spans="1:34">
      <c r="A3365" s="1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</row>
    <row r="3366" spans="1:34">
      <c r="A3366" s="1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</row>
    <row r="3367" spans="1:34">
      <c r="A3367" s="1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</row>
    <row r="3368" spans="1:34">
      <c r="A3368" s="1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</row>
    <row r="3369" spans="1:34">
      <c r="A3369" s="1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</row>
    <row r="3370" spans="1:34">
      <c r="A3370" s="1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</row>
    <row r="3371" spans="1:34">
      <c r="A3371" s="1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</row>
    <row r="3372" spans="1:34">
      <c r="A3372" s="1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</row>
    <row r="3373" spans="1:34">
      <c r="A3373" s="1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</row>
    <row r="3374" spans="1:34">
      <c r="A3374" s="1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</row>
    <row r="3375" spans="1:34">
      <c r="A3375" s="1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</row>
    <row r="3376" spans="1:34">
      <c r="A3376" s="1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</row>
    <row r="3377" spans="1:34">
      <c r="A3377" s="1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</row>
    <row r="3378" spans="1:34">
      <c r="A3378" s="1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</row>
    <row r="3379" spans="1:34">
      <c r="A3379" s="1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</row>
    <row r="3380" spans="1:34">
      <c r="A3380" s="1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</row>
    <row r="3381" spans="1:34">
      <c r="A3381" s="1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</row>
    <row r="3382" spans="1:34">
      <c r="A3382" s="1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</row>
    <row r="3383" spans="1:34">
      <c r="A3383" s="1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</row>
    <row r="3384" spans="1:34">
      <c r="A3384" s="1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</row>
    <row r="3385" spans="1:34">
      <c r="A3385" s="1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</row>
    <row r="3386" spans="1:34">
      <c r="A3386" s="1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</row>
    <row r="3387" spans="1:34">
      <c r="A3387" s="1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</row>
    <row r="3388" spans="1:34">
      <c r="A3388" s="1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</row>
    <row r="3389" spans="1:34">
      <c r="A3389" s="1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</row>
    <row r="3390" spans="1:34">
      <c r="A3390" s="1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</row>
    <row r="3391" spans="1:34">
      <c r="A3391" s="1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</row>
    <row r="3392" spans="1:34">
      <c r="A3392" s="1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</row>
    <row r="3393" spans="1:34">
      <c r="A3393" s="1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</row>
    <row r="3394" spans="1:34">
      <c r="A3394" s="1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</row>
    <row r="3395" spans="1:34">
      <c r="A3395" s="1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</row>
    <row r="3396" spans="1:34">
      <c r="A3396" s="1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</row>
    <row r="3397" spans="1:34">
      <c r="A3397" s="1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</row>
    <row r="3398" spans="1:34">
      <c r="A3398" s="1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</row>
    <row r="3399" spans="1:34">
      <c r="A3399" s="1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</row>
    <row r="3400" spans="1:34">
      <c r="A3400" s="1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</row>
    <row r="3401" spans="1:34">
      <c r="A3401" s="1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</row>
    <row r="3402" spans="1:34">
      <c r="A3402" s="1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</row>
    <row r="3403" spans="1:34">
      <c r="A3403" s="1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</row>
    <row r="3404" spans="1:34">
      <c r="A3404" s="1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</row>
    <row r="3405" spans="1:34">
      <c r="A3405" s="1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</row>
    <row r="3406" spans="1:34">
      <c r="A3406" s="1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</row>
    <row r="3407" spans="1:34">
      <c r="A3407" s="1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</row>
    <row r="3408" spans="1:34">
      <c r="A3408" s="1"/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1"/>
    </row>
    <row r="3409" spans="1:34">
      <c r="A3409" s="1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</row>
    <row r="3410" spans="1:34">
      <c r="A3410" s="1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</row>
    <row r="3411" spans="1:34">
      <c r="A3411" s="1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</row>
    <row r="3412" spans="1:34">
      <c r="A3412" s="1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</row>
    <row r="3413" spans="1:34">
      <c r="A3413" s="1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</row>
    <row r="3414" spans="1:34">
      <c r="A3414" s="1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</row>
    <row r="3415" spans="1:34">
      <c r="A3415" s="1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</row>
    <row r="3416" spans="1:34">
      <c r="A3416" s="1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</row>
    <row r="3417" spans="1:34">
      <c r="A3417" s="1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</row>
    <row r="3418" spans="1:34">
      <c r="A3418" s="1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</row>
    <row r="3419" spans="1:34">
      <c r="A3419" s="1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</row>
    <row r="3420" spans="1:34">
      <c r="A3420" s="1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</row>
    <row r="3421" spans="1:34">
      <c r="A3421" s="1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</row>
    <row r="3422" spans="1:34">
      <c r="A3422" s="1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</row>
    <row r="3423" spans="1:34">
      <c r="A3423" s="1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</row>
    <row r="3424" spans="1:34">
      <c r="A3424" s="1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</row>
    <row r="3425" spans="1:34">
      <c r="A3425" s="1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</row>
    <row r="3426" spans="1:34">
      <c r="A3426" s="1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</row>
    <row r="3427" spans="1:34">
      <c r="A3427" s="1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</row>
    <row r="3428" spans="1:34">
      <c r="A3428" s="1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</row>
    <row r="3429" spans="1:34">
      <c r="A3429" s="1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</row>
    <row r="3430" spans="1:34">
      <c r="A3430" s="1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</row>
    <row r="3431" spans="1:34">
      <c r="A3431" s="1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</row>
    <row r="3432" spans="1:34">
      <c r="A3432" s="1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</row>
    <row r="3433" spans="1:34">
      <c r="A3433" s="1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</row>
    <row r="3434" spans="1:34">
      <c r="A3434" s="1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</row>
    <row r="3435" spans="1:34">
      <c r="A3435" s="1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</row>
    <row r="3436" spans="1:34">
      <c r="A3436" s="1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</row>
    <row r="3437" spans="1:34">
      <c r="A3437" s="1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</row>
    <row r="3438" spans="1:34">
      <c r="A3438" s="1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</row>
    <row r="3439" spans="1:34">
      <c r="A3439" s="1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</row>
    <row r="3440" spans="1:34">
      <c r="A3440" s="1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</row>
    <row r="3441" spans="1:34">
      <c r="A3441" s="1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</row>
    <row r="3442" spans="1:34">
      <c r="A3442" s="1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</row>
    <row r="3443" spans="1:34">
      <c r="A3443" s="1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</row>
    <row r="3444" spans="1:34">
      <c r="A3444" s="1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</row>
    <row r="3445" spans="1:34">
      <c r="A3445" s="1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</row>
    <row r="3446" spans="1:34">
      <c r="A3446" s="1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</row>
    <row r="3447" spans="1:34">
      <c r="A3447" s="1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</row>
    <row r="3448" spans="1:34">
      <c r="A3448" s="1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</row>
    <row r="3449" spans="1:34">
      <c r="A3449" s="1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</row>
    <row r="3450" spans="1:34">
      <c r="A3450" s="1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</row>
    <row r="3451" spans="1:34">
      <c r="A3451" s="1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</row>
    <row r="3452" spans="1:34">
      <c r="A3452" s="1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</row>
    <row r="3453" spans="1:34">
      <c r="A3453" s="1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</row>
    <row r="3454" spans="1:34">
      <c r="A3454" s="1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</row>
    <row r="3455" spans="1:34">
      <c r="A3455" s="1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</row>
    <row r="3456" spans="1:34">
      <c r="A3456" s="1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</row>
    <row r="3457" spans="1:34">
      <c r="A3457" s="1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</row>
    <row r="3458" spans="1:34">
      <c r="A3458" s="1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</row>
    <row r="3459" spans="1:34">
      <c r="A3459" s="1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</row>
    <row r="3460" spans="1:34">
      <c r="A3460" s="1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</row>
    <row r="3461" spans="1:34">
      <c r="A3461" s="1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</row>
    <row r="3462" spans="1:34">
      <c r="A3462" s="1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</row>
    <row r="3463" spans="1:34">
      <c r="A3463" s="1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</row>
    <row r="3464" spans="1:34">
      <c r="A3464" s="1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</row>
    <row r="3465" spans="1:34">
      <c r="A3465" s="1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</row>
    <row r="3466" spans="1:34">
      <c r="A3466" s="1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</row>
    <row r="3467" spans="1:34">
      <c r="A3467" s="1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</row>
    <row r="3468" spans="1:34">
      <c r="A3468" s="1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</row>
    <row r="3469" spans="1:34">
      <c r="A3469" s="1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</row>
    <row r="3470" spans="1:34">
      <c r="A3470" s="1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</row>
    <row r="3471" spans="1:34">
      <c r="A3471" s="1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</row>
    <row r="3472" spans="1:34">
      <c r="A3472" s="1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</row>
    <row r="3473" spans="1:34">
      <c r="A3473" s="1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</row>
    <row r="3474" spans="1:34">
      <c r="A3474" s="1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</row>
    <row r="3475" spans="1:34">
      <c r="A3475" s="1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</row>
    <row r="3476" spans="1:34">
      <c r="A3476" s="1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</row>
    <row r="3477" spans="1:34">
      <c r="A3477" s="1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</row>
    <row r="3478" spans="1:34">
      <c r="A3478" s="1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</row>
    <row r="3479" spans="1:34">
      <c r="A3479" s="1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</row>
    <row r="3480" spans="1:34">
      <c r="A3480" s="1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</row>
    <row r="3481" spans="1:34">
      <c r="A3481" s="1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</row>
    <row r="3482" spans="1:34">
      <c r="A3482" s="1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</row>
    <row r="3483" spans="1:34">
      <c r="A3483" s="1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</row>
    <row r="3484" spans="1:34">
      <c r="A3484" s="1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</row>
    <row r="3485" spans="1:34">
      <c r="A3485" s="1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</row>
    <row r="3486" spans="1:34">
      <c r="A3486" s="1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</row>
    <row r="3487" spans="1:34">
      <c r="A3487" s="1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</row>
    <row r="3488" spans="1:34">
      <c r="A3488" s="1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</row>
    <row r="3489" spans="1:34">
      <c r="A3489" s="1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</row>
    <row r="3490" spans="1:34">
      <c r="A3490" s="1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</row>
    <row r="3491" spans="1:34">
      <c r="A3491" s="1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</row>
    <row r="3492" spans="1:34">
      <c r="A3492" s="1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</row>
    <row r="3493" spans="1:34">
      <c r="A3493" s="1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</row>
    <row r="3494" spans="1:34">
      <c r="A3494" s="1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</row>
    <row r="3495" spans="1:34">
      <c r="A3495" s="1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</row>
    <row r="3496" spans="1:34">
      <c r="A3496" s="1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</row>
    <row r="3497" spans="1:34">
      <c r="A3497" s="1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</row>
    <row r="3498" spans="1:34">
      <c r="A3498" s="1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</row>
    <row r="3499" spans="1:34">
      <c r="A3499" s="1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</row>
    <row r="3500" spans="1:34">
      <c r="A3500" s="1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</row>
    <row r="3501" spans="1:34">
      <c r="A3501" s="1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</row>
    <row r="3502" spans="1:34">
      <c r="A3502" s="1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</row>
    <row r="3503" spans="1:34">
      <c r="A3503" s="1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</row>
    <row r="3504" spans="1:34">
      <c r="A3504" s="1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</row>
    <row r="3505" spans="1:34">
      <c r="A3505" s="1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</row>
    <row r="3506" spans="1:34">
      <c r="A3506" s="1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</row>
    <row r="3507" spans="1:34">
      <c r="A3507" s="1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</row>
    <row r="3508" spans="1:34">
      <c r="A3508" s="1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</row>
    <row r="3509" spans="1:34">
      <c r="A3509" s="1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</row>
    <row r="3510" spans="1:34">
      <c r="A3510" s="1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</row>
    <row r="3511" spans="1:34">
      <c r="A3511" s="1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</row>
    <row r="3512" spans="1:34">
      <c r="A3512" s="1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</row>
    <row r="3513" spans="1:34">
      <c r="A3513" s="1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</row>
    <row r="3514" spans="1:34">
      <c r="A3514" s="1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</row>
    <row r="3515" spans="1:34">
      <c r="A3515" s="1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</row>
    <row r="3516" spans="1:34">
      <c r="A3516" s="1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</row>
    <row r="3517" spans="1:34">
      <c r="A3517" s="1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</row>
    <row r="3518" spans="1:34">
      <c r="A3518" s="1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</row>
    <row r="3519" spans="1:34">
      <c r="A3519" s="1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</row>
    <row r="3520" spans="1:34">
      <c r="A3520" s="1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</row>
    <row r="3521" spans="1:34">
      <c r="A3521" s="1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</row>
    <row r="3522" spans="1:34">
      <c r="A3522" s="1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</row>
    <row r="3523" spans="1:34">
      <c r="A3523" s="1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</row>
    <row r="3524" spans="1:34">
      <c r="A3524" s="1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</row>
    <row r="3525" spans="1:34">
      <c r="A3525" s="1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</row>
    <row r="3526" spans="1:34">
      <c r="A3526" s="1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</row>
    <row r="3527" spans="1:34">
      <c r="A3527" s="1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</row>
    <row r="3528" spans="1:34">
      <c r="A3528" s="1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</row>
    <row r="3529" spans="1:34">
      <c r="A3529" s="1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</row>
    <row r="3530" spans="1:34">
      <c r="A3530" s="1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</row>
    <row r="3531" spans="1:34">
      <c r="A3531" s="1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</row>
    <row r="3532" spans="1:34">
      <c r="A3532" s="1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</row>
    <row r="3533" spans="1:34">
      <c r="A3533" s="1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</row>
    <row r="3534" spans="1:34">
      <c r="A3534" s="1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</row>
    <row r="3535" spans="1:34">
      <c r="A3535" s="1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</row>
    <row r="3536" spans="1:34">
      <c r="A3536" s="1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</row>
    <row r="3537" spans="1:34">
      <c r="A3537" s="1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</row>
    <row r="3538" spans="1:34">
      <c r="A3538" s="1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</row>
    <row r="3539" spans="1:34">
      <c r="A3539" s="1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</row>
    <row r="3540" spans="1:34">
      <c r="A3540" s="1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</row>
    <row r="3541" spans="1:34">
      <c r="A3541" s="1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</row>
    <row r="3542" spans="1:34">
      <c r="A3542" s="1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</row>
    <row r="3543" spans="1:34">
      <c r="A3543" s="1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</row>
    <row r="3544" spans="1:34">
      <c r="A3544" s="1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</row>
    <row r="3545" spans="1:34">
      <c r="A3545" s="1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</row>
    <row r="3552" spans="1:34">
      <c r="A3552" s="1"/>
    </row>
    <row r="3553" spans="1:1">
      <c r="A3553" s="1"/>
    </row>
    <row r="3554" spans="1:1">
      <c r="A3554" s="1"/>
    </row>
    <row r="3555" spans="1:1">
      <c r="A3555" s="1"/>
    </row>
    <row r="3556" spans="1:1">
      <c r="A3556" s="1"/>
    </row>
    <row r="3557" spans="1:1">
      <c r="A3557" s="1"/>
    </row>
    <row r="3558" spans="1:1">
      <c r="A3558" s="1"/>
    </row>
    <row r="3559" spans="1:1">
      <c r="A3559" s="1"/>
    </row>
    <row r="3560" spans="1:1">
      <c r="A3560" s="1"/>
    </row>
    <row r="3561" spans="1:1">
      <c r="A3561" s="1"/>
    </row>
    <row r="3562" spans="1:1">
      <c r="A3562" s="1"/>
    </row>
    <row r="3563" spans="1:1">
      <c r="A3563" s="1"/>
    </row>
    <row r="3564" spans="1:1">
      <c r="A3564" s="1"/>
    </row>
    <row r="3565" spans="1:1">
      <c r="A3565" s="1"/>
    </row>
    <row r="3566" spans="1:1">
      <c r="A3566" s="1"/>
    </row>
    <row r="3567" spans="1:1">
      <c r="A3567" s="1"/>
    </row>
    <row r="3568" spans="1:1">
      <c r="A3568" s="1"/>
    </row>
    <row r="3569" spans="1:1">
      <c r="A3569" s="1"/>
    </row>
    <row r="3570" spans="1:1">
      <c r="A3570" s="1"/>
    </row>
    <row r="3571" spans="1:1">
      <c r="A3571" s="1"/>
    </row>
    <row r="3572" spans="1:1">
      <c r="A3572" s="1"/>
    </row>
    <row r="3573" spans="1:1">
      <c r="A3573" s="1"/>
    </row>
    <row r="3574" spans="1:1">
      <c r="A3574" s="1"/>
    </row>
    <row r="3575" spans="1:1">
      <c r="A3575" s="1"/>
    </row>
    <row r="3576" spans="1:1">
      <c r="A3576" s="1"/>
    </row>
    <row r="3577" spans="1:1">
      <c r="A3577" s="1"/>
    </row>
    <row r="3578" spans="1:1">
      <c r="A3578" s="1"/>
    </row>
    <row r="3579" spans="1:1">
      <c r="A3579" s="1"/>
    </row>
    <row r="3580" spans="1:1">
      <c r="A3580" s="1"/>
    </row>
    <row r="3581" spans="1:1">
      <c r="A3581" s="1"/>
    </row>
    <row r="3582" spans="1:1">
      <c r="A3582" s="1"/>
    </row>
    <row r="3583" spans="1:1">
      <c r="A3583" s="1"/>
    </row>
    <row r="3584" spans="1:1">
      <c r="A3584" s="1"/>
    </row>
    <row r="3585" spans="1:1">
      <c r="A3585" s="1"/>
    </row>
    <row r="3586" spans="1:1">
      <c r="A3586" s="1"/>
    </row>
    <row r="3587" spans="1:1">
      <c r="A3587" s="1"/>
    </row>
    <row r="3588" spans="1:1">
      <c r="A3588" s="1"/>
    </row>
    <row r="3589" spans="1:1">
      <c r="A3589" s="1"/>
    </row>
    <row r="3590" spans="1:1">
      <c r="A3590" s="1"/>
    </row>
    <row r="3591" spans="1:1">
      <c r="A3591" s="1"/>
    </row>
    <row r="3592" spans="1:1">
      <c r="A3592" s="1"/>
    </row>
    <row r="3593" spans="1:1">
      <c r="A3593" s="1"/>
    </row>
    <row r="3594" spans="1:1">
      <c r="A3594" s="1"/>
    </row>
    <row r="3595" spans="1:1">
      <c r="A3595" s="1"/>
    </row>
    <row r="3596" spans="1:1">
      <c r="A3596" s="1"/>
    </row>
    <row r="3597" spans="1:1">
      <c r="A3597" s="1"/>
    </row>
    <row r="3598" spans="1:1">
      <c r="A3598" s="1"/>
    </row>
    <row r="3599" spans="1:1">
      <c r="A3599" s="1"/>
    </row>
    <row r="3600" spans="1:1">
      <c r="A3600" s="1"/>
    </row>
    <row r="3601" spans="1:1">
      <c r="A3601" s="1"/>
    </row>
    <row r="3602" spans="1:1">
      <c r="A3602" s="1"/>
    </row>
    <row r="3603" spans="1:1">
      <c r="A3603" s="1"/>
    </row>
    <row r="3604" spans="1:1">
      <c r="A3604" s="1"/>
    </row>
    <row r="3605" spans="1:1">
      <c r="A3605" s="1"/>
    </row>
    <row r="3606" spans="1:1">
      <c r="A3606" s="1"/>
    </row>
    <row r="3607" spans="1:1">
      <c r="A3607" s="1"/>
    </row>
    <row r="3608" spans="1:1">
      <c r="A3608" s="1"/>
    </row>
    <row r="3609" spans="1:1">
      <c r="A3609" s="1"/>
    </row>
    <row r="3610" spans="1:1">
      <c r="A3610" s="1"/>
    </row>
    <row r="3611" spans="1:1">
      <c r="A3611" s="1"/>
    </row>
    <row r="3612" spans="1:1">
      <c r="A3612" s="1"/>
    </row>
    <row r="3613" spans="1:1">
      <c r="A3613" s="1"/>
    </row>
    <row r="3614" spans="1:1">
      <c r="A3614" s="1"/>
    </row>
    <row r="3615" spans="1:1">
      <c r="A3615" s="1"/>
    </row>
    <row r="3616" spans="1:1">
      <c r="A3616" s="1"/>
    </row>
    <row r="3617" spans="1:1">
      <c r="A3617" s="1"/>
    </row>
    <row r="3618" spans="1:1">
      <c r="A3618" s="1"/>
    </row>
    <row r="3619" spans="1:1">
      <c r="A3619" s="1"/>
    </row>
    <row r="3620" spans="1:1">
      <c r="A3620" s="1"/>
    </row>
    <row r="3621" spans="1:1">
      <c r="A3621" s="1"/>
    </row>
    <row r="3622" spans="1:1">
      <c r="A3622" s="1"/>
    </row>
    <row r="3623" spans="1:1">
      <c r="A3623" s="1"/>
    </row>
    <row r="3624" spans="1:1">
      <c r="A3624" s="1"/>
    </row>
    <row r="3625" spans="1:1">
      <c r="A3625" s="1"/>
    </row>
    <row r="3626" spans="1:1">
      <c r="A3626" s="1"/>
    </row>
    <row r="3627" spans="1:1">
      <c r="A3627" s="1"/>
    </row>
    <row r="3628" spans="1:1">
      <c r="A3628" s="1"/>
    </row>
    <row r="3629" spans="1:1">
      <c r="A3629" s="1"/>
    </row>
    <row r="3630" spans="1:1">
      <c r="A3630" s="1"/>
    </row>
    <row r="3631" spans="1:1">
      <c r="A3631" s="1"/>
    </row>
    <row r="3632" spans="1:1">
      <c r="A3632" s="1"/>
    </row>
    <row r="3633" spans="1:1">
      <c r="A3633" s="1"/>
    </row>
    <row r="3634" spans="1:1">
      <c r="A3634" s="1"/>
    </row>
    <row r="3635" spans="1:1">
      <c r="A3635" s="1"/>
    </row>
    <row r="3636" spans="1:1">
      <c r="A3636" s="1"/>
    </row>
    <row r="3637" spans="1:1">
      <c r="A3637" s="1"/>
    </row>
    <row r="3638" spans="1:1">
      <c r="A3638" s="1"/>
    </row>
    <row r="3639" spans="1:1">
      <c r="A3639" s="1"/>
    </row>
    <row r="3640" spans="1:1">
      <c r="A3640" s="1"/>
    </row>
    <row r="3641" spans="1:1">
      <c r="A3641" s="1"/>
    </row>
    <row r="3642" spans="1:1">
      <c r="A3642" s="1"/>
    </row>
    <row r="3643" spans="1:1">
      <c r="A3643" s="1"/>
    </row>
    <row r="3644" spans="1:1">
      <c r="A3644" s="1"/>
    </row>
    <row r="3645" spans="1:1">
      <c r="A3645" s="1"/>
    </row>
    <row r="3646" spans="1:1">
      <c r="A3646" s="1"/>
    </row>
    <row r="3647" spans="1:1">
      <c r="A3647" s="1"/>
    </row>
    <row r="3648" spans="1:1">
      <c r="A3648" s="1"/>
    </row>
    <row r="3649" spans="1:1">
      <c r="A3649" s="1"/>
    </row>
    <row r="3650" spans="1:1">
      <c r="A3650" s="1"/>
    </row>
    <row r="3651" spans="1:1">
      <c r="A3651" s="1"/>
    </row>
    <row r="3652" spans="1:1">
      <c r="A3652" s="1"/>
    </row>
    <row r="3653" spans="1:1">
      <c r="A3653" s="1"/>
    </row>
    <row r="3654" spans="1:1">
      <c r="A3654" s="1"/>
    </row>
    <row r="3655" spans="1:1">
      <c r="A3655" s="1"/>
    </row>
    <row r="3656" spans="1:1">
      <c r="A3656" s="1"/>
    </row>
    <row r="3657" spans="1:1">
      <c r="A3657" s="1"/>
    </row>
    <row r="3658" spans="1:1">
      <c r="A3658" s="1"/>
    </row>
    <row r="3659" spans="1:1">
      <c r="A3659" s="1"/>
    </row>
    <row r="3660" spans="1:1">
      <c r="A3660" s="1"/>
    </row>
    <row r="3661" spans="1:1">
      <c r="A3661" s="1"/>
    </row>
    <row r="3662" spans="1:1">
      <c r="A3662" s="1"/>
    </row>
    <row r="3663" spans="1:1">
      <c r="A3663" s="1"/>
    </row>
    <row r="3664" spans="1:1">
      <c r="A3664" s="1"/>
    </row>
    <row r="3665" spans="1:1">
      <c r="A3665" s="1"/>
    </row>
    <row r="3666" spans="1:1">
      <c r="A3666" s="1"/>
    </row>
    <row r="3667" spans="1:1">
      <c r="A3667" s="1"/>
    </row>
    <row r="3668" spans="1:1">
      <c r="A3668" s="1"/>
    </row>
    <row r="3669" spans="1:1">
      <c r="A3669" s="1"/>
    </row>
    <row r="3670" spans="1:1">
      <c r="A3670" s="1"/>
    </row>
    <row r="3671" spans="1:1">
      <c r="A3671" s="1"/>
    </row>
    <row r="3672" spans="1:1">
      <c r="A3672" s="1"/>
    </row>
    <row r="3673" spans="1:1">
      <c r="A3673" s="1"/>
    </row>
    <row r="3674" spans="1:1">
      <c r="A3674" s="1"/>
    </row>
    <row r="3675" spans="1:1">
      <c r="A3675" s="1"/>
    </row>
    <row r="3676" spans="1:1">
      <c r="A3676" s="1"/>
    </row>
    <row r="3677" spans="1:1">
      <c r="A3677" s="1"/>
    </row>
    <row r="3678" spans="1:1">
      <c r="A3678" s="1"/>
    </row>
    <row r="3679" spans="1:1">
      <c r="A3679" s="1"/>
    </row>
    <row r="3680" spans="1:1">
      <c r="A3680" s="1"/>
    </row>
    <row r="3681" spans="1:1">
      <c r="A3681" s="1"/>
    </row>
    <row r="3682" spans="1:1">
      <c r="A3682" s="1"/>
    </row>
    <row r="3683" spans="1:1">
      <c r="A3683" s="1"/>
    </row>
    <row r="3684" spans="1:1">
      <c r="A3684" s="1"/>
    </row>
    <row r="3685" spans="1:1">
      <c r="A3685" s="1"/>
    </row>
    <row r="3686" spans="1:1">
      <c r="A3686" s="1"/>
    </row>
    <row r="3687" spans="1:1">
      <c r="A3687" s="1"/>
    </row>
    <row r="3688" spans="1:1">
      <c r="A3688" s="1"/>
    </row>
    <row r="3689" spans="1:1">
      <c r="A3689" s="1"/>
    </row>
    <row r="3690" spans="1:1">
      <c r="A3690" s="1"/>
    </row>
    <row r="3691" spans="1:1">
      <c r="A3691" s="1"/>
    </row>
    <row r="3692" spans="1:1">
      <c r="A3692" s="1"/>
    </row>
    <row r="3693" spans="1:1">
      <c r="A3693" s="1"/>
    </row>
    <row r="3694" spans="1:1">
      <c r="A3694" s="1"/>
    </row>
    <row r="3695" spans="1:1">
      <c r="A3695" s="1"/>
    </row>
    <row r="3696" spans="1:1">
      <c r="A3696" s="1"/>
    </row>
    <row r="3697" spans="1:1">
      <c r="A3697" s="1"/>
    </row>
    <row r="3698" spans="1:1">
      <c r="A3698" s="1"/>
    </row>
    <row r="3699" spans="1:1">
      <c r="A3699" s="1"/>
    </row>
    <row r="3700" spans="1:1">
      <c r="A3700" s="1"/>
    </row>
    <row r="3701" spans="1:1">
      <c r="A3701" s="1"/>
    </row>
    <row r="3702" spans="1:1">
      <c r="A3702" s="1"/>
    </row>
    <row r="3703" spans="1:1">
      <c r="A3703" s="1"/>
    </row>
    <row r="3704" spans="1:1">
      <c r="A3704" s="1"/>
    </row>
    <row r="3705" spans="1:1">
      <c r="A3705" s="1"/>
    </row>
    <row r="3706" spans="1:1">
      <c r="A3706" s="1"/>
    </row>
    <row r="3707" spans="1:1">
      <c r="A3707" s="1"/>
    </row>
    <row r="3708" spans="1:1">
      <c r="A3708" s="1"/>
    </row>
    <row r="3709" spans="1:1">
      <c r="A3709" s="1"/>
    </row>
    <row r="3710" spans="1:1">
      <c r="A3710" s="1"/>
    </row>
    <row r="3711" spans="1:1">
      <c r="A3711" s="1"/>
    </row>
    <row r="3712" spans="1:1">
      <c r="A3712" s="1"/>
    </row>
    <row r="3713" spans="1:1">
      <c r="A3713" s="1"/>
    </row>
    <row r="3714" spans="1:1">
      <c r="A3714" s="1"/>
    </row>
    <row r="3715" spans="1:1">
      <c r="A3715" s="1"/>
    </row>
    <row r="3716" spans="1:1">
      <c r="A3716" s="1"/>
    </row>
    <row r="3717" spans="1:1">
      <c r="A3717" s="1"/>
    </row>
    <row r="3718" spans="1:1">
      <c r="A3718" s="1"/>
    </row>
    <row r="3719" spans="1:1">
      <c r="A3719" s="1"/>
    </row>
    <row r="3720" spans="1:1">
      <c r="A3720" s="1"/>
    </row>
    <row r="3721" spans="1:1">
      <c r="A3721" s="1"/>
    </row>
    <row r="3722" spans="1:1">
      <c r="A3722" s="1"/>
    </row>
    <row r="3723" spans="1:1">
      <c r="A3723" s="1"/>
    </row>
    <row r="3724" spans="1:1">
      <c r="A3724" s="1"/>
    </row>
    <row r="3725" spans="1:1">
      <c r="A3725" s="1"/>
    </row>
    <row r="3726" spans="1:1">
      <c r="A3726" s="1"/>
    </row>
    <row r="3727" spans="1:1">
      <c r="A3727" s="1"/>
    </row>
    <row r="3728" spans="1:1">
      <c r="A3728" s="1"/>
    </row>
    <row r="3729" spans="1:1">
      <c r="A3729" s="1"/>
    </row>
    <row r="3730" spans="1:1">
      <c r="A3730" s="1"/>
    </row>
    <row r="3731" spans="1:1">
      <c r="A3731" s="1"/>
    </row>
    <row r="3732" spans="1:1">
      <c r="A3732" s="1"/>
    </row>
    <row r="3733" spans="1:1">
      <c r="A3733" s="1"/>
    </row>
    <row r="3734" spans="1:1">
      <c r="A3734" s="1"/>
    </row>
    <row r="3735" spans="1:1">
      <c r="A3735" s="1"/>
    </row>
    <row r="3736" spans="1:1">
      <c r="A3736" s="1"/>
    </row>
    <row r="3737" spans="1:1">
      <c r="A3737" s="1"/>
    </row>
    <row r="3738" spans="1:1">
      <c r="A3738" s="1"/>
    </row>
    <row r="3739" spans="1:1">
      <c r="A3739" s="1"/>
    </row>
    <row r="3740" spans="1:1">
      <c r="A3740" s="1"/>
    </row>
    <row r="3741" spans="1:1">
      <c r="A3741" s="1"/>
    </row>
    <row r="3742" spans="1:1">
      <c r="A3742" s="1"/>
    </row>
    <row r="3743" spans="1:1">
      <c r="A3743" s="1"/>
    </row>
    <row r="3744" spans="1:1">
      <c r="A3744" s="1"/>
    </row>
    <row r="3745" spans="1:1">
      <c r="A3745" s="1"/>
    </row>
    <row r="3746" spans="1:1">
      <c r="A3746" s="1"/>
    </row>
    <row r="3747" spans="1:1">
      <c r="A3747" s="1"/>
    </row>
    <row r="3748" spans="1:1">
      <c r="A3748" s="1"/>
    </row>
    <row r="3749" spans="1:1">
      <c r="A3749" s="1"/>
    </row>
    <row r="3750" spans="1:1">
      <c r="A3750" s="1"/>
    </row>
    <row r="3751" spans="1:1">
      <c r="A3751" s="1"/>
    </row>
    <row r="3752" spans="1:1">
      <c r="A3752" s="1"/>
    </row>
    <row r="3753" spans="1:1">
      <c r="A3753" s="1"/>
    </row>
    <row r="3754" spans="1:1">
      <c r="A3754" s="1"/>
    </row>
    <row r="3755" spans="1:1">
      <c r="A3755" s="1"/>
    </row>
    <row r="3756" spans="1:1">
      <c r="A3756" s="1"/>
    </row>
    <row r="3757" spans="1:1">
      <c r="A3757" s="1"/>
    </row>
    <row r="3758" spans="1:1">
      <c r="A3758" s="1"/>
    </row>
    <row r="3759" spans="1:1">
      <c r="A3759" s="1"/>
    </row>
    <row r="3760" spans="1:1">
      <c r="A3760" s="1"/>
    </row>
    <row r="3761" spans="1:1">
      <c r="A3761" s="1"/>
    </row>
    <row r="3762" spans="1:1">
      <c r="A3762" s="1"/>
    </row>
    <row r="3763" spans="1:1">
      <c r="A3763" s="1"/>
    </row>
    <row r="3764" spans="1:1">
      <c r="A3764" s="1"/>
    </row>
    <row r="3765" spans="1:1">
      <c r="A3765" s="1"/>
    </row>
    <row r="3766" spans="1:1">
      <c r="A3766" s="1"/>
    </row>
    <row r="3767" spans="1:1">
      <c r="A3767" s="1"/>
    </row>
    <row r="3768" spans="1:1">
      <c r="A3768" s="1"/>
    </row>
    <row r="3769" spans="1:1">
      <c r="A3769" s="1"/>
    </row>
    <row r="3770" spans="1:1">
      <c r="A3770" s="1"/>
    </row>
    <row r="3771" spans="1:1">
      <c r="A3771" s="1"/>
    </row>
    <row r="3772" spans="1:1">
      <c r="A3772" s="1"/>
    </row>
    <row r="3773" spans="1:1">
      <c r="A3773" s="1"/>
    </row>
    <row r="3774" spans="1:1">
      <c r="A3774" s="1"/>
    </row>
    <row r="3775" spans="1:1">
      <c r="A3775" s="1"/>
    </row>
    <row r="3776" spans="1:1">
      <c r="A3776" s="1"/>
    </row>
    <row r="3777" spans="1:1">
      <c r="A3777" s="1"/>
    </row>
    <row r="3778" spans="1:1">
      <c r="A3778" s="1"/>
    </row>
    <row r="3779" spans="1:1">
      <c r="A3779" s="1"/>
    </row>
    <row r="3780" spans="1:1">
      <c r="A3780" s="1"/>
    </row>
    <row r="3781" spans="1:1">
      <c r="A3781" s="1"/>
    </row>
    <row r="3782" spans="1:1">
      <c r="A3782" s="1"/>
    </row>
    <row r="3783" spans="1:1">
      <c r="A3783" s="1"/>
    </row>
    <row r="3784" spans="1:1">
      <c r="A3784" s="1"/>
    </row>
    <row r="3785" spans="1:1">
      <c r="A3785" s="1"/>
    </row>
    <row r="3786" spans="1:1">
      <c r="A3786" s="1"/>
    </row>
    <row r="3787" spans="1:1">
      <c r="A3787" s="1"/>
    </row>
    <row r="3788" spans="1:1">
      <c r="A3788" s="1"/>
    </row>
    <row r="3789" spans="1:1">
      <c r="A3789" s="1"/>
    </row>
    <row r="3790" spans="1:1">
      <c r="A3790" s="1"/>
    </row>
    <row r="3791" spans="1:1">
      <c r="A3791" s="1"/>
    </row>
    <row r="3792" spans="1:1">
      <c r="A3792" s="1"/>
    </row>
    <row r="3793" spans="1:1">
      <c r="A3793" s="1"/>
    </row>
    <row r="3794" spans="1:1">
      <c r="A3794" s="1"/>
    </row>
    <row r="3795" spans="1:1">
      <c r="A3795" s="1"/>
    </row>
    <row r="3796" spans="1:1">
      <c r="A3796" s="1"/>
    </row>
    <row r="3797" spans="1:1">
      <c r="A3797" s="1"/>
    </row>
    <row r="3798" spans="1:1">
      <c r="A3798" s="1"/>
    </row>
    <row r="3799" spans="1:1">
      <c r="A3799" s="1"/>
    </row>
    <row r="3800" spans="1:1">
      <c r="A3800" s="1"/>
    </row>
    <row r="3801" spans="1:1">
      <c r="A3801" s="1"/>
    </row>
    <row r="3802" spans="1:1">
      <c r="A3802" s="1"/>
    </row>
    <row r="3803" spans="1:1">
      <c r="A3803" s="1"/>
    </row>
    <row r="3804" spans="1:1">
      <c r="A3804" s="1"/>
    </row>
    <row r="3805" spans="1:1">
      <c r="A3805" s="1"/>
    </row>
    <row r="3806" spans="1:1">
      <c r="A3806" s="1"/>
    </row>
    <row r="3807" spans="1:1">
      <c r="A3807" s="1"/>
    </row>
    <row r="3808" spans="1:1">
      <c r="A3808" s="1"/>
    </row>
    <row r="3809" spans="1:1">
      <c r="A3809" s="1"/>
    </row>
    <row r="3810" spans="1:1">
      <c r="A3810" s="1"/>
    </row>
    <row r="3811" spans="1:1">
      <c r="A3811" s="1"/>
    </row>
    <row r="3812" spans="1:1">
      <c r="A3812" s="1"/>
    </row>
    <row r="3813" spans="1:1">
      <c r="A3813" s="1"/>
    </row>
    <row r="3814" spans="1:1">
      <c r="A3814" s="1"/>
    </row>
    <row r="3815" spans="1:1">
      <c r="A3815" s="1"/>
    </row>
    <row r="3816" spans="1:1">
      <c r="A3816" s="1"/>
    </row>
    <row r="3817" spans="1:1">
      <c r="A3817" s="1"/>
    </row>
    <row r="3818" spans="1:1">
      <c r="A3818" s="1"/>
    </row>
    <row r="3819" spans="1:1">
      <c r="A3819" s="1"/>
    </row>
    <row r="3820" spans="1:1">
      <c r="A3820" s="1"/>
    </row>
    <row r="3821" spans="1:1">
      <c r="A3821" s="1"/>
    </row>
    <row r="3822" spans="1:1">
      <c r="A3822" s="1"/>
    </row>
    <row r="3823" spans="1:1">
      <c r="A3823" s="1"/>
    </row>
    <row r="3824" spans="1:1">
      <c r="A3824" s="1"/>
    </row>
    <row r="3825" spans="1:1">
      <c r="A3825" s="1"/>
    </row>
    <row r="3826" spans="1:1">
      <c r="A3826" s="1"/>
    </row>
    <row r="3827" spans="1:1">
      <c r="A3827" s="1"/>
    </row>
    <row r="3828" spans="1:1">
      <c r="A3828" s="1"/>
    </row>
    <row r="3829" spans="1:1">
      <c r="A3829" s="1"/>
    </row>
    <row r="3830" spans="1:1">
      <c r="A3830" s="1"/>
    </row>
    <row r="3831" spans="1:1">
      <c r="A3831" s="1"/>
    </row>
    <row r="3832" spans="1:1">
      <c r="A3832" s="1"/>
    </row>
    <row r="3833" spans="1:1">
      <c r="A3833" s="1"/>
    </row>
    <row r="3834" spans="1:1">
      <c r="A3834" s="1"/>
    </row>
    <row r="3835" spans="1:1">
      <c r="A3835" s="1"/>
    </row>
    <row r="3836" spans="1:1">
      <c r="A3836" s="1"/>
    </row>
    <row r="3837" spans="1:1">
      <c r="A3837" s="1"/>
    </row>
    <row r="3838" spans="1:1">
      <c r="A3838" s="1"/>
    </row>
    <row r="3839" spans="1:1">
      <c r="A3839" s="1"/>
    </row>
    <row r="3840" spans="1:1">
      <c r="A3840" s="1"/>
    </row>
    <row r="3841" spans="1:1">
      <c r="A3841" s="1"/>
    </row>
    <row r="3842" spans="1:1">
      <c r="A3842" s="1"/>
    </row>
    <row r="3843" spans="1:1">
      <c r="A3843" s="1"/>
    </row>
    <row r="3844" spans="1:1">
      <c r="A3844" s="1"/>
    </row>
    <row r="3845" spans="1:1">
      <c r="A3845" s="1"/>
    </row>
    <row r="3846" spans="1:1">
      <c r="A3846" s="1"/>
    </row>
    <row r="3847" spans="1:1">
      <c r="A3847" s="1"/>
    </row>
    <row r="3848" spans="1:1">
      <c r="A3848" s="1"/>
    </row>
    <row r="3849" spans="1:1">
      <c r="A3849" s="1"/>
    </row>
    <row r="3850" spans="1:1">
      <c r="A3850" s="1"/>
    </row>
    <row r="3851" spans="1:1">
      <c r="A3851" s="1"/>
    </row>
    <row r="3852" spans="1:1">
      <c r="A3852" s="1"/>
    </row>
    <row r="3853" spans="1:1">
      <c r="A3853" s="1"/>
    </row>
    <row r="3854" spans="1:1">
      <c r="A3854" s="1"/>
    </row>
    <row r="3855" spans="1:1">
      <c r="A3855" s="1"/>
    </row>
    <row r="3856" spans="1:1">
      <c r="A3856" s="1"/>
    </row>
    <row r="3857" spans="1:1">
      <c r="A3857" s="1"/>
    </row>
    <row r="3858" spans="1:1">
      <c r="A3858" s="1"/>
    </row>
    <row r="3859" spans="1:1">
      <c r="A3859" s="1"/>
    </row>
    <row r="3860" spans="1:1">
      <c r="A3860" s="1"/>
    </row>
    <row r="3861" spans="1:1">
      <c r="A3861" s="1"/>
    </row>
    <row r="3862" spans="1:1">
      <c r="A3862" s="1"/>
    </row>
    <row r="3863" spans="1:1">
      <c r="A3863" s="1"/>
    </row>
    <row r="3864" spans="1:1">
      <c r="A3864" s="1"/>
    </row>
    <row r="3865" spans="1:1">
      <c r="A3865" s="1"/>
    </row>
    <row r="3866" spans="1:1">
      <c r="A3866" s="1"/>
    </row>
    <row r="3867" spans="1:1">
      <c r="A3867" s="1"/>
    </row>
    <row r="3868" spans="1:1">
      <c r="A3868" s="1"/>
    </row>
    <row r="3869" spans="1:1">
      <c r="A3869" s="1"/>
    </row>
    <row r="3870" spans="1:1">
      <c r="A3870" s="1"/>
    </row>
    <row r="3871" spans="1:1">
      <c r="A3871" s="1"/>
    </row>
    <row r="3872" spans="1:1">
      <c r="A3872" s="1"/>
    </row>
    <row r="3873" spans="1:1">
      <c r="A3873" s="1"/>
    </row>
    <row r="3874" spans="1:1">
      <c r="A3874" s="1"/>
    </row>
    <row r="3875" spans="1:1">
      <c r="A3875" s="1"/>
    </row>
    <row r="3876" spans="1:1">
      <c r="A3876" s="1"/>
    </row>
    <row r="3877" spans="1:1">
      <c r="A3877" s="1"/>
    </row>
    <row r="3878" spans="1:1">
      <c r="A3878" s="1"/>
    </row>
    <row r="3879" spans="1:1">
      <c r="A3879" s="1"/>
    </row>
    <row r="3880" spans="1:1">
      <c r="A3880" s="1"/>
    </row>
    <row r="3881" spans="1:1">
      <c r="A3881" s="1"/>
    </row>
    <row r="3882" spans="1:1">
      <c r="A3882" s="1"/>
    </row>
    <row r="3883" spans="1:1">
      <c r="A3883" s="1"/>
    </row>
    <row r="3884" spans="1:1">
      <c r="A3884" s="1"/>
    </row>
    <row r="3885" spans="1:1">
      <c r="A3885" s="1"/>
    </row>
    <row r="3886" spans="1:1">
      <c r="A3886" s="1"/>
    </row>
    <row r="3887" spans="1:1">
      <c r="A3887" s="1"/>
    </row>
    <row r="3888" spans="1:1">
      <c r="A3888" s="1"/>
    </row>
    <row r="3889" spans="1:1">
      <c r="A3889" s="1"/>
    </row>
    <row r="3890" spans="1:1">
      <c r="A3890" s="1"/>
    </row>
    <row r="3891" spans="1:1">
      <c r="A3891" s="1"/>
    </row>
    <row r="3892" spans="1:1">
      <c r="A3892" s="1"/>
    </row>
    <row r="3893" spans="1:1">
      <c r="A3893" s="1"/>
    </row>
    <row r="3894" spans="1:1">
      <c r="A3894" s="1"/>
    </row>
    <row r="3895" spans="1:1">
      <c r="A3895" s="1"/>
    </row>
    <row r="3896" spans="1:1">
      <c r="A3896" s="1"/>
    </row>
    <row r="3897" spans="1:1">
      <c r="A3897" s="1"/>
    </row>
    <row r="3898" spans="1:1">
      <c r="A3898" s="1"/>
    </row>
    <row r="3899" spans="1:1">
      <c r="A3899" s="1"/>
    </row>
    <row r="3900" spans="1:1">
      <c r="A3900" s="1"/>
    </row>
    <row r="3901" spans="1:1">
      <c r="A3901" s="1"/>
    </row>
    <row r="3902" spans="1:1">
      <c r="A3902" s="1"/>
    </row>
    <row r="3903" spans="1:1">
      <c r="A3903" s="1"/>
    </row>
    <row r="3904" spans="1:1">
      <c r="A3904" s="1"/>
    </row>
    <row r="3905" spans="1:1">
      <c r="A3905" s="1"/>
    </row>
    <row r="3906" spans="1:1">
      <c r="A3906" s="1"/>
    </row>
    <row r="3907" spans="1:1">
      <c r="A3907" s="1"/>
    </row>
    <row r="3908" spans="1:1">
      <c r="A3908" s="1"/>
    </row>
    <row r="3909" spans="1:1">
      <c r="A3909" s="1"/>
    </row>
    <row r="3910" spans="1:1">
      <c r="A3910" s="1"/>
    </row>
    <row r="3911" spans="1:1">
      <c r="A3911" s="1"/>
    </row>
    <row r="3912" spans="1:1">
      <c r="A3912" s="1"/>
    </row>
    <row r="3913" spans="1:1">
      <c r="A3913" s="1"/>
    </row>
    <row r="3914" spans="1:1">
      <c r="A3914" s="1"/>
    </row>
    <row r="3915" spans="1:1">
      <c r="A3915" s="1"/>
    </row>
    <row r="3916" spans="1:1">
      <c r="A3916" s="1"/>
    </row>
    <row r="3917" spans="1:1">
      <c r="A3917" s="1"/>
    </row>
    <row r="3918" spans="1:1">
      <c r="A3918" s="1"/>
    </row>
    <row r="3919" spans="1:1">
      <c r="A3919" s="1"/>
    </row>
    <row r="3920" spans="1:1">
      <c r="A3920" s="1"/>
    </row>
    <row r="3921" spans="1:1">
      <c r="A3921" s="1"/>
    </row>
    <row r="3922" spans="1:1">
      <c r="A3922" s="1"/>
    </row>
    <row r="3923" spans="1:1">
      <c r="A3923" s="1"/>
    </row>
    <row r="3924" spans="1:1">
      <c r="A3924" s="1"/>
    </row>
    <row r="3925" spans="1:1">
      <c r="A3925" s="1"/>
    </row>
    <row r="3926" spans="1:1">
      <c r="A3926" s="1"/>
    </row>
    <row r="3927" spans="1:1">
      <c r="A3927" s="1"/>
    </row>
    <row r="3928" spans="1:1">
      <c r="A3928" s="1"/>
    </row>
    <row r="3929" spans="1:1">
      <c r="A3929" s="1"/>
    </row>
    <row r="3930" spans="1:1">
      <c r="A3930" s="1"/>
    </row>
    <row r="3931" spans="1:1">
      <c r="A3931" s="1"/>
    </row>
    <row r="3932" spans="1:1">
      <c r="A3932" s="1"/>
    </row>
    <row r="3933" spans="1:1">
      <c r="A3933" s="1"/>
    </row>
    <row r="3934" spans="1:1">
      <c r="A3934" s="1"/>
    </row>
    <row r="3935" spans="1:1">
      <c r="A3935" s="1"/>
    </row>
    <row r="3936" spans="1:1">
      <c r="A3936" s="1"/>
    </row>
    <row r="3937" spans="1:1">
      <c r="A3937" s="1"/>
    </row>
    <row r="3938" spans="1:1">
      <c r="A3938" s="1"/>
    </row>
    <row r="3939" spans="1:1">
      <c r="A3939" s="1"/>
    </row>
    <row r="3940" spans="1:1">
      <c r="A3940" s="1"/>
    </row>
    <row r="3941" spans="1:1">
      <c r="A3941" s="1"/>
    </row>
    <row r="3942" spans="1:1">
      <c r="A3942" s="1"/>
    </row>
    <row r="3943" spans="1:1">
      <c r="A3943" s="1"/>
    </row>
    <row r="3944" spans="1:1">
      <c r="A3944" s="1"/>
    </row>
    <row r="3945" spans="1:1">
      <c r="A3945" s="1"/>
    </row>
    <row r="3946" spans="1:1">
      <c r="A3946" s="1"/>
    </row>
    <row r="3947" spans="1:1">
      <c r="A3947" s="1"/>
    </row>
    <row r="3948" spans="1:1">
      <c r="A3948" s="1"/>
    </row>
    <row r="3949" spans="1:1">
      <c r="A3949" s="1"/>
    </row>
    <row r="3950" spans="1:1">
      <c r="A3950" s="1"/>
    </row>
    <row r="3951" spans="1:1">
      <c r="A3951" s="1"/>
    </row>
    <row r="3952" spans="1:1">
      <c r="A3952" s="1"/>
    </row>
    <row r="3953" spans="1:1">
      <c r="A3953" s="1"/>
    </row>
    <row r="3954" spans="1:1">
      <c r="A3954" s="1"/>
    </row>
    <row r="3955" spans="1:1">
      <c r="A3955" s="1"/>
    </row>
    <row r="3956" spans="1:1">
      <c r="A3956" s="1"/>
    </row>
    <row r="3957" spans="1:1">
      <c r="A3957" s="1"/>
    </row>
    <row r="3958" spans="1:1">
      <c r="A3958" s="1"/>
    </row>
    <row r="3959" spans="1:1">
      <c r="A3959" s="1"/>
    </row>
    <row r="3960" spans="1:1">
      <c r="A3960" s="1"/>
    </row>
    <row r="3961" spans="1:1">
      <c r="A3961" s="1"/>
    </row>
    <row r="3962" spans="1:1">
      <c r="A3962" s="1"/>
    </row>
    <row r="3963" spans="1:1">
      <c r="A3963" s="1"/>
    </row>
    <row r="3964" spans="1:1">
      <c r="A3964" s="1"/>
    </row>
    <row r="3965" spans="1:1">
      <c r="A3965" s="1"/>
    </row>
    <row r="3966" spans="1:1">
      <c r="A3966" s="1"/>
    </row>
    <row r="3967" spans="1:1">
      <c r="A3967" s="1"/>
    </row>
    <row r="3968" spans="1:1">
      <c r="A3968" s="1"/>
    </row>
    <row r="3969" spans="1:1">
      <c r="A3969" s="1"/>
    </row>
    <row r="3970" spans="1:1">
      <c r="A3970" s="1"/>
    </row>
    <row r="3971" spans="1:1">
      <c r="A3971" s="1"/>
    </row>
    <row r="3972" spans="1:1">
      <c r="A3972" s="1"/>
    </row>
    <row r="3973" spans="1:1">
      <c r="A3973" s="1"/>
    </row>
    <row r="3974" spans="1:1">
      <c r="A3974" s="1"/>
    </row>
    <row r="3975" spans="1:1">
      <c r="A3975" s="1"/>
    </row>
    <row r="3976" spans="1:1">
      <c r="A3976" s="1"/>
    </row>
    <row r="3977" spans="1:1">
      <c r="A3977" s="1"/>
    </row>
    <row r="3978" spans="1:1">
      <c r="A3978" s="1"/>
    </row>
    <row r="3979" spans="1:1">
      <c r="A3979" s="1"/>
    </row>
    <row r="3980" spans="1:1">
      <c r="A3980" s="1"/>
    </row>
    <row r="3981" spans="1:1">
      <c r="A3981" s="1"/>
    </row>
    <row r="3982" spans="1:1">
      <c r="A3982" s="1"/>
    </row>
    <row r="3983" spans="1:1">
      <c r="A3983" s="1"/>
    </row>
    <row r="3984" spans="1:1">
      <c r="A3984" s="1"/>
    </row>
    <row r="3985" spans="1:1">
      <c r="A3985" s="1"/>
    </row>
    <row r="3986" spans="1:1">
      <c r="A3986" s="1"/>
    </row>
    <row r="3987" spans="1:1">
      <c r="A3987" s="1"/>
    </row>
    <row r="3988" spans="1:1">
      <c r="A3988" s="1"/>
    </row>
    <row r="3989" spans="1:1">
      <c r="A3989" s="1"/>
    </row>
    <row r="3990" spans="1:1">
      <c r="A3990" s="1"/>
    </row>
    <row r="3991" spans="1:1">
      <c r="A3991" s="1"/>
    </row>
    <row r="3992" spans="1:1">
      <c r="A3992" s="1"/>
    </row>
    <row r="3993" spans="1:1">
      <c r="A3993" s="1"/>
    </row>
    <row r="3994" spans="1:1">
      <c r="A3994" s="1"/>
    </row>
    <row r="3995" spans="1:1">
      <c r="A3995" s="1"/>
    </row>
    <row r="3996" spans="1:1">
      <c r="A3996" s="1"/>
    </row>
    <row r="3997" spans="1:1">
      <c r="A3997" s="1"/>
    </row>
    <row r="3998" spans="1:1">
      <c r="A3998" s="1"/>
    </row>
    <row r="3999" spans="1:1">
      <c r="A3999" s="1"/>
    </row>
    <row r="4000" spans="1:1">
      <c r="A4000" s="1"/>
    </row>
    <row r="4001" spans="1:1">
      <c r="A4001" s="1"/>
    </row>
    <row r="4002" spans="1:1">
      <c r="A4002" s="1"/>
    </row>
    <row r="4003" spans="1:1">
      <c r="A4003" s="1"/>
    </row>
    <row r="4004" spans="1:1">
      <c r="A4004" s="1"/>
    </row>
    <row r="4005" spans="1:1">
      <c r="A4005" s="1"/>
    </row>
    <row r="4006" spans="1:1">
      <c r="A4006" s="1"/>
    </row>
    <row r="4007" spans="1:1">
      <c r="A4007" s="1"/>
    </row>
    <row r="4008" spans="1:1">
      <c r="A4008" s="1"/>
    </row>
    <row r="4009" spans="1:1">
      <c r="A4009" s="1"/>
    </row>
    <row r="4010" spans="1:1">
      <c r="A4010" s="1"/>
    </row>
    <row r="4011" spans="1:1">
      <c r="A4011" s="1"/>
    </row>
    <row r="4012" spans="1:1">
      <c r="A4012" s="1"/>
    </row>
    <row r="4013" spans="1:1">
      <c r="A4013" s="1"/>
    </row>
    <row r="4014" spans="1:1">
      <c r="A4014" s="1"/>
    </row>
    <row r="4015" spans="1:1">
      <c r="A4015" s="1"/>
    </row>
    <row r="4016" spans="1:1">
      <c r="A4016" s="1"/>
    </row>
    <row r="4017" spans="1:1">
      <c r="A4017" s="1"/>
    </row>
    <row r="4018" spans="1:1">
      <c r="A4018" s="1"/>
    </row>
    <row r="4019" spans="1:1">
      <c r="A4019" s="1"/>
    </row>
    <row r="4020" spans="1:1">
      <c r="A4020" s="1"/>
    </row>
    <row r="4021" spans="1:1">
      <c r="A4021" s="1"/>
    </row>
    <row r="4022" spans="1:1">
      <c r="A4022" s="1"/>
    </row>
    <row r="4023" spans="1:1">
      <c r="A4023" s="1"/>
    </row>
    <row r="4024" spans="1:1">
      <c r="A4024" s="1"/>
    </row>
    <row r="4025" spans="1:1">
      <c r="A4025" s="1"/>
    </row>
    <row r="4026" spans="1:1">
      <c r="A4026" s="1"/>
    </row>
    <row r="4027" spans="1:1">
      <c r="A4027" s="1"/>
    </row>
    <row r="4028" spans="1:1">
      <c r="A4028" s="1"/>
    </row>
    <row r="4029" spans="1:1">
      <c r="A4029" s="1"/>
    </row>
    <row r="4030" spans="1:1">
      <c r="A4030" s="1"/>
    </row>
    <row r="4031" spans="1:1">
      <c r="A4031" s="1"/>
    </row>
    <row r="4032" spans="1:1">
      <c r="A4032" s="1"/>
    </row>
    <row r="4033" spans="1:1">
      <c r="A4033" s="1"/>
    </row>
    <row r="4034" spans="1:1">
      <c r="A4034" s="1"/>
    </row>
    <row r="4035" spans="1:1">
      <c r="A4035" s="1"/>
    </row>
    <row r="4036" spans="1:1">
      <c r="A4036" s="1"/>
    </row>
    <row r="4037" spans="1:1">
      <c r="A4037" s="1"/>
    </row>
    <row r="4038" spans="1:1">
      <c r="A4038" s="1"/>
    </row>
    <row r="4039" spans="1:1">
      <c r="A4039" s="1"/>
    </row>
    <row r="4040" spans="1:1">
      <c r="A4040" s="1"/>
    </row>
    <row r="4041" spans="1:1">
      <c r="A4041" s="1"/>
    </row>
    <row r="4042" spans="1:1">
      <c r="A4042" s="1"/>
    </row>
    <row r="4043" spans="1:1">
      <c r="A4043" s="1"/>
    </row>
    <row r="4044" spans="1:1">
      <c r="A4044" s="1"/>
    </row>
    <row r="4045" spans="1:1">
      <c r="A4045" s="1"/>
    </row>
    <row r="4046" spans="1:1">
      <c r="A4046" s="1"/>
    </row>
    <row r="4047" spans="1:1">
      <c r="A4047" s="1"/>
    </row>
    <row r="4048" spans="1:1">
      <c r="A4048" s="1"/>
    </row>
    <row r="4049" spans="1:1">
      <c r="A4049" s="1"/>
    </row>
    <row r="4050" spans="1:1">
      <c r="A4050" s="1"/>
    </row>
    <row r="4051" spans="1:1">
      <c r="A4051" s="1"/>
    </row>
    <row r="4052" spans="1:1">
      <c r="A4052" s="1"/>
    </row>
    <row r="4053" spans="1:1">
      <c r="A4053" s="1"/>
    </row>
    <row r="4054" spans="1:1">
      <c r="A4054" s="1"/>
    </row>
    <row r="4055" spans="1:1">
      <c r="A4055" s="1"/>
    </row>
    <row r="4056" spans="1:1">
      <c r="A4056" s="1"/>
    </row>
    <row r="4057" spans="1:1">
      <c r="A4057" s="1"/>
    </row>
    <row r="4058" spans="1:1">
      <c r="A4058" s="1"/>
    </row>
    <row r="4059" spans="1:1">
      <c r="A4059" s="1"/>
    </row>
    <row r="4060" spans="1:1">
      <c r="A4060" s="1"/>
    </row>
    <row r="4061" spans="1:1">
      <c r="A4061" s="1"/>
    </row>
    <row r="4062" spans="1:1">
      <c r="A4062" s="1"/>
    </row>
    <row r="4063" spans="1:1">
      <c r="A4063" s="1"/>
    </row>
    <row r="4064" spans="1:1">
      <c r="A4064" s="1"/>
    </row>
    <row r="4065" spans="1:1">
      <c r="A4065" s="1"/>
    </row>
    <row r="4066" spans="1:1">
      <c r="A4066" s="1"/>
    </row>
    <row r="4067" spans="1:1">
      <c r="A4067" s="1"/>
    </row>
    <row r="4068" spans="1:1">
      <c r="A4068" s="1"/>
    </row>
    <row r="4069" spans="1:1">
      <c r="A4069" s="1"/>
    </row>
    <row r="4070" spans="1:1">
      <c r="A4070" s="1"/>
    </row>
    <row r="4071" spans="1:1">
      <c r="A4071" s="1"/>
    </row>
    <row r="4072" spans="1:1">
      <c r="A4072" s="1"/>
    </row>
    <row r="4073" spans="1:1">
      <c r="A4073" s="1"/>
    </row>
    <row r="4074" spans="1:1">
      <c r="A4074" s="1"/>
    </row>
    <row r="4075" spans="1:1">
      <c r="A4075" s="1"/>
    </row>
    <row r="4076" spans="1:1">
      <c r="A4076" s="1"/>
    </row>
    <row r="4077" spans="1:1">
      <c r="A4077" s="1"/>
    </row>
    <row r="4078" spans="1:1">
      <c r="A4078" s="1"/>
    </row>
    <row r="4079" spans="1:1">
      <c r="A4079" s="1"/>
    </row>
    <row r="4080" spans="1:1">
      <c r="A4080" s="1"/>
    </row>
    <row r="4081" spans="1:1">
      <c r="A4081" s="1"/>
    </row>
    <row r="4082" spans="1:1">
      <c r="A4082" s="1"/>
    </row>
    <row r="4083" spans="1:1">
      <c r="A4083" s="1"/>
    </row>
    <row r="4084" spans="1:1">
      <c r="A4084" s="1"/>
    </row>
    <row r="4085" spans="1:1">
      <c r="A4085" s="1"/>
    </row>
    <row r="4086" spans="1:1">
      <c r="A4086" s="1"/>
    </row>
    <row r="4087" spans="1:1">
      <c r="A4087" s="1"/>
    </row>
    <row r="4088" spans="1:1">
      <c r="A4088" s="1"/>
    </row>
    <row r="4089" spans="1:1">
      <c r="A4089" s="1"/>
    </row>
    <row r="4090" spans="1:1">
      <c r="A4090" s="1"/>
    </row>
    <row r="4091" spans="1:1">
      <c r="A4091" s="1"/>
    </row>
    <row r="4092" spans="1:1">
      <c r="A4092" s="1"/>
    </row>
    <row r="4093" spans="1:1">
      <c r="A4093" s="1"/>
    </row>
    <row r="4094" spans="1:1">
      <c r="A4094" s="1"/>
    </row>
    <row r="4095" spans="1:1">
      <c r="A4095" s="1"/>
    </row>
    <row r="4096" spans="1:1">
      <c r="A4096" s="1"/>
    </row>
    <row r="4097" spans="1:1">
      <c r="A4097" s="1"/>
    </row>
    <row r="4098" spans="1:1">
      <c r="A4098" s="1"/>
    </row>
    <row r="4099" spans="1:1">
      <c r="A4099" s="1"/>
    </row>
    <row r="4100" spans="1:1">
      <c r="A4100" s="1"/>
    </row>
    <row r="4101" spans="1:1">
      <c r="A4101" s="1"/>
    </row>
    <row r="4102" spans="1:1">
      <c r="A4102" s="1"/>
    </row>
    <row r="4103" spans="1:1">
      <c r="A4103" s="1"/>
    </row>
    <row r="4104" spans="1:1">
      <c r="A4104" s="1"/>
    </row>
    <row r="4105" spans="1:1">
      <c r="A4105" s="1"/>
    </row>
    <row r="4106" spans="1:1">
      <c r="A4106" s="1"/>
    </row>
    <row r="4107" spans="1:1">
      <c r="A4107" s="1"/>
    </row>
    <row r="4108" spans="1:1">
      <c r="A4108" s="1"/>
    </row>
    <row r="4109" spans="1:1">
      <c r="A4109" s="1"/>
    </row>
    <row r="4110" spans="1:1">
      <c r="A4110" s="1"/>
    </row>
    <row r="4111" spans="1:1">
      <c r="A4111" s="1"/>
    </row>
    <row r="4112" spans="1:1">
      <c r="A4112" s="1"/>
    </row>
    <row r="4113" spans="1:1">
      <c r="A4113" s="1"/>
    </row>
    <row r="4114" spans="1:1">
      <c r="A4114" s="1"/>
    </row>
    <row r="4115" spans="1:1">
      <c r="A4115" s="1"/>
    </row>
    <row r="4116" spans="1:1">
      <c r="A4116" s="1"/>
    </row>
    <row r="4117" spans="1:1">
      <c r="A4117" s="1"/>
    </row>
    <row r="4118" spans="1:1">
      <c r="A4118" s="1"/>
    </row>
    <row r="4119" spans="1:1">
      <c r="A4119" s="1"/>
    </row>
    <row r="4120" spans="1:1">
      <c r="A4120" s="1"/>
    </row>
    <row r="4121" spans="1:1">
      <c r="A4121" s="1"/>
    </row>
    <row r="4122" spans="1:1">
      <c r="A4122" s="1"/>
    </row>
    <row r="4123" spans="1:1">
      <c r="A4123" s="1"/>
    </row>
    <row r="4124" spans="1:1">
      <c r="A4124" s="1"/>
    </row>
    <row r="4125" spans="1:1">
      <c r="A4125" s="1"/>
    </row>
    <row r="4126" spans="1:1">
      <c r="A4126" s="1"/>
    </row>
    <row r="4127" spans="1:1">
      <c r="A4127" s="1"/>
    </row>
    <row r="4128" spans="1:1">
      <c r="A4128" s="1"/>
    </row>
    <row r="4129" spans="1:1">
      <c r="A4129" s="1"/>
    </row>
    <row r="4130" spans="1:1">
      <c r="A4130" s="1"/>
    </row>
    <row r="4131" spans="1:1">
      <c r="A4131" s="1"/>
    </row>
    <row r="4132" spans="1:1">
      <c r="A4132" s="1"/>
    </row>
    <row r="4133" spans="1:1">
      <c r="A4133" s="1"/>
    </row>
    <row r="4134" spans="1:1">
      <c r="A4134" s="1"/>
    </row>
    <row r="4135" spans="1:1">
      <c r="A4135" s="1"/>
    </row>
    <row r="4136" spans="1:1">
      <c r="A4136" s="1"/>
    </row>
    <row r="4137" spans="1:1">
      <c r="A4137" s="1"/>
    </row>
    <row r="4138" spans="1:1">
      <c r="A4138" s="1"/>
    </row>
    <row r="4139" spans="1:1">
      <c r="A4139" s="1"/>
    </row>
    <row r="4140" spans="1:1">
      <c r="A4140" s="1"/>
    </row>
    <row r="4141" spans="1:1">
      <c r="A4141" s="1"/>
    </row>
    <row r="4142" spans="1:1">
      <c r="A4142" s="1"/>
    </row>
    <row r="4143" spans="1:1">
      <c r="A4143" s="1"/>
    </row>
    <row r="4144" spans="1:1">
      <c r="A4144" s="1"/>
    </row>
    <row r="4145" spans="1:1">
      <c r="A4145" s="1"/>
    </row>
    <row r="4146" spans="1:1">
      <c r="A4146" s="1"/>
    </row>
    <row r="4147" spans="1:1">
      <c r="A4147" s="1"/>
    </row>
    <row r="4148" spans="1:1">
      <c r="A4148" s="1"/>
    </row>
    <row r="4149" spans="1:1">
      <c r="A4149" s="1"/>
    </row>
    <row r="4150" spans="1:1">
      <c r="A4150" s="1"/>
    </row>
    <row r="4151" spans="1:1">
      <c r="A4151" s="1"/>
    </row>
    <row r="4152" spans="1:1">
      <c r="A4152" s="1"/>
    </row>
    <row r="4153" spans="1:1">
      <c r="A4153" s="1"/>
    </row>
    <row r="4154" spans="1:1">
      <c r="A4154" s="1"/>
    </row>
    <row r="4155" spans="1:1">
      <c r="A4155" s="1"/>
    </row>
    <row r="4156" spans="1:1">
      <c r="A4156" s="1"/>
    </row>
    <row r="4157" spans="1:1">
      <c r="A4157" s="1"/>
    </row>
    <row r="4158" spans="1:1">
      <c r="A4158" s="1"/>
    </row>
    <row r="4159" spans="1:1">
      <c r="A4159" s="1"/>
    </row>
    <row r="4160" spans="1:1">
      <c r="A4160" s="1"/>
    </row>
    <row r="4161" spans="1:1">
      <c r="A4161" s="1"/>
    </row>
    <row r="4162" spans="1:1">
      <c r="A4162" s="1"/>
    </row>
    <row r="4163" spans="1:1">
      <c r="A4163" s="1"/>
    </row>
    <row r="4164" spans="1:1">
      <c r="A4164" s="1"/>
    </row>
    <row r="4165" spans="1:1">
      <c r="A4165" s="1"/>
    </row>
    <row r="4166" spans="1:1">
      <c r="A4166" s="1"/>
    </row>
    <row r="4167" spans="1:1">
      <c r="A4167" s="1"/>
    </row>
    <row r="4168" spans="1:1">
      <c r="A4168" s="1"/>
    </row>
    <row r="4169" spans="1:1">
      <c r="A4169" s="1"/>
    </row>
    <row r="4170" spans="1:1">
      <c r="A4170" s="1"/>
    </row>
    <row r="4171" spans="1:1">
      <c r="A4171" s="1"/>
    </row>
    <row r="4172" spans="1:1">
      <c r="A4172" s="1"/>
    </row>
    <row r="4173" spans="1:1">
      <c r="A4173" s="1"/>
    </row>
    <row r="4174" spans="1:1">
      <c r="A4174" s="1"/>
    </row>
    <row r="4175" spans="1:1">
      <c r="A4175" s="1"/>
    </row>
    <row r="4176" spans="1:1">
      <c r="A4176" s="1"/>
    </row>
    <row r="4177" spans="1:1">
      <c r="A4177" s="1"/>
    </row>
    <row r="4178" spans="1:1">
      <c r="A4178" s="1"/>
    </row>
    <row r="4179" spans="1:1">
      <c r="A4179" s="1"/>
    </row>
    <row r="4180" spans="1:1">
      <c r="A4180" s="1"/>
    </row>
    <row r="4181" spans="1:1">
      <c r="A4181" s="1"/>
    </row>
    <row r="4182" spans="1:1">
      <c r="A4182" s="1"/>
    </row>
    <row r="4183" spans="1:1">
      <c r="A4183" s="1"/>
    </row>
    <row r="4184" spans="1:1">
      <c r="A4184" s="1"/>
    </row>
    <row r="4185" spans="1:1">
      <c r="A4185" s="1"/>
    </row>
    <row r="4186" spans="1:1">
      <c r="A4186" s="1"/>
    </row>
    <row r="4187" spans="1:1">
      <c r="A4187" s="1"/>
    </row>
    <row r="4188" spans="1:1">
      <c r="A4188" s="1"/>
    </row>
    <row r="4189" spans="1:1">
      <c r="A4189" s="1"/>
    </row>
    <row r="4190" spans="1:1">
      <c r="A4190" s="1"/>
    </row>
    <row r="4191" spans="1:1">
      <c r="A4191" s="1"/>
    </row>
    <row r="4192" spans="1:1">
      <c r="A4192" s="1"/>
    </row>
    <row r="4193" spans="1:1">
      <c r="A4193" s="1"/>
    </row>
    <row r="4194" spans="1:1">
      <c r="A4194" s="1"/>
    </row>
    <row r="4195" spans="1:1">
      <c r="A4195" s="1"/>
    </row>
    <row r="4196" spans="1:1">
      <c r="A4196" s="1"/>
    </row>
    <row r="4197" spans="1:1">
      <c r="A4197" s="1"/>
    </row>
    <row r="4198" spans="1:1">
      <c r="A4198" s="1"/>
    </row>
    <row r="4199" spans="1:1">
      <c r="A4199" s="1"/>
    </row>
    <row r="4200" spans="1:1">
      <c r="A4200" s="1"/>
    </row>
    <row r="4201" spans="1:1">
      <c r="A4201" s="1"/>
    </row>
    <row r="4202" spans="1:1">
      <c r="A4202" s="1"/>
    </row>
    <row r="4203" spans="1:1">
      <c r="A4203" s="1"/>
    </row>
    <row r="4204" spans="1:1">
      <c r="A4204" s="1"/>
    </row>
    <row r="4205" spans="1:1">
      <c r="A4205" s="1"/>
    </row>
    <row r="4206" spans="1:1">
      <c r="A4206" s="1"/>
    </row>
    <row r="4207" spans="1:1">
      <c r="A4207" s="1"/>
    </row>
    <row r="4208" spans="1:1">
      <c r="A4208" s="1"/>
    </row>
    <row r="4209" spans="1:1">
      <c r="A4209" s="1"/>
    </row>
    <row r="4210" spans="1:1">
      <c r="A4210" s="1"/>
    </row>
    <row r="4211" spans="1:1">
      <c r="A4211" s="1"/>
    </row>
    <row r="4212" spans="1:1">
      <c r="A4212" s="1"/>
    </row>
    <row r="4213" spans="1:1">
      <c r="A4213" s="1"/>
    </row>
    <row r="4214" spans="1:1">
      <c r="A4214" s="1"/>
    </row>
    <row r="4215" spans="1:1">
      <c r="A4215" s="1"/>
    </row>
    <row r="4216" spans="1:1">
      <c r="A4216" s="1"/>
    </row>
    <row r="4217" spans="1:1">
      <c r="A4217" s="1"/>
    </row>
    <row r="4218" spans="1:1">
      <c r="A4218" s="1"/>
    </row>
    <row r="4219" spans="1:1">
      <c r="A4219" s="1"/>
    </row>
    <row r="4220" spans="1:1">
      <c r="A4220" s="1"/>
    </row>
    <row r="4221" spans="1:1">
      <c r="A4221" s="1"/>
    </row>
    <row r="4222" spans="1:1">
      <c r="A4222" s="1"/>
    </row>
    <row r="4223" spans="1:1">
      <c r="A4223" s="1"/>
    </row>
    <row r="4224" spans="1:1">
      <c r="A4224" s="1"/>
    </row>
    <row r="4225" spans="1:1">
      <c r="A4225" s="1"/>
    </row>
    <row r="4226" spans="1:1">
      <c r="A4226" s="1"/>
    </row>
    <row r="4227" spans="1:1">
      <c r="A4227" s="1"/>
    </row>
    <row r="4228" spans="1:1">
      <c r="A4228" s="1"/>
    </row>
    <row r="4229" spans="1:1">
      <c r="A4229" s="1"/>
    </row>
    <row r="4230" spans="1:1">
      <c r="A4230" s="1"/>
    </row>
    <row r="4231" spans="1:1">
      <c r="A4231" s="1"/>
    </row>
    <row r="4232" spans="1:1">
      <c r="A4232" s="1"/>
    </row>
    <row r="4233" spans="1:1">
      <c r="A4233" s="1"/>
    </row>
    <row r="4234" spans="1:1">
      <c r="A4234" s="1"/>
    </row>
    <row r="4235" spans="1:1">
      <c r="A4235" s="1"/>
    </row>
    <row r="4236" spans="1:1">
      <c r="A4236" s="1"/>
    </row>
    <row r="4237" spans="1:1">
      <c r="A4237" s="1"/>
    </row>
    <row r="4238" spans="1:1">
      <c r="A4238" s="1"/>
    </row>
    <row r="4239" spans="1:1">
      <c r="A4239" s="1"/>
    </row>
    <row r="4240" spans="1:1">
      <c r="A4240" s="1"/>
    </row>
    <row r="4241" spans="1:1">
      <c r="A4241" s="1"/>
    </row>
    <row r="4242" spans="1:1">
      <c r="A4242" s="1"/>
    </row>
    <row r="4243" spans="1:1">
      <c r="A4243" s="1"/>
    </row>
    <row r="4244" spans="1:1">
      <c r="A4244" s="1"/>
    </row>
    <row r="4245" spans="1:1">
      <c r="A4245" s="1"/>
    </row>
    <row r="4246" spans="1:1">
      <c r="A4246" s="1"/>
    </row>
    <row r="4247" spans="1:1">
      <c r="A4247" s="1"/>
    </row>
    <row r="4248" spans="1:1">
      <c r="A4248" s="1"/>
    </row>
    <row r="4249" spans="1:1">
      <c r="A4249" s="1"/>
    </row>
    <row r="4250" spans="1:1">
      <c r="A4250" s="1"/>
    </row>
    <row r="4251" spans="1:1">
      <c r="A4251" s="1"/>
    </row>
    <row r="4252" spans="1:1">
      <c r="A4252" s="1"/>
    </row>
    <row r="4253" spans="1:1">
      <c r="A4253" s="1"/>
    </row>
    <row r="4254" spans="1:1">
      <c r="A4254" s="1"/>
    </row>
    <row r="4255" spans="1:1">
      <c r="A4255" s="1"/>
    </row>
    <row r="4256" spans="1:1">
      <c r="A4256" s="1"/>
    </row>
    <row r="4257" spans="1:1">
      <c r="A4257" s="1"/>
    </row>
    <row r="4258" spans="1:1">
      <c r="A4258" s="1"/>
    </row>
    <row r="4259" spans="1:1">
      <c r="A4259" s="1"/>
    </row>
    <row r="4260" spans="1:1">
      <c r="A4260" s="1"/>
    </row>
    <row r="4261" spans="1:1">
      <c r="A4261" s="1"/>
    </row>
    <row r="4262" spans="1:1">
      <c r="A4262" s="1"/>
    </row>
    <row r="4263" spans="1:1">
      <c r="A4263" s="1"/>
    </row>
    <row r="4264" spans="1:1">
      <c r="A4264" s="1"/>
    </row>
    <row r="4265" spans="1:1">
      <c r="A4265" s="1"/>
    </row>
    <row r="4266" spans="1:1">
      <c r="A4266" s="1"/>
    </row>
    <row r="4267" spans="1:1">
      <c r="A4267" s="1"/>
    </row>
    <row r="4268" spans="1:1">
      <c r="A4268" s="1"/>
    </row>
    <row r="4269" spans="1:1">
      <c r="A4269" s="1"/>
    </row>
    <row r="4270" spans="1:1">
      <c r="A4270" s="1"/>
    </row>
    <row r="4271" spans="1:1">
      <c r="A4271" s="1"/>
    </row>
    <row r="4272" spans="1:1">
      <c r="A4272" s="1"/>
    </row>
    <row r="4273" spans="1:1">
      <c r="A4273" s="1"/>
    </row>
    <row r="4274" spans="1:1">
      <c r="A4274" s="1"/>
    </row>
    <row r="4275" spans="1:1">
      <c r="A4275" s="1"/>
    </row>
    <row r="4276" spans="1:1">
      <c r="A4276" s="1"/>
    </row>
    <row r="4277" spans="1:1">
      <c r="A4277" s="1"/>
    </row>
    <row r="4278" spans="1:1">
      <c r="A4278" s="1"/>
    </row>
    <row r="4279" spans="1:1">
      <c r="A4279" s="1"/>
    </row>
    <row r="4280" spans="1:1">
      <c r="A4280" s="1"/>
    </row>
    <row r="4281" spans="1:1">
      <c r="A4281" s="1"/>
    </row>
    <row r="4282" spans="1:1">
      <c r="A4282" s="1"/>
    </row>
    <row r="4283" spans="1:1">
      <c r="A4283" s="1"/>
    </row>
    <row r="4284" spans="1:1">
      <c r="A4284" s="1"/>
    </row>
    <row r="4285" spans="1:1">
      <c r="A4285" s="1"/>
    </row>
    <row r="4286" spans="1:1">
      <c r="A4286" s="1"/>
    </row>
    <row r="4287" spans="1:1">
      <c r="A4287" s="1"/>
    </row>
    <row r="4288" spans="1:1">
      <c r="A4288" s="1"/>
    </row>
    <row r="4289" spans="1:1">
      <c r="A4289" s="1"/>
    </row>
    <row r="4290" spans="1:1">
      <c r="A4290" s="1"/>
    </row>
    <row r="4291" spans="1:1">
      <c r="A4291" s="1"/>
    </row>
    <row r="4292" spans="1:1">
      <c r="A4292" s="1"/>
    </row>
    <row r="4293" spans="1:1">
      <c r="A4293" s="1"/>
    </row>
    <row r="4294" spans="1:1">
      <c r="A4294" s="1"/>
    </row>
    <row r="4295" spans="1:1">
      <c r="A4295" s="1"/>
    </row>
    <row r="4296" spans="1:1">
      <c r="A4296" s="1"/>
    </row>
    <row r="4297" spans="1:1">
      <c r="A4297" s="1"/>
    </row>
    <row r="4298" spans="1:1">
      <c r="A4298" s="1"/>
    </row>
    <row r="4299" spans="1:1">
      <c r="A4299" s="1"/>
    </row>
    <row r="4300" spans="1:1">
      <c r="A4300" s="1"/>
    </row>
    <row r="4301" spans="1:1">
      <c r="A4301" s="1"/>
    </row>
    <row r="4302" spans="1:1">
      <c r="A4302" s="1"/>
    </row>
    <row r="4303" spans="1:1">
      <c r="A4303" s="1"/>
    </row>
    <row r="4304" spans="1:1">
      <c r="A4304" s="1"/>
    </row>
    <row r="4305" spans="1:1">
      <c r="A4305" s="1"/>
    </row>
    <row r="4306" spans="1:1">
      <c r="A4306" s="1"/>
    </row>
    <row r="4307" spans="1:1">
      <c r="A4307" s="1"/>
    </row>
    <row r="4308" spans="1:1">
      <c r="A4308" s="1"/>
    </row>
    <row r="4309" spans="1:1">
      <c r="A4309" s="1"/>
    </row>
    <row r="4310" spans="1:1">
      <c r="A4310" s="1"/>
    </row>
    <row r="4311" spans="1:1">
      <c r="A4311" s="1"/>
    </row>
    <row r="4312" spans="1:1">
      <c r="A4312" s="1"/>
    </row>
    <row r="4313" spans="1:1">
      <c r="A4313" s="1"/>
    </row>
    <row r="4314" spans="1:1">
      <c r="A4314" s="1"/>
    </row>
    <row r="4315" spans="1:1">
      <c r="A4315" s="1"/>
    </row>
    <row r="4316" spans="1:1">
      <c r="A4316" s="1"/>
    </row>
    <row r="4317" spans="1:1">
      <c r="A4317" s="1"/>
    </row>
    <row r="4318" spans="1:1">
      <c r="A4318" s="1"/>
    </row>
    <row r="4319" spans="1:1">
      <c r="A4319" s="1"/>
    </row>
    <row r="4320" spans="1:1">
      <c r="A4320" s="1"/>
    </row>
    <row r="4321" spans="1:1">
      <c r="A4321" s="1"/>
    </row>
    <row r="4322" spans="1:1">
      <c r="A4322" s="1"/>
    </row>
    <row r="4323" spans="1:1">
      <c r="A4323" s="1"/>
    </row>
    <row r="4324" spans="1:1">
      <c r="A4324" s="1"/>
    </row>
    <row r="4325" spans="1:1">
      <c r="A4325" s="1"/>
    </row>
    <row r="4326" spans="1:1">
      <c r="A4326" s="1"/>
    </row>
    <row r="4327" spans="1:1">
      <c r="A4327" s="1"/>
    </row>
    <row r="4328" spans="1:1">
      <c r="A4328" s="1"/>
    </row>
    <row r="4329" spans="1:1">
      <c r="A4329" s="1"/>
    </row>
    <row r="4330" spans="1:1">
      <c r="A4330" s="1"/>
    </row>
    <row r="4331" spans="1:1">
      <c r="A4331" s="1"/>
    </row>
    <row r="4332" spans="1:1">
      <c r="A4332" s="1"/>
    </row>
    <row r="4333" spans="1:1">
      <c r="A4333" s="1"/>
    </row>
    <row r="4334" spans="1:1">
      <c r="A4334" s="1"/>
    </row>
    <row r="4335" spans="1:1">
      <c r="A4335" s="1"/>
    </row>
    <row r="4336" spans="1:1">
      <c r="A4336" s="1"/>
    </row>
    <row r="4337" spans="1:1">
      <c r="A4337" s="1"/>
    </row>
    <row r="4338" spans="1:1">
      <c r="A4338" s="1"/>
    </row>
    <row r="4339" spans="1:1">
      <c r="A4339" s="1"/>
    </row>
    <row r="4340" spans="1:1">
      <c r="A4340" s="1"/>
    </row>
    <row r="4341" spans="1:1">
      <c r="A4341" s="1"/>
    </row>
    <row r="4342" spans="1:1">
      <c r="A4342" s="1"/>
    </row>
    <row r="4343" spans="1:1">
      <c r="A4343" s="1"/>
    </row>
    <row r="4344" spans="1:1">
      <c r="A4344" s="1"/>
    </row>
    <row r="4345" spans="1:1">
      <c r="A4345" s="1"/>
    </row>
    <row r="4346" spans="1:1">
      <c r="A4346" s="1"/>
    </row>
    <row r="4347" spans="1:1">
      <c r="A4347" s="1"/>
    </row>
    <row r="4348" spans="1:1">
      <c r="A4348" s="1"/>
    </row>
    <row r="4349" spans="1:1">
      <c r="A4349" s="1"/>
    </row>
    <row r="4350" spans="1:1">
      <c r="A4350" s="1"/>
    </row>
    <row r="4351" spans="1:1">
      <c r="A4351" s="1"/>
    </row>
    <row r="4352" spans="1:1">
      <c r="A4352" s="1"/>
    </row>
    <row r="4353" spans="1:1">
      <c r="A4353" s="1"/>
    </row>
    <row r="4354" spans="1:1">
      <c r="A4354" s="1"/>
    </row>
    <row r="4355" spans="1:1">
      <c r="A4355" s="1"/>
    </row>
    <row r="4356" spans="1:1">
      <c r="A4356" s="1"/>
    </row>
    <row r="4357" spans="1:1">
      <c r="A4357" s="1"/>
    </row>
    <row r="4358" spans="1:1">
      <c r="A4358" s="1"/>
    </row>
    <row r="4359" spans="1:1">
      <c r="A4359" s="1"/>
    </row>
    <row r="4360" spans="1:1">
      <c r="A4360" s="1"/>
    </row>
    <row r="4361" spans="1:1">
      <c r="A4361" s="1"/>
    </row>
    <row r="4362" spans="1:1">
      <c r="A4362" s="1"/>
    </row>
    <row r="4363" spans="1:1">
      <c r="A4363" s="1"/>
    </row>
    <row r="4364" spans="1:1">
      <c r="A4364" s="1"/>
    </row>
    <row r="4365" spans="1:1">
      <c r="A4365" s="1"/>
    </row>
    <row r="4366" spans="1:1">
      <c r="A4366" s="1"/>
    </row>
    <row r="4367" spans="1:1">
      <c r="A4367" s="1"/>
    </row>
    <row r="4368" spans="1:1">
      <c r="A4368" s="1"/>
    </row>
    <row r="4369" spans="1:1">
      <c r="A4369" s="1"/>
    </row>
    <row r="4370" spans="1:1">
      <c r="A4370" s="1"/>
    </row>
    <row r="4371" spans="1:1">
      <c r="A4371" s="1"/>
    </row>
    <row r="4372" spans="1:1">
      <c r="A4372" s="1"/>
    </row>
    <row r="4373" spans="1:1">
      <c r="A4373" s="1"/>
    </row>
    <row r="4374" spans="1:1">
      <c r="A4374" s="1"/>
    </row>
    <row r="4375" spans="1:1">
      <c r="A4375" s="1"/>
    </row>
    <row r="4376" spans="1:1">
      <c r="A4376" s="1"/>
    </row>
    <row r="4377" spans="1:1">
      <c r="A4377" s="1"/>
    </row>
    <row r="4378" spans="1:1">
      <c r="A4378" s="1"/>
    </row>
    <row r="4379" spans="1:1">
      <c r="A4379" s="1"/>
    </row>
    <row r="4380" spans="1:1">
      <c r="A4380" s="1"/>
    </row>
    <row r="4381" spans="1:1">
      <c r="A4381" s="1"/>
    </row>
    <row r="4382" spans="1:1">
      <c r="A4382" s="1"/>
    </row>
    <row r="4383" spans="1:1">
      <c r="A4383" s="1"/>
    </row>
    <row r="4384" spans="1:1">
      <c r="A4384" s="1"/>
    </row>
    <row r="4385" spans="1:1">
      <c r="A4385" s="1"/>
    </row>
    <row r="4386" spans="1:1">
      <c r="A4386" s="1"/>
    </row>
    <row r="4387" spans="1:1">
      <c r="A4387" s="1"/>
    </row>
    <row r="4388" spans="1:1">
      <c r="A4388" s="1"/>
    </row>
    <row r="4389" spans="1:1">
      <c r="A4389" s="1"/>
    </row>
    <row r="4390" spans="1:1">
      <c r="A4390" s="1"/>
    </row>
    <row r="4391" spans="1:1">
      <c r="A4391" s="1"/>
    </row>
    <row r="4392" spans="1:1">
      <c r="A4392" s="1"/>
    </row>
    <row r="4393" spans="1:1">
      <c r="A4393" s="1"/>
    </row>
    <row r="4394" spans="1:1">
      <c r="A4394" s="1"/>
    </row>
    <row r="4395" spans="1:1">
      <c r="A4395" s="1"/>
    </row>
    <row r="4396" spans="1:1">
      <c r="A4396" s="1"/>
    </row>
    <row r="4397" spans="1:1">
      <c r="A4397" s="1"/>
    </row>
    <row r="4398" spans="1:1">
      <c r="A4398" s="1"/>
    </row>
    <row r="4399" spans="1:1">
      <c r="A4399" s="1"/>
    </row>
    <row r="4400" spans="1:1">
      <c r="A4400" s="1"/>
    </row>
    <row r="4401" spans="1:1">
      <c r="A4401" s="1"/>
    </row>
    <row r="4402" spans="1:1">
      <c r="A4402" s="1"/>
    </row>
    <row r="4403" spans="1:1">
      <c r="A4403" s="1"/>
    </row>
    <row r="4404" spans="1:1">
      <c r="A4404" s="1"/>
    </row>
    <row r="4405" spans="1:1">
      <c r="A4405" s="1"/>
    </row>
    <row r="4406" spans="1:1">
      <c r="A4406" s="1"/>
    </row>
    <row r="4407" spans="1:1">
      <c r="A4407" s="1"/>
    </row>
    <row r="4408" spans="1:1">
      <c r="A4408" s="1"/>
    </row>
    <row r="4409" spans="1:1">
      <c r="A4409" s="1"/>
    </row>
    <row r="4410" spans="1:1">
      <c r="A4410" s="1"/>
    </row>
    <row r="4411" spans="1:1">
      <c r="A4411" s="1"/>
    </row>
    <row r="4412" spans="1:1">
      <c r="A4412" s="1"/>
    </row>
    <row r="4413" spans="1:1">
      <c r="A4413" s="1"/>
    </row>
    <row r="4414" spans="1:1">
      <c r="A4414" s="1"/>
    </row>
    <row r="4415" spans="1:1">
      <c r="A4415" s="1"/>
    </row>
    <row r="4416" spans="1:1">
      <c r="A4416" s="1"/>
    </row>
    <row r="4417" spans="1:1">
      <c r="A4417" s="1"/>
    </row>
    <row r="4418" spans="1:1">
      <c r="A4418" s="1"/>
    </row>
    <row r="4419" spans="1:1">
      <c r="A4419" s="1"/>
    </row>
    <row r="4420" spans="1:1">
      <c r="A4420" s="1"/>
    </row>
    <row r="4421" spans="1:1">
      <c r="A4421" s="1"/>
    </row>
    <row r="4422" spans="1:1">
      <c r="A4422" s="1"/>
    </row>
    <row r="4423" spans="1:1">
      <c r="A4423" s="1"/>
    </row>
    <row r="4424" spans="1:1">
      <c r="A4424" s="1"/>
    </row>
    <row r="4425" spans="1:1">
      <c r="A4425" s="1"/>
    </row>
    <row r="4426" spans="1:1">
      <c r="A4426" s="1"/>
    </row>
    <row r="4427" spans="1:1">
      <c r="A4427" s="1"/>
    </row>
    <row r="4428" spans="1:1">
      <c r="A4428" s="1"/>
    </row>
    <row r="4429" spans="1:1">
      <c r="A4429" s="1"/>
    </row>
    <row r="4430" spans="1:1">
      <c r="A4430" s="1"/>
    </row>
    <row r="4431" spans="1:1">
      <c r="A4431" s="1"/>
    </row>
    <row r="4432" spans="1:1">
      <c r="A4432" s="1"/>
    </row>
    <row r="4433" spans="1:1">
      <c r="A4433" s="1"/>
    </row>
    <row r="4434" spans="1:1">
      <c r="A4434" s="1"/>
    </row>
    <row r="4435" spans="1:1">
      <c r="A4435" s="1"/>
    </row>
    <row r="4436" spans="1:1">
      <c r="A4436" s="1"/>
    </row>
    <row r="4437" spans="1:1">
      <c r="A4437" s="1"/>
    </row>
    <row r="4438" spans="1:1">
      <c r="A4438" s="1"/>
    </row>
    <row r="4439" spans="1:1">
      <c r="A4439" s="1"/>
    </row>
    <row r="4440" spans="1:1">
      <c r="A4440" s="1"/>
    </row>
    <row r="4441" spans="1:1">
      <c r="A4441" s="1"/>
    </row>
    <row r="4442" spans="1:1">
      <c r="A4442" s="1"/>
    </row>
    <row r="4443" spans="1:1">
      <c r="A4443" s="1"/>
    </row>
    <row r="4444" spans="1:1">
      <c r="A4444" s="1"/>
    </row>
    <row r="4445" spans="1:1">
      <c r="A4445" s="1"/>
    </row>
    <row r="4446" spans="1:1">
      <c r="A4446" s="1"/>
    </row>
    <row r="4447" spans="1:1">
      <c r="A4447" s="1"/>
    </row>
    <row r="4448" spans="1:1">
      <c r="A4448" s="1"/>
    </row>
    <row r="4449" spans="1:1">
      <c r="A4449" s="1"/>
    </row>
    <row r="4450" spans="1:1">
      <c r="A4450" s="1"/>
    </row>
    <row r="4451" spans="1:1">
      <c r="A4451" s="1"/>
    </row>
    <row r="4452" spans="1:1">
      <c r="A4452" s="1"/>
    </row>
    <row r="4453" spans="1:1">
      <c r="A4453" s="1"/>
    </row>
    <row r="4454" spans="1:1">
      <c r="A4454" s="1"/>
    </row>
    <row r="4455" spans="1:1">
      <c r="A4455" s="1"/>
    </row>
    <row r="4456" spans="1:1">
      <c r="A4456" s="1"/>
    </row>
    <row r="4457" spans="1:1">
      <c r="A4457" s="1"/>
    </row>
    <row r="4458" spans="1:1">
      <c r="A4458" s="1"/>
    </row>
    <row r="4459" spans="1:1">
      <c r="A4459" s="1"/>
    </row>
    <row r="4460" spans="1:1">
      <c r="A4460" s="1"/>
    </row>
    <row r="4461" spans="1:1">
      <c r="A4461" s="1"/>
    </row>
    <row r="4462" spans="1:1">
      <c r="A4462" s="1"/>
    </row>
    <row r="4463" spans="1:1">
      <c r="A4463" s="1"/>
    </row>
    <row r="4464" spans="1:1">
      <c r="A4464" s="1"/>
    </row>
    <row r="4465" spans="1:1">
      <c r="A4465" s="1"/>
    </row>
    <row r="4466" spans="1:1">
      <c r="A4466" s="1"/>
    </row>
    <row r="4467" spans="1:1">
      <c r="A4467" s="1"/>
    </row>
    <row r="4468" spans="1:1">
      <c r="A4468" s="1"/>
    </row>
    <row r="4469" spans="1:1">
      <c r="A4469" s="1"/>
    </row>
    <row r="4470" spans="1:1">
      <c r="A4470" s="1"/>
    </row>
    <row r="4471" spans="1:1">
      <c r="A4471" s="1"/>
    </row>
    <row r="4472" spans="1:1">
      <c r="A4472" s="1"/>
    </row>
    <row r="4473" spans="1:1">
      <c r="A4473" s="1"/>
    </row>
    <row r="4474" spans="1:1">
      <c r="A4474" s="1"/>
    </row>
    <row r="4475" spans="1:1">
      <c r="A4475" s="1"/>
    </row>
    <row r="4476" spans="1:1">
      <c r="A4476" s="1"/>
    </row>
    <row r="4477" spans="1:1">
      <c r="A4477" s="1"/>
    </row>
    <row r="4478" spans="1:1">
      <c r="A4478" s="1"/>
    </row>
    <row r="4479" spans="1:1">
      <c r="A4479" s="1"/>
    </row>
    <row r="4480" spans="1:1">
      <c r="A4480" s="1"/>
    </row>
    <row r="4481" spans="1:1">
      <c r="A4481" s="1"/>
    </row>
    <row r="4482" spans="1:1">
      <c r="A4482" s="1"/>
    </row>
    <row r="4483" spans="1:1">
      <c r="A4483" s="1"/>
    </row>
    <row r="4484" spans="1:1">
      <c r="A4484" s="1"/>
    </row>
    <row r="4485" spans="1:1">
      <c r="A4485" s="1"/>
    </row>
    <row r="4486" spans="1:1">
      <c r="A4486" s="1"/>
    </row>
    <row r="4487" spans="1:1">
      <c r="A4487" s="1"/>
    </row>
    <row r="4488" spans="1:1">
      <c r="A4488" s="1"/>
    </row>
    <row r="4489" spans="1:1">
      <c r="A4489" s="1"/>
    </row>
    <row r="4490" spans="1:1">
      <c r="A4490" s="1"/>
    </row>
    <row r="4491" spans="1:1">
      <c r="A4491" s="1"/>
    </row>
    <row r="4492" spans="1:1">
      <c r="A4492" s="1"/>
    </row>
    <row r="4493" spans="1:1">
      <c r="A4493" s="1"/>
    </row>
    <row r="4494" spans="1:1">
      <c r="A4494" s="1"/>
    </row>
    <row r="4495" spans="1:1">
      <c r="A4495" s="1"/>
    </row>
    <row r="4496" spans="1:1">
      <c r="A4496" s="1"/>
    </row>
    <row r="4497" spans="1:1">
      <c r="A4497" s="1"/>
    </row>
    <row r="4498" spans="1:1">
      <c r="A4498" s="1"/>
    </row>
    <row r="4499" spans="1:1">
      <c r="A4499" s="1"/>
    </row>
    <row r="4500" spans="1:1">
      <c r="A4500" s="1"/>
    </row>
    <row r="4501" spans="1:1">
      <c r="A4501" s="1"/>
    </row>
    <row r="4502" spans="1:1">
      <c r="A4502" s="1"/>
    </row>
    <row r="4503" spans="1:1">
      <c r="A4503" s="1"/>
    </row>
    <row r="4504" spans="1:1">
      <c r="A4504" s="1"/>
    </row>
    <row r="4505" spans="1:1">
      <c r="A4505" s="1"/>
    </row>
    <row r="4506" spans="1:1">
      <c r="A4506" s="1"/>
    </row>
    <row r="4507" spans="1:1">
      <c r="A4507" s="1"/>
    </row>
    <row r="4508" spans="1:1">
      <c r="A4508" s="1"/>
    </row>
    <row r="4509" spans="1:1">
      <c r="A4509" s="1"/>
    </row>
    <row r="4510" spans="1:1">
      <c r="A4510" s="1"/>
    </row>
    <row r="4511" spans="1:1">
      <c r="A4511" s="1"/>
    </row>
    <row r="4512" spans="1:1">
      <c r="A4512" s="1"/>
    </row>
    <row r="4513" spans="1:1">
      <c r="A4513" s="1"/>
    </row>
    <row r="4514" spans="1:1">
      <c r="A4514" s="1"/>
    </row>
    <row r="4515" spans="1:1">
      <c r="A4515" s="1"/>
    </row>
    <row r="4516" spans="1:1">
      <c r="A4516" s="1"/>
    </row>
    <row r="4517" spans="1:1">
      <c r="A4517" s="1"/>
    </row>
    <row r="4518" spans="1:1">
      <c r="A4518" s="1"/>
    </row>
    <row r="4519" spans="1:1">
      <c r="A4519" s="1"/>
    </row>
    <row r="4520" spans="1:1">
      <c r="A4520" s="1"/>
    </row>
    <row r="4521" spans="1:1">
      <c r="A4521" s="1"/>
    </row>
    <row r="4522" spans="1:1">
      <c r="A4522" s="1"/>
    </row>
    <row r="4523" spans="1:1">
      <c r="A4523" s="1"/>
    </row>
    <row r="4524" spans="1:1">
      <c r="A4524" s="1"/>
    </row>
    <row r="4525" spans="1:1">
      <c r="A4525" s="1"/>
    </row>
    <row r="4526" spans="1:1">
      <c r="A4526" s="1"/>
    </row>
    <row r="4527" spans="1:1">
      <c r="A4527" s="1"/>
    </row>
    <row r="4528" spans="1:1">
      <c r="A4528" s="1"/>
    </row>
    <row r="4529" spans="1:1">
      <c r="A4529" s="1"/>
    </row>
    <row r="4530" spans="1:1">
      <c r="A4530" s="1"/>
    </row>
    <row r="4531" spans="1:1">
      <c r="A4531" s="1"/>
    </row>
    <row r="4532" spans="1:1">
      <c r="A4532" s="1"/>
    </row>
    <row r="4533" spans="1:1">
      <c r="A4533" s="1"/>
    </row>
    <row r="4534" spans="1:1">
      <c r="A4534" s="1"/>
    </row>
    <row r="4535" spans="1:1">
      <c r="A4535" s="1"/>
    </row>
    <row r="4536" spans="1:1">
      <c r="A4536" s="1"/>
    </row>
    <row r="4537" spans="1:1">
      <c r="A4537" s="1"/>
    </row>
    <row r="4538" spans="1:1">
      <c r="A4538" s="1"/>
    </row>
    <row r="4539" spans="1:1">
      <c r="A4539" s="1"/>
    </row>
    <row r="4540" spans="1:1">
      <c r="A4540" s="1"/>
    </row>
    <row r="4541" spans="1:1">
      <c r="A4541" s="1"/>
    </row>
    <row r="4542" spans="1:1">
      <c r="A4542" s="1"/>
    </row>
    <row r="4543" spans="1:1">
      <c r="A4543" s="1"/>
    </row>
    <row r="4544" spans="1:1">
      <c r="A4544" s="1"/>
    </row>
    <row r="4545" spans="1:1">
      <c r="A4545" s="1"/>
    </row>
    <row r="4546" spans="1:1">
      <c r="A4546" s="1"/>
    </row>
    <row r="4547" spans="1:1">
      <c r="A4547" s="1"/>
    </row>
    <row r="4548" spans="1:1">
      <c r="A4548" s="1"/>
    </row>
    <row r="4549" spans="1:1">
      <c r="A4549" s="1"/>
    </row>
    <row r="4550" spans="1:1">
      <c r="A4550" s="1"/>
    </row>
    <row r="4551" spans="1:1">
      <c r="A4551" s="1"/>
    </row>
    <row r="4552" spans="1:1">
      <c r="A4552" s="1"/>
    </row>
    <row r="4553" spans="1:1">
      <c r="A4553" s="1"/>
    </row>
    <row r="4554" spans="1:1">
      <c r="A4554" s="1"/>
    </row>
    <row r="4555" spans="1:1">
      <c r="A4555" s="1"/>
    </row>
    <row r="4556" spans="1:1">
      <c r="A4556" s="1"/>
    </row>
    <row r="4557" spans="1:1">
      <c r="A4557" s="1"/>
    </row>
    <row r="4558" spans="1:1">
      <c r="A4558" s="1"/>
    </row>
    <row r="4559" spans="1:1">
      <c r="A4559" s="1"/>
    </row>
    <row r="4560" spans="1:1">
      <c r="A4560" s="1"/>
    </row>
    <row r="4561" spans="1:1">
      <c r="A4561" s="1"/>
    </row>
    <row r="4562" spans="1:1">
      <c r="A4562" s="1"/>
    </row>
    <row r="4563" spans="1:1">
      <c r="A4563" s="1"/>
    </row>
    <row r="4564" spans="1:1">
      <c r="A4564" s="1"/>
    </row>
    <row r="4565" spans="1:1">
      <c r="A4565" s="1"/>
    </row>
    <row r="4566" spans="1:1">
      <c r="A4566" s="1"/>
    </row>
    <row r="4567" spans="1:1">
      <c r="A4567" s="1"/>
    </row>
    <row r="4568" spans="1:1">
      <c r="A4568" s="1"/>
    </row>
    <row r="4569" spans="1:1">
      <c r="A4569" s="1"/>
    </row>
    <row r="4570" spans="1:1">
      <c r="A4570" s="1"/>
    </row>
    <row r="4571" spans="1:1">
      <c r="A4571" s="1"/>
    </row>
    <row r="4572" spans="1:1">
      <c r="A4572" s="1"/>
    </row>
    <row r="4573" spans="1:1">
      <c r="A4573" s="1"/>
    </row>
    <row r="4574" spans="1:1">
      <c r="A4574" s="1"/>
    </row>
    <row r="4575" spans="1:1">
      <c r="A4575" s="1"/>
    </row>
    <row r="4576" spans="1:1">
      <c r="A4576" s="1"/>
    </row>
    <row r="4577" spans="1:1">
      <c r="A4577" s="1"/>
    </row>
    <row r="4578" spans="1:1">
      <c r="A4578" s="1"/>
    </row>
    <row r="4579" spans="1:1">
      <c r="A4579" s="1"/>
    </row>
    <row r="4580" spans="1:1">
      <c r="A4580" s="1"/>
    </row>
    <row r="4581" spans="1:1">
      <c r="A4581" s="1"/>
    </row>
    <row r="4582" spans="1:1">
      <c r="A4582" s="1"/>
    </row>
    <row r="4583" spans="1:1">
      <c r="A4583" s="1"/>
    </row>
    <row r="4584" spans="1:1">
      <c r="A4584" s="1"/>
    </row>
    <row r="4585" spans="1:1">
      <c r="A4585" s="1"/>
    </row>
    <row r="4586" spans="1:1">
      <c r="A4586" s="1"/>
    </row>
    <row r="4587" spans="1:1">
      <c r="A4587" s="1"/>
    </row>
    <row r="4588" spans="1:1">
      <c r="A4588" s="1"/>
    </row>
    <row r="4589" spans="1:1">
      <c r="A4589" s="1"/>
    </row>
    <row r="4590" spans="1:1">
      <c r="A4590" s="1"/>
    </row>
    <row r="4591" spans="1:1">
      <c r="A4591" s="1"/>
    </row>
    <row r="4592" spans="1:1">
      <c r="A4592" s="1"/>
    </row>
    <row r="4593" spans="1:1">
      <c r="A4593" s="1"/>
    </row>
    <row r="4594" spans="1:1">
      <c r="A4594" s="1"/>
    </row>
    <row r="4595" spans="1:1">
      <c r="A4595" s="1"/>
    </row>
    <row r="4596" spans="1:1">
      <c r="A4596" s="1"/>
    </row>
    <row r="4597" spans="1:1">
      <c r="A4597" s="1"/>
    </row>
    <row r="4598" spans="1:1">
      <c r="A4598" s="1"/>
    </row>
    <row r="4599" spans="1:1">
      <c r="A4599" s="1"/>
    </row>
    <row r="4600" spans="1:1">
      <c r="A4600" s="1"/>
    </row>
    <row r="4601" spans="1:1">
      <c r="A4601" s="1"/>
    </row>
    <row r="4602" spans="1:1">
      <c r="A4602" s="1"/>
    </row>
    <row r="4603" spans="1:1">
      <c r="A4603" s="1"/>
    </row>
    <row r="4604" spans="1:1">
      <c r="A4604" s="1"/>
    </row>
    <row r="4605" spans="1:1">
      <c r="A4605" s="1"/>
    </row>
    <row r="4606" spans="1:1">
      <c r="A4606" s="1"/>
    </row>
    <row r="4607" spans="1:1">
      <c r="A4607" s="1"/>
    </row>
    <row r="4608" spans="1:1">
      <c r="A4608" s="1"/>
    </row>
    <row r="4609" spans="1:1">
      <c r="A4609" s="1"/>
    </row>
    <row r="4610" spans="1:1">
      <c r="A4610" s="1"/>
    </row>
    <row r="4611" spans="1:1">
      <c r="A4611" s="1"/>
    </row>
    <row r="4612" spans="1:1">
      <c r="A4612" s="1"/>
    </row>
    <row r="4613" spans="1:1">
      <c r="A4613" s="1"/>
    </row>
    <row r="4614" spans="1:1">
      <c r="A4614" s="1"/>
    </row>
    <row r="4615" spans="1:1">
      <c r="A4615" s="1"/>
    </row>
    <row r="4616" spans="1:1">
      <c r="A4616" s="1"/>
    </row>
    <row r="4617" spans="1:1">
      <c r="A4617" s="1"/>
    </row>
    <row r="4618" spans="1:1">
      <c r="A4618" s="1"/>
    </row>
    <row r="4619" spans="1:1">
      <c r="A4619" s="1"/>
    </row>
    <row r="4620" spans="1:1">
      <c r="A4620" s="1"/>
    </row>
    <row r="4621" spans="1:1">
      <c r="A4621" s="1"/>
    </row>
    <row r="4622" spans="1:1">
      <c r="A4622" s="1"/>
    </row>
    <row r="4623" spans="1:1">
      <c r="A4623" s="1"/>
    </row>
    <row r="4624" spans="1:1">
      <c r="A4624" s="1"/>
    </row>
    <row r="4625" spans="1:1">
      <c r="A4625" s="1"/>
    </row>
    <row r="4626" spans="1:1">
      <c r="A4626" s="1"/>
    </row>
    <row r="4627" spans="1:1">
      <c r="A4627" s="1"/>
    </row>
    <row r="4628" spans="1:1">
      <c r="A4628" s="1"/>
    </row>
    <row r="4629" spans="1:1">
      <c r="A4629" s="1"/>
    </row>
    <row r="4630" spans="1:1">
      <c r="A4630" s="1"/>
    </row>
    <row r="4631" spans="1:1">
      <c r="A4631" s="1"/>
    </row>
    <row r="4632" spans="1:1">
      <c r="A4632" s="1"/>
    </row>
    <row r="4633" spans="1:1">
      <c r="A4633" s="1"/>
    </row>
    <row r="4634" spans="1:1">
      <c r="A4634" s="1"/>
    </row>
    <row r="4635" spans="1:1">
      <c r="A4635" s="1"/>
    </row>
    <row r="4636" spans="1:1">
      <c r="A4636" s="1"/>
    </row>
    <row r="4637" spans="1:1">
      <c r="A4637" s="1"/>
    </row>
    <row r="4638" spans="1:1">
      <c r="A4638" s="1"/>
    </row>
    <row r="4639" spans="1:1">
      <c r="A4639" s="1"/>
    </row>
    <row r="4640" spans="1:1">
      <c r="A4640" s="1"/>
    </row>
    <row r="4641" spans="1:1">
      <c r="A4641" s="1"/>
    </row>
    <row r="4642" spans="1:1">
      <c r="A4642" s="1"/>
    </row>
    <row r="4643" spans="1:1">
      <c r="A4643" s="1"/>
    </row>
    <row r="4644" spans="1:1">
      <c r="A4644" s="1"/>
    </row>
    <row r="4645" spans="1:1">
      <c r="A4645" s="1"/>
    </row>
    <row r="4646" spans="1:1">
      <c r="A4646" s="1"/>
    </row>
    <row r="4647" spans="1:1">
      <c r="A4647" s="1"/>
    </row>
    <row r="4648" spans="1:1">
      <c r="A4648" s="1"/>
    </row>
    <row r="4649" spans="1:1">
      <c r="A4649" s="1"/>
    </row>
    <row r="4650" spans="1:1">
      <c r="A4650" s="1"/>
    </row>
    <row r="4651" spans="1:1">
      <c r="A4651" s="1"/>
    </row>
    <row r="4652" spans="1:1">
      <c r="A4652" s="1"/>
    </row>
    <row r="4653" spans="1:1">
      <c r="A4653" s="1"/>
    </row>
    <row r="4654" spans="1:1">
      <c r="A4654" s="1"/>
    </row>
    <row r="4655" spans="1:1">
      <c r="A4655" s="1"/>
    </row>
    <row r="4656" spans="1:1">
      <c r="A4656" s="1"/>
    </row>
    <row r="4657" spans="1:1">
      <c r="A4657" s="1"/>
    </row>
    <row r="4658" spans="1:1">
      <c r="A4658" s="1"/>
    </row>
    <row r="4659" spans="1:1">
      <c r="A4659" s="1"/>
    </row>
    <row r="4660" spans="1:1">
      <c r="A4660" s="1"/>
    </row>
    <row r="4661" spans="1:1">
      <c r="A4661" s="1"/>
    </row>
    <row r="4662" spans="1:1">
      <c r="A4662" s="1"/>
    </row>
    <row r="4663" spans="1:1">
      <c r="A4663" s="1"/>
    </row>
    <row r="4664" spans="1:1">
      <c r="A4664" s="1"/>
    </row>
    <row r="4665" spans="1:1">
      <c r="A4665" s="1"/>
    </row>
    <row r="4666" spans="1:1">
      <c r="A4666" s="1"/>
    </row>
    <row r="4667" spans="1:1">
      <c r="A4667" s="1"/>
    </row>
    <row r="4668" spans="1:1">
      <c r="A4668" s="1"/>
    </row>
    <row r="4669" spans="1:1">
      <c r="A4669" s="1"/>
    </row>
    <row r="4670" spans="1:1">
      <c r="A4670" s="1"/>
    </row>
    <row r="4671" spans="1:1">
      <c r="A4671" s="1"/>
    </row>
    <row r="4672" spans="1:1">
      <c r="A4672" s="1"/>
    </row>
    <row r="4673" spans="1:1">
      <c r="A4673" s="1"/>
    </row>
    <row r="4674" spans="1:1">
      <c r="A4674" s="1"/>
    </row>
    <row r="4675" spans="1:1">
      <c r="A4675" s="1"/>
    </row>
    <row r="4676" spans="1:1">
      <c r="A4676" s="1"/>
    </row>
    <row r="4677" spans="1:1">
      <c r="A4677" s="1"/>
    </row>
    <row r="4678" spans="1:1">
      <c r="A4678" s="1"/>
    </row>
    <row r="4679" spans="1:1">
      <c r="A4679" s="1"/>
    </row>
    <row r="4680" spans="1:1">
      <c r="A4680" s="1"/>
    </row>
    <row r="4681" spans="1:1">
      <c r="A4681" s="1"/>
    </row>
    <row r="4682" spans="1:1">
      <c r="A4682" s="1"/>
    </row>
    <row r="4683" spans="1:1">
      <c r="A4683" s="1"/>
    </row>
    <row r="4684" spans="1:1">
      <c r="A4684" s="1"/>
    </row>
    <row r="4685" spans="1:1">
      <c r="A4685" s="1"/>
    </row>
    <row r="4686" spans="1:1">
      <c r="A4686" s="1"/>
    </row>
    <row r="4687" spans="1:1">
      <c r="A4687" s="1"/>
    </row>
    <row r="4688" spans="1:1">
      <c r="A4688" s="1"/>
    </row>
    <row r="4689" spans="1:1">
      <c r="A4689" s="1"/>
    </row>
    <row r="4690" spans="1:1">
      <c r="A4690" s="1"/>
    </row>
    <row r="4691" spans="1:1">
      <c r="A4691" s="1"/>
    </row>
    <row r="4692" spans="1:1">
      <c r="A4692" s="1"/>
    </row>
    <row r="4693" spans="1:1">
      <c r="A4693" s="1"/>
    </row>
    <row r="4694" spans="1:1">
      <c r="A4694" s="1"/>
    </row>
    <row r="4695" spans="1:1">
      <c r="A4695" s="1"/>
    </row>
    <row r="4696" spans="1:1">
      <c r="A4696" s="1"/>
    </row>
    <row r="4697" spans="1:1">
      <c r="A4697" s="1"/>
    </row>
    <row r="4698" spans="1:1">
      <c r="A4698" s="1"/>
    </row>
    <row r="4699" spans="1:1">
      <c r="A4699" s="1"/>
    </row>
    <row r="4700" spans="1:1">
      <c r="A4700" s="1"/>
    </row>
    <row r="4701" spans="1:1">
      <c r="A4701" s="1"/>
    </row>
    <row r="4702" spans="1:1">
      <c r="A4702" s="1"/>
    </row>
    <row r="4703" spans="1:1">
      <c r="A4703" s="1"/>
    </row>
    <row r="4704" spans="1:1">
      <c r="A4704" s="1"/>
    </row>
    <row r="4705" spans="1:1">
      <c r="A4705" s="1"/>
    </row>
    <row r="4706" spans="1:1">
      <c r="A4706" s="1"/>
    </row>
    <row r="4707" spans="1:1">
      <c r="A4707" s="1"/>
    </row>
    <row r="4708" spans="1:1">
      <c r="A4708" s="1"/>
    </row>
    <row r="4709" spans="1:1">
      <c r="A4709" s="1"/>
    </row>
    <row r="4710" spans="1:1">
      <c r="A4710" s="1"/>
    </row>
    <row r="4711" spans="1:1">
      <c r="A4711" s="1"/>
    </row>
    <row r="4712" spans="1:1">
      <c r="A4712" s="1"/>
    </row>
    <row r="4713" spans="1:1">
      <c r="A4713" s="1"/>
    </row>
    <row r="4714" spans="1:1">
      <c r="A4714" s="1"/>
    </row>
    <row r="4715" spans="1:1">
      <c r="A4715" s="1"/>
    </row>
    <row r="4716" spans="1:1">
      <c r="A4716" s="1"/>
    </row>
    <row r="4717" spans="1:1">
      <c r="A4717" s="1"/>
    </row>
    <row r="4718" spans="1:1">
      <c r="A4718" s="1"/>
    </row>
    <row r="4719" spans="1:1">
      <c r="A4719" s="1"/>
    </row>
    <row r="4720" spans="1:1">
      <c r="A4720" s="1"/>
    </row>
    <row r="4721" spans="1:1">
      <c r="A4721" s="1"/>
    </row>
    <row r="4722" spans="1:1">
      <c r="A4722" s="1"/>
    </row>
    <row r="4723" spans="1:1">
      <c r="A4723" s="1"/>
    </row>
    <row r="4724" spans="1:1">
      <c r="A4724" s="1"/>
    </row>
    <row r="4725" spans="1:1">
      <c r="A4725" s="1"/>
    </row>
    <row r="4726" spans="1:1">
      <c r="A4726" s="1"/>
    </row>
    <row r="4727" spans="1:1">
      <c r="A4727" s="1"/>
    </row>
    <row r="4728" spans="1:1">
      <c r="A4728" s="1"/>
    </row>
    <row r="4729" spans="1:1">
      <c r="A4729" s="1"/>
    </row>
    <row r="4730" spans="1:1">
      <c r="A4730" s="1"/>
    </row>
    <row r="4731" spans="1:1">
      <c r="A4731" s="1"/>
    </row>
    <row r="4732" spans="1:1">
      <c r="A4732" s="1"/>
    </row>
    <row r="4733" spans="1:1">
      <c r="A4733" s="1"/>
    </row>
    <row r="4734" spans="1:1">
      <c r="A4734" s="1"/>
    </row>
    <row r="4735" spans="1:1">
      <c r="A4735" s="1"/>
    </row>
    <row r="4736" spans="1:1">
      <c r="A4736" s="1"/>
    </row>
    <row r="4737" spans="1:1">
      <c r="A4737" s="1"/>
    </row>
    <row r="4738" spans="1:1">
      <c r="A4738" s="1"/>
    </row>
    <row r="4739" spans="1:1">
      <c r="A4739" s="1"/>
    </row>
    <row r="4740" spans="1:1">
      <c r="A4740" s="1"/>
    </row>
    <row r="4741" spans="1:1">
      <c r="A4741" s="1"/>
    </row>
    <row r="4742" spans="1:1">
      <c r="A4742" s="1"/>
    </row>
    <row r="4743" spans="1:1">
      <c r="A4743" s="1"/>
    </row>
    <row r="4744" spans="1:1">
      <c r="A4744" s="1"/>
    </row>
    <row r="4745" spans="1:1">
      <c r="A4745" s="1"/>
    </row>
    <row r="4746" spans="1:1">
      <c r="A4746" s="1"/>
    </row>
    <row r="4747" spans="1:1">
      <c r="A4747" s="1"/>
    </row>
    <row r="4748" spans="1:1">
      <c r="A4748" s="1"/>
    </row>
    <row r="4749" spans="1:1">
      <c r="A4749" s="1"/>
    </row>
    <row r="4750" spans="1:1">
      <c r="A4750" s="1"/>
    </row>
    <row r="4751" spans="1:1">
      <c r="A4751" s="1"/>
    </row>
    <row r="4752" spans="1:1">
      <c r="A4752" s="1"/>
    </row>
    <row r="4753" spans="1:1">
      <c r="A4753" s="1"/>
    </row>
    <row r="4754" spans="1:1">
      <c r="A4754" s="1"/>
    </row>
    <row r="4755" spans="1:1">
      <c r="A4755" s="1"/>
    </row>
    <row r="4756" spans="1:1">
      <c r="A4756" s="1"/>
    </row>
    <row r="4757" spans="1:1">
      <c r="A4757" s="1"/>
    </row>
    <row r="4758" spans="1:1">
      <c r="A4758" s="1"/>
    </row>
    <row r="4759" spans="1:1">
      <c r="A4759" s="1"/>
    </row>
    <row r="4760" spans="1:1">
      <c r="A4760" s="1"/>
    </row>
    <row r="4761" spans="1:1">
      <c r="A4761" s="1"/>
    </row>
    <row r="4762" spans="1:1">
      <c r="A4762" s="1"/>
    </row>
    <row r="4763" spans="1:1">
      <c r="A4763" s="1"/>
    </row>
    <row r="4764" spans="1:1">
      <c r="A4764" s="1"/>
    </row>
    <row r="4765" spans="1:1">
      <c r="A4765" s="1"/>
    </row>
    <row r="4766" spans="1:1">
      <c r="A4766" s="1"/>
    </row>
    <row r="4767" spans="1:1">
      <c r="A4767" s="1"/>
    </row>
    <row r="4768" spans="1:1">
      <c r="A4768" s="1"/>
    </row>
    <row r="4769" spans="1:1">
      <c r="A4769" s="1"/>
    </row>
    <row r="4770" spans="1:1">
      <c r="A4770" s="1"/>
    </row>
    <row r="4771" spans="1:1">
      <c r="A4771" s="1"/>
    </row>
    <row r="4772" spans="1:1">
      <c r="A4772" s="1"/>
    </row>
    <row r="4773" spans="1:1">
      <c r="A4773" s="1"/>
    </row>
    <row r="4774" spans="1:1">
      <c r="A4774" s="1"/>
    </row>
    <row r="4775" spans="1:1">
      <c r="A4775" s="1"/>
    </row>
    <row r="4776" spans="1:1">
      <c r="A4776" s="1"/>
    </row>
    <row r="4777" spans="1:1">
      <c r="A4777" s="1"/>
    </row>
    <row r="4778" spans="1:1">
      <c r="A4778" s="1"/>
    </row>
    <row r="4779" spans="1:1">
      <c r="A4779" s="1"/>
    </row>
    <row r="4780" spans="1:1">
      <c r="A4780" s="1"/>
    </row>
    <row r="4781" spans="1:1">
      <c r="A4781" s="1"/>
    </row>
    <row r="4782" spans="1:1">
      <c r="A4782" s="1"/>
    </row>
    <row r="4783" spans="1:1">
      <c r="A4783" s="1"/>
    </row>
    <row r="4784" spans="1:1">
      <c r="A4784" s="1"/>
    </row>
    <row r="4785" spans="1:1">
      <c r="A4785" s="1"/>
    </row>
    <row r="4786" spans="1:1">
      <c r="A4786" s="1"/>
    </row>
    <row r="4787" spans="1:1">
      <c r="A4787" s="1"/>
    </row>
    <row r="4788" spans="1:1">
      <c r="A4788" s="1"/>
    </row>
    <row r="4789" spans="1:1">
      <c r="A4789" s="1"/>
    </row>
    <row r="4790" spans="1:1">
      <c r="A4790" s="1"/>
    </row>
    <row r="4791" spans="1:1">
      <c r="A4791" s="1"/>
    </row>
    <row r="4792" spans="1:1">
      <c r="A4792" s="1"/>
    </row>
    <row r="4793" spans="1:1">
      <c r="A4793" s="1"/>
    </row>
    <row r="4794" spans="1:1">
      <c r="A4794" s="1"/>
    </row>
    <row r="4795" spans="1:1">
      <c r="A4795" s="1"/>
    </row>
    <row r="4796" spans="1:1">
      <c r="A4796" s="1"/>
    </row>
    <row r="4797" spans="1:1">
      <c r="A4797" s="1"/>
    </row>
    <row r="4798" spans="1:1">
      <c r="A4798" s="1"/>
    </row>
    <row r="4799" spans="1:1">
      <c r="A4799" s="1"/>
    </row>
    <row r="4800" spans="1:1">
      <c r="A4800" s="1"/>
    </row>
    <row r="4801" spans="1:1">
      <c r="A4801" s="1"/>
    </row>
    <row r="4802" spans="1:1">
      <c r="A4802" s="1"/>
    </row>
    <row r="4803" spans="1:1">
      <c r="A4803" s="1"/>
    </row>
    <row r="4804" spans="1:1">
      <c r="A4804" s="1"/>
    </row>
    <row r="4805" spans="1:1">
      <c r="A4805" s="1"/>
    </row>
    <row r="4806" spans="1:1">
      <c r="A4806" s="1"/>
    </row>
    <row r="4807" spans="1:1">
      <c r="A4807" s="1"/>
    </row>
    <row r="4808" spans="1:1">
      <c r="A4808" s="1"/>
    </row>
    <row r="4809" spans="1:1">
      <c r="A4809" s="1"/>
    </row>
    <row r="4810" spans="1:1">
      <c r="A4810" s="1"/>
    </row>
    <row r="4811" spans="1:1">
      <c r="A4811" s="1"/>
    </row>
    <row r="4812" spans="1:1">
      <c r="A4812" s="1"/>
    </row>
    <row r="4813" spans="1:1">
      <c r="A4813" s="1"/>
    </row>
    <row r="4814" spans="1:1">
      <c r="A4814" s="1"/>
    </row>
    <row r="4815" spans="1:1">
      <c r="A4815" s="1"/>
    </row>
    <row r="4816" spans="1:1">
      <c r="A4816" s="1"/>
    </row>
    <row r="4817" spans="1:1">
      <c r="A4817" s="1"/>
    </row>
    <row r="4818" spans="1:1">
      <c r="A4818" s="1"/>
    </row>
    <row r="4819" spans="1:1">
      <c r="A4819" s="1"/>
    </row>
    <row r="4820" spans="1:1">
      <c r="A4820" s="1"/>
    </row>
    <row r="4821" spans="1:1">
      <c r="A4821" s="1"/>
    </row>
    <row r="4822" spans="1:1">
      <c r="A4822" s="1"/>
    </row>
    <row r="4823" spans="1:1">
      <c r="A4823" s="1"/>
    </row>
    <row r="4824" spans="1:1">
      <c r="A4824" s="1"/>
    </row>
    <row r="4825" spans="1:1">
      <c r="A4825" s="1"/>
    </row>
    <row r="4826" spans="1:1">
      <c r="A4826" s="1"/>
    </row>
    <row r="4827" spans="1:1">
      <c r="A4827" s="1"/>
    </row>
    <row r="4828" spans="1:1">
      <c r="A4828" s="1"/>
    </row>
    <row r="4829" spans="1:1">
      <c r="A4829" s="1"/>
    </row>
    <row r="4830" spans="1:1">
      <c r="A4830" s="1"/>
    </row>
    <row r="4831" spans="1:1">
      <c r="A4831" s="1"/>
    </row>
    <row r="4832" spans="1:1">
      <c r="A4832" s="1"/>
    </row>
    <row r="4833" spans="1:1">
      <c r="A4833" s="1"/>
    </row>
    <row r="4834" spans="1:1">
      <c r="A4834" s="1"/>
    </row>
    <row r="4835" spans="1:1">
      <c r="A4835" s="1"/>
    </row>
    <row r="4836" spans="1:1">
      <c r="A4836" s="1"/>
    </row>
    <row r="4837" spans="1:1">
      <c r="A4837" s="1"/>
    </row>
    <row r="4838" spans="1:1">
      <c r="A4838" s="1"/>
    </row>
    <row r="4839" spans="1:1">
      <c r="A4839" s="1"/>
    </row>
    <row r="4840" spans="1:1">
      <c r="A4840" s="1"/>
    </row>
    <row r="4841" spans="1:1">
      <c r="A4841" s="1"/>
    </row>
    <row r="4842" spans="1:1">
      <c r="A4842" s="1"/>
    </row>
    <row r="4843" spans="1:1">
      <c r="A4843" s="1"/>
    </row>
    <row r="4844" spans="1:1">
      <c r="A4844" s="1"/>
    </row>
    <row r="4845" spans="1:1">
      <c r="A4845" s="1"/>
    </row>
    <row r="4846" spans="1:1">
      <c r="A4846" s="1"/>
    </row>
    <row r="4847" spans="1:1">
      <c r="A4847" s="1"/>
    </row>
    <row r="4848" spans="1:1">
      <c r="A4848" s="1"/>
    </row>
    <row r="4849" spans="1:1">
      <c r="A4849" s="1"/>
    </row>
    <row r="4850" spans="1:1">
      <c r="A4850" s="1"/>
    </row>
    <row r="4851" spans="1:1">
      <c r="A4851" s="1"/>
    </row>
    <row r="4852" spans="1:1">
      <c r="A4852" s="1"/>
    </row>
    <row r="4853" spans="1:1">
      <c r="A4853" s="1"/>
    </row>
    <row r="4854" spans="1:1">
      <c r="A4854" s="1"/>
    </row>
    <row r="4855" spans="1:1">
      <c r="A4855" s="1"/>
    </row>
    <row r="4856" spans="1:1">
      <c r="A4856" s="1"/>
    </row>
    <row r="4857" spans="1:1">
      <c r="A4857" s="1"/>
    </row>
    <row r="4858" spans="1:1">
      <c r="A4858" s="1"/>
    </row>
    <row r="4859" spans="1:1">
      <c r="A4859" s="1"/>
    </row>
    <row r="4860" spans="1:1">
      <c r="A4860" s="1"/>
    </row>
    <row r="4861" spans="1:1">
      <c r="A4861" s="1"/>
    </row>
    <row r="4862" spans="1:1">
      <c r="A4862" s="1"/>
    </row>
    <row r="4863" spans="1:1">
      <c r="A4863" s="1"/>
    </row>
    <row r="4864" spans="1:1">
      <c r="A4864" s="1"/>
    </row>
    <row r="4865" spans="1:1">
      <c r="A4865" s="1"/>
    </row>
    <row r="4866" spans="1:1">
      <c r="A4866" s="1"/>
    </row>
    <row r="4867" spans="1:1">
      <c r="A4867" s="1"/>
    </row>
    <row r="4868" spans="1:1">
      <c r="A4868" s="1"/>
    </row>
    <row r="4869" spans="1:1">
      <c r="A4869" s="1"/>
    </row>
    <row r="4870" spans="1:1">
      <c r="A4870" s="1"/>
    </row>
    <row r="4871" spans="1:1">
      <c r="A4871" s="1"/>
    </row>
    <row r="4872" spans="1:1">
      <c r="A4872" s="1"/>
    </row>
    <row r="4873" spans="1:1">
      <c r="A4873" s="1"/>
    </row>
    <row r="4874" spans="1:1">
      <c r="A4874" s="1"/>
    </row>
    <row r="4875" spans="1:1">
      <c r="A4875" s="1"/>
    </row>
    <row r="4876" spans="1:1">
      <c r="A4876" s="1"/>
    </row>
    <row r="4877" spans="1:1">
      <c r="A4877" s="1"/>
    </row>
    <row r="4878" spans="1:1">
      <c r="A4878" s="1"/>
    </row>
    <row r="4879" spans="1:1">
      <c r="A4879" s="1"/>
    </row>
    <row r="4880" spans="1:1">
      <c r="A4880" s="1"/>
    </row>
    <row r="4881" spans="1:1">
      <c r="A4881" s="1"/>
    </row>
    <row r="4882" spans="1:1">
      <c r="A4882" s="1"/>
    </row>
    <row r="4883" spans="1:1">
      <c r="A4883" s="1"/>
    </row>
    <row r="4884" spans="1:1">
      <c r="A4884" s="1"/>
    </row>
    <row r="4885" spans="1:1">
      <c r="A4885" s="1"/>
    </row>
    <row r="4886" spans="1:1">
      <c r="A4886" s="1"/>
    </row>
    <row r="4887" spans="1:1">
      <c r="A4887" s="1"/>
    </row>
    <row r="4888" spans="1:1">
      <c r="A4888" s="1"/>
    </row>
    <row r="4889" spans="1:1">
      <c r="A4889" s="1"/>
    </row>
    <row r="4890" spans="1:1">
      <c r="A4890" s="1"/>
    </row>
    <row r="4891" spans="1:1">
      <c r="A4891" s="1"/>
    </row>
    <row r="4892" spans="1:1">
      <c r="A4892" s="1"/>
    </row>
    <row r="4893" spans="1:1">
      <c r="A4893" s="1"/>
    </row>
    <row r="4894" spans="1:1">
      <c r="A4894" s="1"/>
    </row>
    <row r="4895" spans="1:1">
      <c r="A4895" s="1"/>
    </row>
    <row r="4896" spans="1:1">
      <c r="A4896" s="1"/>
    </row>
    <row r="4897" spans="1:1">
      <c r="A4897" s="1"/>
    </row>
    <row r="4898" spans="1:1">
      <c r="A4898" s="1"/>
    </row>
    <row r="4899" spans="1:1">
      <c r="A4899" s="1"/>
    </row>
    <row r="4900" spans="1:1">
      <c r="A4900" s="1"/>
    </row>
    <row r="4901" spans="1:1">
      <c r="A4901" s="1"/>
    </row>
    <row r="4902" spans="1:1">
      <c r="A4902" s="1"/>
    </row>
    <row r="4903" spans="1:1">
      <c r="A4903" s="1"/>
    </row>
    <row r="4904" spans="1:1">
      <c r="A4904" s="1"/>
    </row>
    <row r="4905" spans="1:1">
      <c r="A4905" s="1"/>
    </row>
    <row r="4906" spans="1:1">
      <c r="A4906" s="1"/>
    </row>
    <row r="4907" spans="1:1">
      <c r="A4907" s="1"/>
    </row>
    <row r="4908" spans="1:1">
      <c r="A4908" s="1"/>
    </row>
    <row r="4909" spans="1:1">
      <c r="A4909" s="1"/>
    </row>
    <row r="4910" spans="1:1">
      <c r="A4910" s="1"/>
    </row>
    <row r="4911" spans="1:1">
      <c r="A4911" s="1"/>
    </row>
    <row r="4912" spans="1:1">
      <c r="A4912" s="1"/>
    </row>
    <row r="4913" spans="1:1">
      <c r="A4913" s="1"/>
    </row>
    <row r="4914" spans="1:1">
      <c r="A4914" s="1"/>
    </row>
    <row r="4915" spans="1:1">
      <c r="A4915" s="1"/>
    </row>
    <row r="4916" spans="1:1">
      <c r="A4916" s="1"/>
    </row>
    <row r="4917" spans="1:1">
      <c r="A4917" s="1"/>
    </row>
    <row r="4918" spans="1:1">
      <c r="A4918" s="1"/>
    </row>
    <row r="4919" spans="1:1">
      <c r="A4919" s="1"/>
    </row>
    <row r="4920" spans="1:1">
      <c r="A4920" s="1"/>
    </row>
    <row r="4921" spans="1:1">
      <c r="A4921" s="1"/>
    </row>
    <row r="4922" spans="1:1">
      <c r="A4922" s="1"/>
    </row>
    <row r="4923" spans="1:1">
      <c r="A4923" s="1"/>
    </row>
    <row r="4924" spans="1:1">
      <c r="A4924" s="1"/>
    </row>
    <row r="4925" spans="1:1">
      <c r="A4925" s="1"/>
    </row>
    <row r="4926" spans="1:1">
      <c r="A4926" s="1"/>
    </row>
    <row r="4927" spans="1:1">
      <c r="A4927" s="1"/>
    </row>
    <row r="4928" spans="1:1">
      <c r="A4928" s="1"/>
    </row>
    <row r="4929" spans="1:1">
      <c r="A4929" s="1"/>
    </row>
    <row r="4930" spans="1:1">
      <c r="A4930" s="1"/>
    </row>
    <row r="4931" spans="1:1">
      <c r="A4931" s="1"/>
    </row>
    <row r="4932" spans="1:1">
      <c r="A4932" s="1"/>
    </row>
    <row r="4933" spans="1:1">
      <c r="A4933" s="1"/>
    </row>
    <row r="4934" spans="1:1">
      <c r="A4934" s="1"/>
    </row>
    <row r="4935" spans="1:1">
      <c r="A4935" s="1"/>
    </row>
    <row r="4936" spans="1:1">
      <c r="A4936" s="1"/>
    </row>
    <row r="4937" spans="1:1">
      <c r="A4937" s="1"/>
    </row>
    <row r="4938" spans="1:1">
      <c r="A4938" s="1"/>
    </row>
    <row r="4939" spans="1:1">
      <c r="A4939" s="1"/>
    </row>
    <row r="4940" spans="1:1">
      <c r="A4940" s="1"/>
    </row>
    <row r="4941" spans="1:1">
      <c r="A4941" s="1"/>
    </row>
    <row r="4942" spans="1:1">
      <c r="A4942" s="1"/>
    </row>
    <row r="4943" spans="1:1">
      <c r="A4943" s="1"/>
    </row>
    <row r="4944" spans="1:1">
      <c r="A4944" s="1"/>
    </row>
    <row r="4945" spans="1:1">
      <c r="A4945" s="1"/>
    </row>
    <row r="4946" spans="1:1">
      <c r="A4946" s="1"/>
    </row>
    <row r="4947" spans="1:1">
      <c r="A4947" s="1"/>
    </row>
    <row r="4948" spans="1:1">
      <c r="A4948" s="1"/>
    </row>
    <row r="4949" spans="1:1">
      <c r="A4949" s="1"/>
    </row>
    <row r="4950" spans="1:1">
      <c r="A4950" s="1"/>
    </row>
    <row r="4951" spans="1:1">
      <c r="A4951" s="1"/>
    </row>
    <row r="4952" spans="1:1">
      <c r="A4952" s="1"/>
    </row>
    <row r="4953" spans="1:1">
      <c r="A4953" s="1"/>
    </row>
    <row r="4954" spans="1:1">
      <c r="A4954" s="1"/>
    </row>
    <row r="4955" spans="1:1">
      <c r="A4955" s="1"/>
    </row>
    <row r="4956" spans="1:1">
      <c r="A4956" s="1"/>
    </row>
    <row r="4957" spans="1:1">
      <c r="A4957" s="1"/>
    </row>
    <row r="4958" spans="1:1">
      <c r="A4958" s="1"/>
    </row>
    <row r="4959" spans="1:1">
      <c r="A4959" s="1"/>
    </row>
    <row r="4960" spans="1:1">
      <c r="A4960" s="1"/>
    </row>
    <row r="4961" spans="1:1">
      <c r="A4961" s="1"/>
    </row>
    <row r="4962" spans="1:1">
      <c r="A4962" s="1"/>
    </row>
    <row r="4963" spans="1:1">
      <c r="A4963" s="1"/>
    </row>
    <row r="4964" spans="1:1">
      <c r="A4964" s="1"/>
    </row>
    <row r="4965" spans="1:1">
      <c r="A4965" s="1"/>
    </row>
    <row r="4966" spans="1:1">
      <c r="A4966" s="1"/>
    </row>
    <row r="4967" spans="1:1">
      <c r="A4967" s="1"/>
    </row>
    <row r="4968" spans="1:1">
      <c r="A4968" s="1"/>
    </row>
    <row r="4969" spans="1:1">
      <c r="A4969" s="1"/>
    </row>
    <row r="4970" spans="1:1">
      <c r="A4970" s="1"/>
    </row>
    <row r="4971" spans="1:1">
      <c r="A4971" s="1"/>
    </row>
    <row r="4972" spans="1:1">
      <c r="A4972" s="1"/>
    </row>
    <row r="4973" spans="1:1">
      <c r="A4973" s="1"/>
    </row>
    <row r="4974" spans="1:1">
      <c r="A4974" s="1"/>
    </row>
    <row r="4975" spans="1:1">
      <c r="A4975" s="1"/>
    </row>
    <row r="4976" spans="1:1">
      <c r="A4976" s="1"/>
    </row>
    <row r="4977" spans="1:1">
      <c r="A4977" s="1"/>
    </row>
    <row r="4978" spans="1:1">
      <c r="A4978" s="1"/>
    </row>
    <row r="4979" spans="1:1">
      <c r="A4979" s="1"/>
    </row>
    <row r="4980" spans="1:1">
      <c r="A4980" s="1"/>
    </row>
    <row r="4981" spans="1:1">
      <c r="A4981" s="1"/>
    </row>
    <row r="4982" spans="1:1">
      <c r="A4982" s="1"/>
    </row>
    <row r="4983" spans="1:1">
      <c r="A4983" s="1"/>
    </row>
    <row r="4984" spans="1:1">
      <c r="A4984" s="1"/>
    </row>
    <row r="4985" spans="1:1">
      <c r="A4985" s="1"/>
    </row>
    <row r="4986" spans="1:1">
      <c r="A4986" s="1"/>
    </row>
    <row r="4987" spans="1:1">
      <c r="A4987" s="1"/>
    </row>
    <row r="4988" spans="1:1">
      <c r="A4988" s="1"/>
    </row>
    <row r="4989" spans="1:1">
      <c r="A4989" s="1"/>
    </row>
    <row r="4990" spans="1:1">
      <c r="A4990" s="1"/>
    </row>
    <row r="4991" spans="1:1">
      <c r="A4991" s="1"/>
    </row>
    <row r="4992" spans="1:1">
      <c r="A4992" s="1"/>
    </row>
    <row r="4993" spans="1:1">
      <c r="A4993" s="1"/>
    </row>
    <row r="4994" spans="1:1">
      <c r="A4994" s="1"/>
    </row>
    <row r="4995" spans="1:1">
      <c r="A4995" s="1"/>
    </row>
    <row r="4996" spans="1:1">
      <c r="A4996" s="1"/>
    </row>
    <row r="4997" spans="1:1">
      <c r="A4997" s="1"/>
    </row>
    <row r="4998" spans="1:1">
      <c r="A4998" s="1"/>
    </row>
    <row r="4999" spans="1:1">
      <c r="A4999" s="1"/>
    </row>
    <row r="5000" spans="1:1">
      <c r="A5000" s="1"/>
    </row>
    <row r="5001" spans="1:1">
      <c r="A5001" s="1"/>
    </row>
    <row r="5002" spans="1:1">
      <c r="A5002" s="1"/>
    </row>
    <row r="5003" spans="1:1">
      <c r="A5003" s="1"/>
    </row>
    <row r="5004" spans="1:1">
      <c r="A5004" s="1"/>
    </row>
    <row r="5005" spans="1:1">
      <c r="A5005" s="1"/>
    </row>
    <row r="5006" spans="1:1">
      <c r="A5006" s="1"/>
    </row>
    <row r="5007" spans="1:1">
      <c r="A5007" s="1"/>
    </row>
    <row r="5008" spans="1:1">
      <c r="A5008" s="1"/>
    </row>
    <row r="5009" spans="1:1">
      <c r="A5009" s="1"/>
    </row>
    <row r="5010" spans="1:1">
      <c r="A5010" s="1"/>
    </row>
    <row r="5011" spans="1:1">
      <c r="A5011" s="1"/>
    </row>
    <row r="5012" spans="1:1">
      <c r="A5012" s="1"/>
    </row>
    <row r="5013" spans="1:1">
      <c r="A5013" s="1"/>
    </row>
    <row r="5014" spans="1:1">
      <c r="A5014" s="1"/>
    </row>
    <row r="5015" spans="1:1">
      <c r="A5015" s="1"/>
    </row>
    <row r="5016" spans="1:1">
      <c r="A5016" s="1"/>
    </row>
    <row r="5017" spans="1:1">
      <c r="A5017" s="1"/>
    </row>
    <row r="5018" spans="1:1">
      <c r="A5018" s="1"/>
    </row>
    <row r="5019" spans="1:1">
      <c r="A5019" s="1"/>
    </row>
    <row r="5020" spans="1:1">
      <c r="A5020" s="1"/>
    </row>
    <row r="5021" spans="1:1">
      <c r="A5021" s="1"/>
    </row>
    <row r="5022" spans="1:1">
      <c r="A5022" s="1"/>
    </row>
    <row r="5023" spans="1:1">
      <c r="A5023" s="1"/>
    </row>
    <row r="5024" spans="1:1">
      <c r="A5024" s="1"/>
    </row>
    <row r="5025" spans="1:1">
      <c r="A5025" s="1"/>
    </row>
    <row r="5026" spans="1:1">
      <c r="A5026" s="1"/>
    </row>
    <row r="5027" spans="1:1">
      <c r="A5027" s="1"/>
    </row>
    <row r="5028" spans="1:1">
      <c r="A5028" s="1"/>
    </row>
    <row r="5029" spans="1:1">
      <c r="A5029" s="1"/>
    </row>
    <row r="5030" spans="1:1">
      <c r="A5030" s="1"/>
    </row>
    <row r="5031" spans="1:1">
      <c r="A5031" s="1"/>
    </row>
    <row r="5032" spans="1:1">
      <c r="A5032" s="1"/>
    </row>
    <row r="5033" spans="1:1">
      <c r="A5033" s="1"/>
    </row>
    <row r="5034" spans="1:1">
      <c r="A5034" s="1"/>
    </row>
    <row r="5035" spans="1:1">
      <c r="A5035" s="1"/>
    </row>
    <row r="5036" spans="1:1">
      <c r="A5036" s="1"/>
    </row>
    <row r="5037" spans="1:1">
      <c r="A5037" s="1"/>
    </row>
    <row r="5038" spans="1:1">
      <c r="A5038" s="1"/>
    </row>
    <row r="5039" spans="1:1">
      <c r="A5039" s="1"/>
    </row>
    <row r="5040" spans="1:1">
      <c r="A5040" s="1"/>
    </row>
    <row r="5041" spans="1:1">
      <c r="A5041" s="1"/>
    </row>
    <row r="5042" spans="1:1">
      <c r="A5042" s="1"/>
    </row>
    <row r="5043" spans="1:1">
      <c r="A5043" s="1"/>
    </row>
    <row r="5044" spans="1:1">
      <c r="A5044" s="1"/>
    </row>
    <row r="5045" spans="1:1">
      <c r="A5045" s="1"/>
    </row>
    <row r="5046" spans="1:1">
      <c r="A5046" s="1"/>
    </row>
    <row r="5047" spans="1:1">
      <c r="A5047" s="1"/>
    </row>
    <row r="5048" spans="1:1">
      <c r="A5048" s="1"/>
    </row>
    <row r="5049" spans="1:1">
      <c r="A5049" s="1"/>
    </row>
    <row r="5050" spans="1:1">
      <c r="A5050" s="1"/>
    </row>
    <row r="5051" spans="1:1">
      <c r="A5051" s="1"/>
    </row>
    <row r="5052" spans="1:1">
      <c r="A5052" s="1"/>
    </row>
    <row r="5053" spans="1:1">
      <c r="A5053" s="1"/>
    </row>
    <row r="5054" spans="1:1">
      <c r="A5054" s="1"/>
    </row>
    <row r="5055" spans="1:1">
      <c r="A5055" s="1"/>
    </row>
    <row r="5056" spans="1:1">
      <c r="A5056" s="1"/>
    </row>
    <row r="5057" spans="1:1">
      <c r="A5057" s="1"/>
    </row>
    <row r="5058" spans="1:1">
      <c r="A5058" s="1"/>
    </row>
    <row r="5059" spans="1:1">
      <c r="A5059" s="1"/>
    </row>
    <row r="5060" spans="1:1">
      <c r="A5060" s="1"/>
    </row>
    <row r="5061" spans="1:1">
      <c r="A5061" s="1"/>
    </row>
    <row r="5062" spans="1:1">
      <c r="A5062" s="1"/>
    </row>
    <row r="5063" spans="1:1">
      <c r="A5063" s="1"/>
    </row>
    <row r="5064" spans="1:1">
      <c r="A5064" s="1"/>
    </row>
    <row r="5065" spans="1:1">
      <c r="A5065" s="1"/>
    </row>
    <row r="5066" spans="1:1">
      <c r="A5066" s="1"/>
    </row>
    <row r="5067" spans="1:1">
      <c r="A5067" s="1"/>
    </row>
    <row r="5068" spans="1:1">
      <c r="A5068" s="1"/>
    </row>
    <row r="5069" spans="1:1">
      <c r="A5069" s="1"/>
    </row>
    <row r="5070" spans="1:1">
      <c r="A5070" s="1"/>
    </row>
    <row r="5071" spans="1:1">
      <c r="A5071" s="1"/>
    </row>
    <row r="5072" spans="1:1">
      <c r="A5072" s="1"/>
    </row>
    <row r="5073" spans="1:1">
      <c r="A5073" s="1"/>
    </row>
    <row r="5074" spans="1:1">
      <c r="A5074" s="1"/>
    </row>
    <row r="5075" spans="1:1">
      <c r="A5075" s="1"/>
    </row>
    <row r="5076" spans="1:1">
      <c r="A5076" s="1"/>
    </row>
    <row r="5077" spans="1:1">
      <c r="A5077" s="1"/>
    </row>
    <row r="5078" spans="1:1">
      <c r="A5078" s="1"/>
    </row>
    <row r="5079" spans="1:1">
      <c r="A5079" s="1"/>
    </row>
    <row r="5080" spans="1:1">
      <c r="A5080" s="1"/>
    </row>
    <row r="5081" spans="1:1">
      <c r="A5081" s="1"/>
    </row>
    <row r="5082" spans="1:1">
      <c r="A5082" s="1"/>
    </row>
    <row r="5083" spans="1:1">
      <c r="A5083" s="1"/>
    </row>
    <row r="5084" spans="1:1">
      <c r="A5084" s="1"/>
    </row>
    <row r="5085" spans="1:1">
      <c r="A5085" s="1"/>
    </row>
    <row r="5086" spans="1:1">
      <c r="A5086" s="1"/>
    </row>
    <row r="5087" spans="1:1">
      <c r="A5087" s="1"/>
    </row>
    <row r="5088" spans="1:1">
      <c r="A5088" s="1"/>
    </row>
    <row r="5089" spans="1:1">
      <c r="A5089" s="1"/>
    </row>
    <row r="5090" spans="1:1">
      <c r="A5090" s="1"/>
    </row>
    <row r="5091" spans="1:1">
      <c r="A5091" s="1"/>
    </row>
    <row r="5092" spans="1:1">
      <c r="A5092" s="1"/>
    </row>
    <row r="5093" spans="1:1">
      <c r="A5093" s="1"/>
    </row>
    <row r="5094" spans="1:1">
      <c r="A5094" s="1"/>
    </row>
    <row r="5095" spans="1:1">
      <c r="A5095" s="1"/>
    </row>
    <row r="5096" spans="1:1">
      <c r="A5096" s="1"/>
    </row>
    <row r="5097" spans="1:1">
      <c r="A5097" s="1"/>
    </row>
    <row r="5098" spans="1:1">
      <c r="A5098" s="1"/>
    </row>
    <row r="5099" spans="1:1">
      <c r="A5099" s="1"/>
    </row>
    <row r="5100" spans="1:1">
      <c r="A5100" s="1"/>
    </row>
    <row r="5101" spans="1:1">
      <c r="A5101" s="1"/>
    </row>
    <row r="5102" spans="1:1">
      <c r="A5102" s="1"/>
    </row>
    <row r="5103" spans="1:1">
      <c r="A5103" s="1"/>
    </row>
    <row r="5104" spans="1:1">
      <c r="A5104" s="1"/>
    </row>
    <row r="5105" spans="1:1">
      <c r="A5105" s="1"/>
    </row>
    <row r="5106" spans="1:1">
      <c r="A5106" s="1"/>
    </row>
    <row r="5107" spans="1:1">
      <c r="A5107" s="1"/>
    </row>
    <row r="5108" spans="1:1">
      <c r="A5108" s="1"/>
    </row>
    <row r="5109" spans="1:1">
      <c r="A5109" s="1"/>
    </row>
    <row r="5110" spans="1:1">
      <c r="A5110" s="1"/>
    </row>
    <row r="5111" spans="1:1">
      <c r="A5111" s="1"/>
    </row>
    <row r="5112" spans="1:1">
      <c r="A5112" s="1"/>
    </row>
    <row r="5113" spans="1:1">
      <c r="A5113" s="1"/>
    </row>
    <row r="5114" spans="1:1">
      <c r="A5114" s="1"/>
    </row>
    <row r="5115" spans="1:1">
      <c r="A5115" s="1"/>
    </row>
    <row r="5116" spans="1:1">
      <c r="A5116" s="1"/>
    </row>
    <row r="5117" spans="1:1">
      <c r="A5117" s="1"/>
    </row>
    <row r="5118" spans="1:1">
      <c r="A5118" s="1"/>
    </row>
    <row r="5119" spans="1:1">
      <c r="A5119" s="1"/>
    </row>
    <row r="5120" spans="1:1">
      <c r="A5120" s="1"/>
    </row>
    <row r="5121" spans="1:1">
      <c r="A5121" s="1"/>
    </row>
    <row r="5122" spans="1:1">
      <c r="A5122" s="1"/>
    </row>
    <row r="5123" spans="1:1">
      <c r="A5123" s="1"/>
    </row>
    <row r="5124" spans="1:1">
      <c r="A5124" s="1"/>
    </row>
    <row r="5125" spans="1:1">
      <c r="A5125" s="1"/>
    </row>
    <row r="5126" spans="1:1">
      <c r="A5126" s="1"/>
    </row>
    <row r="5127" spans="1:1">
      <c r="A5127" s="1"/>
    </row>
    <row r="5128" spans="1:1">
      <c r="A5128" s="1"/>
    </row>
    <row r="5129" spans="1:1">
      <c r="A5129" s="1"/>
    </row>
    <row r="5130" spans="1:1">
      <c r="A5130" s="1"/>
    </row>
    <row r="5131" spans="1:1">
      <c r="A5131" s="1"/>
    </row>
    <row r="5132" spans="1:1">
      <c r="A5132" s="1"/>
    </row>
    <row r="5133" spans="1:1">
      <c r="A5133" s="1"/>
    </row>
    <row r="5134" spans="1:1">
      <c r="A5134" s="1"/>
    </row>
    <row r="5135" spans="1:1">
      <c r="A5135" s="1"/>
    </row>
    <row r="5136" spans="1:1">
      <c r="A5136" s="1"/>
    </row>
    <row r="5137" spans="1:1">
      <c r="A5137" s="1"/>
    </row>
    <row r="5138" spans="1:1">
      <c r="A5138" s="1"/>
    </row>
    <row r="5139" spans="1:1">
      <c r="A5139" s="1"/>
    </row>
    <row r="5140" spans="1:1">
      <c r="A5140" s="1"/>
    </row>
    <row r="5141" spans="1:1">
      <c r="A5141" s="1"/>
    </row>
    <row r="5142" spans="1:1">
      <c r="A5142" s="1"/>
    </row>
    <row r="5143" spans="1:1">
      <c r="A5143" s="1"/>
    </row>
    <row r="5144" spans="1:1">
      <c r="A5144" s="1"/>
    </row>
    <row r="5145" spans="1:1">
      <c r="A5145" s="1"/>
    </row>
    <row r="5146" spans="1:1">
      <c r="A5146" s="1"/>
    </row>
    <row r="5147" spans="1:1">
      <c r="A5147" s="1"/>
    </row>
    <row r="5148" spans="1:1">
      <c r="A5148" s="1"/>
    </row>
    <row r="5149" spans="1:1">
      <c r="A5149" s="1"/>
    </row>
    <row r="5150" spans="1:1">
      <c r="A5150" s="1"/>
    </row>
    <row r="5151" spans="1:1">
      <c r="A5151" s="1"/>
    </row>
    <row r="5152" spans="1:1">
      <c r="A5152" s="1"/>
    </row>
    <row r="5153" spans="1:1">
      <c r="A5153" s="1"/>
    </row>
    <row r="5154" spans="1:1">
      <c r="A5154" s="1"/>
    </row>
    <row r="5155" spans="1:1">
      <c r="A5155" s="1"/>
    </row>
    <row r="5156" spans="1:1">
      <c r="A5156" s="1"/>
    </row>
    <row r="5157" spans="1:1">
      <c r="A5157" s="1"/>
    </row>
    <row r="5158" spans="1:1">
      <c r="A5158" s="1"/>
    </row>
    <row r="5159" spans="1:1">
      <c r="A5159" s="1"/>
    </row>
    <row r="5160" spans="1:1">
      <c r="A5160" s="1"/>
    </row>
    <row r="5161" spans="1:1">
      <c r="A5161" s="1"/>
    </row>
    <row r="5162" spans="1:1">
      <c r="A5162" s="1"/>
    </row>
    <row r="5163" spans="1:1">
      <c r="A5163" s="1"/>
    </row>
    <row r="5164" spans="1:1">
      <c r="A5164" s="1"/>
    </row>
    <row r="5165" spans="1:1">
      <c r="A5165" s="1"/>
    </row>
    <row r="5166" spans="1:1">
      <c r="A5166" s="1"/>
    </row>
    <row r="5167" spans="1:1">
      <c r="A5167" s="1"/>
    </row>
    <row r="5168" spans="1:1">
      <c r="A5168" s="1"/>
    </row>
    <row r="5169" spans="1:1">
      <c r="A5169" s="1"/>
    </row>
    <row r="5170" spans="1:1">
      <c r="A5170" s="1"/>
    </row>
    <row r="5171" spans="1:1">
      <c r="A5171" s="1"/>
    </row>
    <row r="5172" spans="1:1">
      <c r="A5172" s="1"/>
    </row>
    <row r="5173" spans="1:1">
      <c r="A5173" s="1"/>
    </row>
    <row r="5174" spans="1:1">
      <c r="A5174" s="1"/>
    </row>
    <row r="5175" spans="1:1">
      <c r="A5175" s="1"/>
    </row>
    <row r="5176" spans="1:1">
      <c r="A5176" s="1"/>
    </row>
    <row r="5177" spans="1:1">
      <c r="A5177" s="1"/>
    </row>
    <row r="5178" spans="1:1">
      <c r="A5178" s="1"/>
    </row>
    <row r="5179" spans="1:1">
      <c r="A5179" s="1"/>
    </row>
    <row r="5180" spans="1:1">
      <c r="A5180" s="1"/>
    </row>
    <row r="5181" spans="1:1">
      <c r="A5181" s="1"/>
    </row>
    <row r="5182" spans="1:1">
      <c r="A5182" s="1"/>
    </row>
    <row r="5183" spans="1:1">
      <c r="A5183" s="1"/>
    </row>
    <row r="5184" spans="1:1">
      <c r="A5184" s="1"/>
    </row>
    <row r="5185" spans="1:1">
      <c r="A5185" s="1"/>
    </row>
    <row r="5186" spans="1:1">
      <c r="A5186" s="1"/>
    </row>
    <row r="5187" spans="1:1">
      <c r="A5187" s="1"/>
    </row>
    <row r="5188" spans="1:1">
      <c r="A5188" s="1"/>
    </row>
    <row r="5189" spans="1:1">
      <c r="A5189" s="1"/>
    </row>
    <row r="5190" spans="1:1">
      <c r="A5190" s="1"/>
    </row>
    <row r="5191" spans="1:1">
      <c r="A5191" s="1"/>
    </row>
    <row r="5192" spans="1:1">
      <c r="A5192" s="1"/>
    </row>
    <row r="5193" spans="1:1">
      <c r="A5193" s="1"/>
    </row>
    <row r="5194" spans="1:1">
      <c r="A5194" s="1"/>
    </row>
    <row r="5195" spans="1:1">
      <c r="A5195" s="1"/>
    </row>
    <row r="5196" spans="1:1">
      <c r="A5196" s="1"/>
    </row>
    <row r="5197" spans="1:1">
      <c r="A5197" s="1"/>
    </row>
    <row r="5198" spans="1:1">
      <c r="A5198" s="1"/>
    </row>
    <row r="5199" spans="1:1">
      <c r="A5199" s="1"/>
    </row>
    <row r="5200" spans="1:1">
      <c r="A5200" s="1"/>
    </row>
    <row r="5201" spans="1:1">
      <c r="A5201" s="1"/>
    </row>
    <row r="5202" spans="1:1">
      <c r="A5202" s="1"/>
    </row>
    <row r="5203" spans="1:1">
      <c r="A5203" s="1"/>
    </row>
    <row r="5204" spans="1:1">
      <c r="A5204" s="1"/>
    </row>
    <row r="5205" spans="1:1">
      <c r="A5205" s="1"/>
    </row>
    <row r="5206" spans="1:1">
      <c r="A5206" s="1"/>
    </row>
    <row r="5207" spans="1:1">
      <c r="A5207" s="1"/>
    </row>
    <row r="5208" spans="1:1">
      <c r="A5208" s="1"/>
    </row>
    <row r="5209" spans="1:1">
      <c r="A5209" s="1"/>
    </row>
    <row r="5210" spans="1:1">
      <c r="A5210" s="1"/>
    </row>
    <row r="5211" spans="1:1">
      <c r="A5211" s="1"/>
    </row>
    <row r="5212" spans="1:1">
      <c r="A5212" s="1"/>
    </row>
    <row r="5213" spans="1:1">
      <c r="A5213" s="1"/>
    </row>
    <row r="5214" spans="1:1">
      <c r="A5214" s="1"/>
    </row>
    <row r="5215" spans="1:1">
      <c r="A5215" s="1"/>
    </row>
    <row r="5216" spans="1:1">
      <c r="A5216" s="1"/>
    </row>
    <row r="5217" spans="1:1">
      <c r="A5217" s="1"/>
    </row>
    <row r="5218" spans="1:1">
      <c r="A5218" s="1"/>
    </row>
    <row r="5219" spans="1:1">
      <c r="A5219" s="1"/>
    </row>
    <row r="5220" spans="1:1">
      <c r="A5220" s="1"/>
    </row>
    <row r="5221" spans="1:1">
      <c r="A5221" s="1"/>
    </row>
    <row r="5222" spans="1:1">
      <c r="A5222" s="1"/>
    </row>
    <row r="5223" spans="1:1">
      <c r="A5223" s="1"/>
    </row>
    <row r="5224" spans="1:1">
      <c r="A5224" s="1"/>
    </row>
    <row r="5225" spans="1:1">
      <c r="A5225" s="1"/>
    </row>
    <row r="5226" spans="1:1">
      <c r="A5226" s="1"/>
    </row>
    <row r="5227" spans="1:1">
      <c r="A5227" s="1"/>
    </row>
    <row r="5228" spans="1:1">
      <c r="A5228" s="1"/>
    </row>
    <row r="5229" spans="1:1">
      <c r="A5229" s="1"/>
    </row>
    <row r="5230" spans="1:1">
      <c r="A5230" s="1"/>
    </row>
    <row r="5231" spans="1:1">
      <c r="A5231" s="1"/>
    </row>
    <row r="5232" spans="1:1">
      <c r="A5232" s="1"/>
    </row>
    <row r="5233" spans="1:1">
      <c r="A5233" s="1"/>
    </row>
    <row r="5234" spans="1:1">
      <c r="A5234" s="1"/>
    </row>
    <row r="5235" spans="1:1">
      <c r="A5235" s="1"/>
    </row>
    <row r="5236" spans="1:1">
      <c r="A5236" s="1"/>
    </row>
    <row r="5237" spans="1:1">
      <c r="A5237" s="1"/>
    </row>
    <row r="5238" spans="1:1">
      <c r="A5238" s="1"/>
    </row>
    <row r="5239" spans="1:1">
      <c r="A5239" s="1"/>
    </row>
    <row r="5240" spans="1:1">
      <c r="A5240" s="1"/>
    </row>
    <row r="5241" spans="1:1">
      <c r="A5241" s="1"/>
    </row>
    <row r="5242" spans="1:1">
      <c r="A5242" s="1"/>
    </row>
    <row r="5243" spans="1:1">
      <c r="A5243" s="1"/>
    </row>
    <row r="5244" spans="1:1">
      <c r="A5244" s="1"/>
    </row>
    <row r="5245" spans="1:1">
      <c r="A5245" s="1"/>
    </row>
    <row r="5246" spans="1:1">
      <c r="A5246" s="1"/>
    </row>
    <row r="5247" spans="1:1">
      <c r="A5247" s="1"/>
    </row>
    <row r="5248" spans="1:1">
      <c r="A5248" s="1"/>
    </row>
    <row r="5249" spans="1:1">
      <c r="A5249" s="1"/>
    </row>
    <row r="5250" spans="1:1">
      <c r="A5250" s="1"/>
    </row>
    <row r="5251" spans="1:1">
      <c r="A5251" s="1"/>
    </row>
    <row r="5252" spans="1:1">
      <c r="A5252" s="1"/>
    </row>
    <row r="5253" spans="1:1">
      <c r="A5253" s="1"/>
    </row>
    <row r="5254" spans="1:1">
      <c r="A5254" s="1"/>
    </row>
    <row r="5255" spans="1:1">
      <c r="A5255" s="1"/>
    </row>
    <row r="5256" spans="1:1">
      <c r="A5256" s="1"/>
    </row>
    <row r="5257" spans="1:1">
      <c r="A5257" s="1"/>
    </row>
    <row r="5258" spans="1:1">
      <c r="A5258" s="1"/>
    </row>
    <row r="5259" spans="1:1">
      <c r="A5259" s="1"/>
    </row>
    <row r="5260" spans="1:1">
      <c r="A5260" s="1"/>
    </row>
    <row r="5261" spans="1:1">
      <c r="A5261" s="1"/>
    </row>
    <row r="5262" spans="1:1">
      <c r="A5262" s="1"/>
    </row>
    <row r="5263" spans="1:1">
      <c r="A5263" s="1"/>
    </row>
    <row r="5264" spans="1:1">
      <c r="A5264" s="1"/>
    </row>
    <row r="5265" spans="1:1">
      <c r="A5265" s="1"/>
    </row>
    <row r="5266" spans="1:1">
      <c r="A5266" s="1"/>
    </row>
    <row r="5267" spans="1:1">
      <c r="A5267" s="1"/>
    </row>
    <row r="5268" spans="1:1">
      <c r="A5268" s="1"/>
    </row>
    <row r="5269" spans="1:1">
      <c r="A5269" s="1"/>
    </row>
    <row r="5270" spans="1:1">
      <c r="A5270" s="1"/>
    </row>
    <row r="5271" spans="1:1">
      <c r="A5271" s="1"/>
    </row>
    <row r="5272" spans="1:1">
      <c r="A5272" s="1"/>
    </row>
    <row r="5273" spans="1:1">
      <c r="A5273" s="1"/>
    </row>
    <row r="5274" spans="1:1">
      <c r="A5274" s="1"/>
    </row>
    <row r="5275" spans="1:1">
      <c r="A5275" s="1"/>
    </row>
    <row r="5276" spans="1:1">
      <c r="A5276" s="1"/>
    </row>
    <row r="5277" spans="1:1">
      <c r="A5277" s="1"/>
    </row>
    <row r="5278" spans="1:1">
      <c r="A5278" s="1"/>
    </row>
    <row r="5279" spans="1:1">
      <c r="A5279" s="1"/>
    </row>
    <row r="5280" spans="1:1">
      <c r="A5280" s="1"/>
    </row>
    <row r="5281" spans="1:1">
      <c r="A5281" s="1"/>
    </row>
    <row r="5282" spans="1:1">
      <c r="A5282" s="1"/>
    </row>
    <row r="5283" spans="1:1">
      <c r="A5283" s="1"/>
    </row>
    <row r="5284" spans="1:1">
      <c r="A5284" s="1"/>
    </row>
    <row r="5285" spans="1:1">
      <c r="A5285" s="1"/>
    </row>
    <row r="5286" spans="1:1">
      <c r="A5286" s="1"/>
    </row>
    <row r="5287" spans="1:1">
      <c r="A5287" s="1"/>
    </row>
    <row r="5288" spans="1:1">
      <c r="A5288" s="1"/>
    </row>
    <row r="5289" spans="1:1">
      <c r="A5289" s="1"/>
    </row>
    <row r="5290" spans="1:1">
      <c r="A5290" s="1"/>
    </row>
    <row r="5291" spans="1:1">
      <c r="A5291" s="1"/>
    </row>
    <row r="5292" spans="1:1">
      <c r="A5292" s="1"/>
    </row>
    <row r="5293" spans="1:1">
      <c r="A5293" s="1"/>
    </row>
    <row r="5294" spans="1:1">
      <c r="A5294" s="1"/>
    </row>
    <row r="5295" spans="1:1">
      <c r="A5295" s="1"/>
    </row>
    <row r="5296" spans="1:1">
      <c r="A5296" s="1"/>
    </row>
    <row r="5297" spans="1:1">
      <c r="A5297" s="1"/>
    </row>
    <row r="5298" spans="1:1">
      <c r="A5298" s="1"/>
    </row>
    <row r="5299" spans="1:1">
      <c r="A5299" s="1"/>
    </row>
    <row r="5300" spans="1:1">
      <c r="A5300" s="1"/>
    </row>
    <row r="5301" spans="1:1">
      <c r="A5301" s="1"/>
    </row>
    <row r="5302" spans="1:1">
      <c r="A5302" s="1"/>
    </row>
    <row r="5303" spans="1:1">
      <c r="A5303" s="1"/>
    </row>
    <row r="5304" spans="1:1">
      <c r="A5304" s="1"/>
    </row>
    <row r="5305" spans="1:1">
      <c r="A5305" s="1"/>
    </row>
    <row r="5306" spans="1:1">
      <c r="A5306" s="1"/>
    </row>
    <row r="5307" spans="1:1">
      <c r="A5307" s="1"/>
    </row>
    <row r="5308" spans="1:1">
      <c r="A5308" s="1"/>
    </row>
    <row r="5309" spans="1:1">
      <c r="A5309" s="1"/>
    </row>
    <row r="5310" spans="1:1">
      <c r="A5310" s="1"/>
    </row>
    <row r="5311" spans="1:1">
      <c r="A5311" s="1"/>
    </row>
    <row r="5312" spans="1:1">
      <c r="A5312" s="1"/>
    </row>
    <row r="5313" spans="1:1">
      <c r="A5313" s="1"/>
    </row>
    <row r="5314" spans="1:1">
      <c r="A5314" s="1"/>
    </row>
    <row r="5315" spans="1:1">
      <c r="A5315" s="1"/>
    </row>
    <row r="5316" spans="1:1">
      <c r="A5316" s="1"/>
    </row>
    <row r="5317" spans="1:1">
      <c r="A5317" s="1"/>
    </row>
    <row r="5318" spans="1:1">
      <c r="A5318" s="1"/>
    </row>
    <row r="5319" spans="1:1">
      <c r="A5319" s="1"/>
    </row>
    <row r="5320" spans="1:1">
      <c r="A5320" s="1"/>
    </row>
    <row r="5321" spans="1:1">
      <c r="A5321" s="1"/>
    </row>
    <row r="5322" spans="1:1">
      <c r="A5322" s="1"/>
    </row>
    <row r="5323" spans="1:1">
      <c r="A5323" s="1"/>
    </row>
    <row r="5324" spans="1:1">
      <c r="A5324" s="1"/>
    </row>
    <row r="5325" spans="1:1">
      <c r="A5325" s="1"/>
    </row>
    <row r="5326" spans="1:1">
      <c r="A5326" s="1"/>
    </row>
    <row r="5327" spans="1:1">
      <c r="A5327" s="1"/>
    </row>
    <row r="5328" spans="1:1">
      <c r="A5328" s="1"/>
    </row>
    <row r="5329" spans="1:1">
      <c r="A5329" s="1"/>
    </row>
    <row r="5330" spans="1:1">
      <c r="A5330" s="1"/>
    </row>
    <row r="5331" spans="1:1">
      <c r="A5331" s="1"/>
    </row>
    <row r="5332" spans="1:1">
      <c r="A5332" s="1"/>
    </row>
    <row r="5333" spans="1:1">
      <c r="A5333" s="1"/>
    </row>
    <row r="5334" spans="1:1">
      <c r="A5334" s="1"/>
    </row>
    <row r="5335" spans="1:1">
      <c r="A5335" s="1"/>
    </row>
    <row r="5336" spans="1:1">
      <c r="A5336" s="1"/>
    </row>
    <row r="5337" spans="1:1">
      <c r="A5337" s="1"/>
    </row>
    <row r="5338" spans="1:1">
      <c r="A5338" s="1"/>
    </row>
    <row r="5339" spans="1:1">
      <c r="A5339" s="1"/>
    </row>
    <row r="5340" spans="1:1">
      <c r="A5340" s="1"/>
    </row>
    <row r="5341" spans="1:1">
      <c r="A5341" s="1"/>
    </row>
    <row r="5342" spans="1:1">
      <c r="A5342" s="1"/>
    </row>
    <row r="5343" spans="1:1">
      <c r="A5343" s="1"/>
    </row>
    <row r="5344" spans="1:1">
      <c r="A5344" s="1"/>
    </row>
    <row r="5345" spans="1:1">
      <c r="A5345" s="1"/>
    </row>
    <row r="5346" spans="1:1">
      <c r="A5346" s="1"/>
    </row>
    <row r="5347" spans="1:1">
      <c r="A5347" s="1"/>
    </row>
    <row r="5348" spans="1:1">
      <c r="A5348" s="1"/>
    </row>
    <row r="5349" spans="1:1">
      <c r="A5349" s="1"/>
    </row>
    <row r="5350" spans="1:1">
      <c r="A5350" s="1"/>
    </row>
    <row r="5351" spans="1:1">
      <c r="A5351" s="1"/>
    </row>
    <row r="5352" spans="1:1">
      <c r="A5352" s="1"/>
    </row>
    <row r="5353" spans="1:1">
      <c r="A5353" s="1"/>
    </row>
    <row r="5354" spans="1:1">
      <c r="A5354" s="1"/>
    </row>
    <row r="5355" spans="1:1">
      <c r="A5355" s="1"/>
    </row>
    <row r="5356" spans="1:1">
      <c r="A5356" s="1"/>
    </row>
    <row r="5357" spans="1:1">
      <c r="A5357" s="1"/>
    </row>
    <row r="5358" spans="1:1">
      <c r="A5358" s="1"/>
    </row>
    <row r="5359" spans="1:1">
      <c r="A5359" s="1"/>
    </row>
    <row r="5360" spans="1:1">
      <c r="A5360" s="1"/>
    </row>
    <row r="5361" spans="1:1">
      <c r="A5361" s="1"/>
    </row>
    <row r="5362" spans="1:1">
      <c r="A5362" s="1"/>
    </row>
    <row r="5363" spans="1:1">
      <c r="A5363" s="1"/>
    </row>
    <row r="5364" spans="1:1">
      <c r="A5364" s="1"/>
    </row>
    <row r="5365" spans="1:1">
      <c r="A5365" s="1"/>
    </row>
    <row r="5366" spans="1:1">
      <c r="A5366" s="1"/>
    </row>
    <row r="5367" spans="1:1">
      <c r="A5367" s="1"/>
    </row>
    <row r="5368" spans="1:1">
      <c r="A5368" s="1"/>
    </row>
    <row r="5369" spans="1:1">
      <c r="A5369" s="1"/>
    </row>
    <row r="5370" spans="1:1">
      <c r="A5370" s="1"/>
    </row>
    <row r="5371" spans="1:1">
      <c r="A5371" s="1"/>
    </row>
    <row r="5372" spans="1:1">
      <c r="A5372" s="1"/>
    </row>
    <row r="5373" spans="1:1">
      <c r="A5373" s="1"/>
    </row>
    <row r="5374" spans="1:1">
      <c r="A5374" s="1"/>
    </row>
    <row r="5375" spans="1:1">
      <c r="A5375" s="1"/>
    </row>
    <row r="5376" spans="1:1">
      <c r="A5376" s="1"/>
    </row>
    <row r="5377" spans="1:1">
      <c r="A5377" s="1"/>
    </row>
    <row r="5378" spans="1:1">
      <c r="A5378" s="1"/>
    </row>
    <row r="5379" spans="1:1">
      <c r="A5379" s="1"/>
    </row>
    <row r="5380" spans="1:1">
      <c r="A5380" s="1"/>
    </row>
    <row r="5381" spans="1:1">
      <c r="A5381" s="1"/>
    </row>
    <row r="5382" spans="1:1">
      <c r="A5382" s="1"/>
    </row>
    <row r="5383" spans="1:1">
      <c r="A5383" s="1"/>
    </row>
    <row r="5384" spans="1:1">
      <c r="A5384" s="1"/>
    </row>
    <row r="5385" spans="1:1">
      <c r="A5385" s="1"/>
    </row>
    <row r="5386" spans="1:1">
      <c r="A5386" s="1"/>
    </row>
    <row r="5387" spans="1:1">
      <c r="A5387" s="1"/>
    </row>
    <row r="5388" spans="1:1">
      <c r="A5388" s="1"/>
    </row>
    <row r="5389" spans="1:1">
      <c r="A5389" s="1"/>
    </row>
    <row r="5390" spans="1:1">
      <c r="A5390" s="1"/>
    </row>
    <row r="5391" spans="1:1">
      <c r="A5391" s="1"/>
    </row>
    <row r="5392" spans="1:1">
      <c r="A5392" s="1"/>
    </row>
    <row r="5393" spans="1:1">
      <c r="A5393" s="1"/>
    </row>
    <row r="5394" spans="1:1">
      <c r="A5394" s="1"/>
    </row>
    <row r="5395" spans="1:1">
      <c r="A5395" s="1"/>
    </row>
    <row r="5396" spans="1:1">
      <c r="A5396" s="1"/>
    </row>
    <row r="5397" spans="1:1">
      <c r="A5397" s="1"/>
    </row>
    <row r="5398" spans="1:1">
      <c r="A5398" s="1"/>
    </row>
    <row r="5399" spans="1:1">
      <c r="A5399" s="1"/>
    </row>
    <row r="5400" spans="1:1">
      <c r="A5400" s="1"/>
    </row>
    <row r="5401" spans="1:1">
      <c r="A5401" s="1"/>
    </row>
    <row r="5402" spans="1:1">
      <c r="A5402" s="1"/>
    </row>
    <row r="5403" spans="1:1">
      <c r="A5403" s="1"/>
    </row>
    <row r="5404" spans="1:1">
      <c r="A5404" s="1"/>
    </row>
    <row r="5405" spans="1:1">
      <c r="A5405" s="1"/>
    </row>
    <row r="5406" spans="1:1">
      <c r="A5406" s="1"/>
    </row>
    <row r="5407" spans="1:1">
      <c r="A5407" s="1"/>
    </row>
    <row r="5408" spans="1:1">
      <c r="A5408" s="1"/>
    </row>
    <row r="5409" spans="1:1">
      <c r="A5409" s="1"/>
    </row>
    <row r="5410" spans="1:1">
      <c r="A5410" s="1"/>
    </row>
    <row r="5411" spans="1:1">
      <c r="A5411" s="1"/>
    </row>
    <row r="5412" spans="1:1">
      <c r="A5412" s="1"/>
    </row>
    <row r="5413" spans="1:1">
      <c r="A5413" s="1"/>
    </row>
    <row r="5414" spans="1:1">
      <c r="A5414" s="1"/>
    </row>
    <row r="5415" spans="1:1">
      <c r="A5415" s="1"/>
    </row>
    <row r="5416" spans="1:1">
      <c r="A5416" s="1"/>
    </row>
    <row r="5417" spans="1:1">
      <c r="A5417" s="1"/>
    </row>
    <row r="5418" spans="1:1">
      <c r="A5418" s="1"/>
    </row>
    <row r="5419" spans="1:1">
      <c r="A5419" s="1"/>
    </row>
    <row r="5420" spans="1:1">
      <c r="A5420" s="1"/>
    </row>
    <row r="5421" spans="1:1">
      <c r="A5421" s="1"/>
    </row>
    <row r="5422" spans="1:1">
      <c r="A5422" s="1"/>
    </row>
    <row r="5423" spans="1:1">
      <c r="A5423" s="1"/>
    </row>
    <row r="5424" spans="1:1">
      <c r="A5424" s="1"/>
    </row>
    <row r="5425" spans="1:1">
      <c r="A5425" s="1"/>
    </row>
    <row r="5426" spans="1:1">
      <c r="A5426" s="1"/>
    </row>
    <row r="5427" spans="1:1">
      <c r="A5427" s="1"/>
    </row>
    <row r="5428" spans="1:1">
      <c r="A5428" s="1"/>
    </row>
    <row r="5429" spans="1:1">
      <c r="A5429" s="1"/>
    </row>
    <row r="5430" spans="1:1">
      <c r="A5430" s="1"/>
    </row>
    <row r="5431" spans="1:1">
      <c r="A5431" s="1"/>
    </row>
    <row r="5432" spans="1:1">
      <c r="A5432" s="1"/>
    </row>
    <row r="5433" spans="1:1">
      <c r="A5433" s="1"/>
    </row>
    <row r="5434" spans="1:1">
      <c r="A5434" s="1"/>
    </row>
    <row r="5435" spans="1:1">
      <c r="A5435" s="1"/>
    </row>
    <row r="5436" spans="1:1">
      <c r="A5436" s="1"/>
    </row>
    <row r="5437" spans="1:1">
      <c r="A5437" s="1"/>
    </row>
    <row r="5438" spans="1:1">
      <c r="A5438" s="1"/>
    </row>
    <row r="5439" spans="1:1">
      <c r="A5439" s="1"/>
    </row>
    <row r="5440" spans="1:1">
      <c r="A5440" s="1"/>
    </row>
    <row r="5441" spans="1:1">
      <c r="A5441" s="1"/>
    </row>
    <row r="5442" spans="1:1">
      <c r="A5442" s="1"/>
    </row>
    <row r="5443" spans="1:1">
      <c r="A5443" s="1"/>
    </row>
    <row r="5444" spans="1:1">
      <c r="A5444" s="1"/>
    </row>
    <row r="5445" spans="1:1">
      <c r="A5445" s="1"/>
    </row>
    <row r="5446" spans="1:1">
      <c r="A5446" s="1"/>
    </row>
    <row r="5447" spans="1:1">
      <c r="A5447" s="1"/>
    </row>
    <row r="5448" spans="1:1">
      <c r="A5448" s="1"/>
    </row>
    <row r="5449" spans="1:1">
      <c r="A5449" s="1"/>
    </row>
    <row r="5450" spans="1:1">
      <c r="A5450" s="1"/>
    </row>
    <row r="5451" spans="1:1">
      <c r="A5451" s="1"/>
    </row>
    <row r="5452" spans="1:1">
      <c r="A5452" s="1"/>
    </row>
    <row r="5453" spans="1:1">
      <c r="A5453" s="1"/>
    </row>
    <row r="5454" spans="1:1">
      <c r="A5454" s="1"/>
    </row>
    <row r="5455" spans="1:1">
      <c r="A5455" s="1"/>
    </row>
    <row r="5456" spans="1:1">
      <c r="A5456" s="1"/>
    </row>
    <row r="5457" spans="1:1">
      <c r="A5457" s="1"/>
    </row>
    <row r="5458" spans="1:1">
      <c r="A5458" s="1"/>
    </row>
    <row r="5459" spans="1:1">
      <c r="A5459" s="1"/>
    </row>
    <row r="5460" spans="1:1">
      <c r="A5460" s="1"/>
    </row>
    <row r="5461" spans="1:1">
      <c r="A5461" s="1"/>
    </row>
    <row r="5462" spans="1:1">
      <c r="A5462" s="1"/>
    </row>
    <row r="5463" spans="1:1">
      <c r="A5463" s="1"/>
    </row>
    <row r="5464" spans="1:1">
      <c r="A5464" s="1"/>
    </row>
    <row r="5465" spans="1:1">
      <c r="A5465" s="1"/>
    </row>
    <row r="5466" spans="1:1">
      <c r="A5466" s="1"/>
    </row>
    <row r="5467" spans="1:1">
      <c r="A5467" s="1"/>
    </row>
    <row r="5468" spans="1:1">
      <c r="A5468" s="1"/>
    </row>
    <row r="5469" spans="1:1">
      <c r="A5469" s="1"/>
    </row>
    <row r="5470" spans="1:1">
      <c r="A5470" s="1"/>
    </row>
    <row r="5471" spans="1:1">
      <c r="A5471" s="1"/>
    </row>
    <row r="5472" spans="1:1">
      <c r="A5472" s="1"/>
    </row>
    <row r="5473" spans="1:1">
      <c r="A5473" s="1"/>
    </row>
    <row r="5474" spans="1:1">
      <c r="A5474" s="1"/>
    </row>
    <row r="5475" spans="1:1">
      <c r="A5475" s="1"/>
    </row>
    <row r="5476" spans="1:1">
      <c r="A5476" s="1"/>
    </row>
    <row r="5477" spans="1:1">
      <c r="A5477" s="1"/>
    </row>
    <row r="5478" spans="1:1">
      <c r="A5478" s="1"/>
    </row>
    <row r="5479" spans="1:1">
      <c r="A5479" s="1"/>
    </row>
    <row r="5480" spans="1:1">
      <c r="A5480" s="1"/>
    </row>
    <row r="5481" spans="1:1">
      <c r="A5481" s="1"/>
    </row>
    <row r="5482" spans="1:1">
      <c r="A5482" s="1"/>
    </row>
    <row r="5483" spans="1:1">
      <c r="A5483" s="1"/>
    </row>
    <row r="5484" spans="1:1">
      <c r="A5484" s="1"/>
    </row>
    <row r="5485" spans="1:1">
      <c r="A5485" s="1"/>
    </row>
    <row r="5486" spans="1:1">
      <c r="A5486" s="1"/>
    </row>
    <row r="5487" spans="1:1">
      <c r="A5487" s="1"/>
    </row>
    <row r="5488" spans="1:1">
      <c r="A5488" s="1"/>
    </row>
    <row r="5489" spans="1:1">
      <c r="A5489" s="1"/>
    </row>
    <row r="5490" spans="1:1">
      <c r="A5490" s="1"/>
    </row>
    <row r="5491" spans="1:1">
      <c r="A5491" s="1"/>
    </row>
    <row r="5492" spans="1:1">
      <c r="A5492" s="1"/>
    </row>
    <row r="5493" spans="1:1">
      <c r="A5493" s="1"/>
    </row>
    <row r="5494" spans="1:1">
      <c r="A5494" s="1"/>
    </row>
    <row r="5495" spans="1:1">
      <c r="A5495" s="1"/>
    </row>
    <row r="5496" spans="1:1">
      <c r="A5496" s="1"/>
    </row>
    <row r="5497" spans="1:1">
      <c r="A5497" s="1"/>
    </row>
    <row r="5498" spans="1:1">
      <c r="A5498" s="1"/>
    </row>
    <row r="5499" spans="1:1">
      <c r="A5499" s="1"/>
    </row>
    <row r="5500" spans="1:1">
      <c r="A5500" s="1"/>
    </row>
    <row r="5501" spans="1:1">
      <c r="A5501" s="1"/>
    </row>
    <row r="5502" spans="1:1">
      <c r="A5502" s="1"/>
    </row>
    <row r="5503" spans="1:1">
      <c r="A5503" s="1"/>
    </row>
    <row r="5504" spans="1:1">
      <c r="A5504" s="1"/>
    </row>
    <row r="5505" spans="1:1">
      <c r="A5505" s="1"/>
    </row>
    <row r="5506" spans="1:1">
      <c r="A5506" s="1"/>
    </row>
    <row r="5507" spans="1:1">
      <c r="A5507" s="1"/>
    </row>
    <row r="5508" spans="1:1">
      <c r="A5508" s="1"/>
    </row>
    <row r="5509" spans="1:1">
      <c r="A5509" s="1"/>
    </row>
    <row r="5510" spans="1:1">
      <c r="A5510" s="1"/>
    </row>
    <row r="5511" spans="1:1">
      <c r="A5511" s="1"/>
    </row>
    <row r="5512" spans="1:1">
      <c r="A5512" s="1"/>
    </row>
    <row r="5513" spans="1:1">
      <c r="A5513" s="1"/>
    </row>
    <row r="5514" spans="1:1">
      <c r="A5514" s="1"/>
    </row>
    <row r="5515" spans="1:1">
      <c r="A5515" s="1"/>
    </row>
    <row r="5516" spans="1:1">
      <c r="A5516" s="1"/>
    </row>
    <row r="5517" spans="1:1">
      <c r="A5517" s="1"/>
    </row>
    <row r="5518" spans="1:1">
      <c r="A5518" s="1"/>
    </row>
    <row r="5519" spans="1:1">
      <c r="A5519" s="1"/>
    </row>
    <row r="5520" spans="1:1">
      <c r="A5520" s="1"/>
    </row>
    <row r="5521" spans="1:1">
      <c r="A5521" s="1"/>
    </row>
    <row r="5522" spans="1:1">
      <c r="A5522" s="1"/>
    </row>
    <row r="5523" spans="1:1">
      <c r="A5523" s="1"/>
    </row>
    <row r="5524" spans="1:1">
      <c r="A5524" s="1"/>
    </row>
    <row r="5525" spans="1:1">
      <c r="A5525" s="1"/>
    </row>
    <row r="5526" spans="1:1">
      <c r="A5526" s="1"/>
    </row>
    <row r="5527" spans="1:1">
      <c r="A5527" s="1"/>
    </row>
    <row r="5528" spans="1:1">
      <c r="A5528" s="1"/>
    </row>
    <row r="5529" spans="1:1">
      <c r="A5529" s="1"/>
    </row>
    <row r="5530" spans="1:1">
      <c r="A5530" s="1"/>
    </row>
    <row r="5531" spans="1:1">
      <c r="A5531" s="1"/>
    </row>
    <row r="5532" spans="1:1">
      <c r="A5532" s="1"/>
    </row>
    <row r="5533" spans="1:1">
      <c r="A5533" s="1"/>
    </row>
    <row r="5534" spans="1:1">
      <c r="A5534" s="1"/>
    </row>
    <row r="5535" spans="1:1">
      <c r="A5535" s="1"/>
    </row>
    <row r="5536" spans="1:1">
      <c r="A5536" s="1"/>
    </row>
    <row r="5537" spans="1:1">
      <c r="A5537" s="1"/>
    </row>
    <row r="5538" spans="1:1">
      <c r="A5538" s="1"/>
    </row>
    <row r="5539" spans="1:1">
      <c r="A5539" s="1"/>
    </row>
    <row r="5540" spans="1:1">
      <c r="A5540" s="1"/>
    </row>
    <row r="5541" spans="1:1">
      <c r="A5541" s="1"/>
    </row>
    <row r="5542" spans="1:1">
      <c r="A5542" s="1"/>
    </row>
    <row r="5543" spans="1:1">
      <c r="A5543" s="1"/>
    </row>
    <row r="5544" spans="1:1">
      <c r="A5544" s="1"/>
    </row>
    <row r="5545" spans="1:1">
      <c r="A5545" s="1"/>
    </row>
    <row r="5546" spans="1:1">
      <c r="A5546" s="1"/>
    </row>
    <row r="5547" spans="1:1">
      <c r="A5547" s="1"/>
    </row>
    <row r="5548" spans="1:1">
      <c r="A5548" s="1"/>
    </row>
    <row r="5549" spans="1:1">
      <c r="A5549" s="1"/>
    </row>
    <row r="5550" spans="1:1">
      <c r="A5550" s="1"/>
    </row>
    <row r="5551" spans="1:1">
      <c r="A5551" s="1"/>
    </row>
    <row r="5552" spans="1:1">
      <c r="A5552" s="1"/>
    </row>
    <row r="5553" spans="1:1">
      <c r="A5553" s="1"/>
    </row>
    <row r="5554" spans="1:1">
      <c r="A5554" s="1"/>
    </row>
    <row r="5555" spans="1:1">
      <c r="A5555" s="1"/>
    </row>
    <row r="5556" spans="1:1">
      <c r="A5556" s="1"/>
    </row>
    <row r="5557" spans="1:1">
      <c r="A5557" s="1"/>
    </row>
    <row r="5558" spans="1:1">
      <c r="A5558" s="1"/>
    </row>
    <row r="5559" spans="1:1">
      <c r="A5559" s="1"/>
    </row>
    <row r="5560" spans="1:1">
      <c r="A5560" s="1"/>
    </row>
    <row r="5561" spans="1:1">
      <c r="A5561" s="1"/>
    </row>
    <row r="5562" spans="1:1">
      <c r="A5562" s="1"/>
    </row>
    <row r="5563" spans="1:1">
      <c r="A5563" s="1"/>
    </row>
    <row r="5564" spans="1:1">
      <c r="A5564" s="1"/>
    </row>
    <row r="5565" spans="1:1">
      <c r="A5565" s="1"/>
    </row>
    <row r="5566" spans="1:1">
      <c r="A5566" s="1"/>
    </row>
    <row r="5567" spans="1:1">
      <c r="A5567" s="1"/>
    </row>
    <row r="5568" spans="1:1">
      <c r="A5568" s="1"/>
    </row>
    <row r="5569" spans="1:1">
      <c r="A5569" s="1"/>
    </row>
    <row r="5570" spans="1:1">
      <c r="A5570" s="1"/>
    </row>
    <row r="5571" spans="1:1">
      <c r="A5571" s="1"/>
    </row>
    <row r="5572" spans="1:1">
      <c r="A5572" s="1"/>
    </row>
    <row r="5573" spans="1:1">
      <c r="A5573" s="1"/>
    </row>
    <row r="5574" spans="1:1">
      <c r="A5574" s="1"/>
    </row>
    <row r="5575" spans="1:1">
      <c r="A5575" s="1"/>
    </row>
    <row r="5576" spans="1:1">
      <c r="A5576" s="1"/>
    </row>
    <row r="5577" spans="1:1">
      <c r="A5577" s="1"/>
    </row>
    <row r="5578" spans="1:1">
      <c r="A5578" s="1"/>
    </row>
    <row r="5579" spans="1:1">
      <c r="A5579" s="1"/>
    </row>
    <row r="5580" spans="1:1">
      <c r="A5580" s="1"/>
    </row>
    <row r="5581" spans="1:1">
      <c r="A5581" s="1"/>
    </row>
    <row r="5582" spans="1:1">
      <c r="A5582" s="1"/>
    </row>
    <row r="5583" spans="1:1">
      <c r="A5583" s="1"/>
    </row>
    <row r="5584" spans="1:1">
      <c r="A5584" s="1"/>
    </row>
    <row r="5585" spans="1:1">
      <c r="A5585" s="1"/>
    </row>
    <row r="5586" spans="1:1">
      <c r="A5586" s="1"/>
    </row>
    <row r="5587" spans="1:1">
      <c r="A5587" s="1"/>
    </row>
    <row r="5588" spans="1:1">
      <c r="A5588" s="1"/>
    </row>
    <row r="5589" spans="1:1">
      <c r="A5589" s="1"/>
    </row>
    <row r="5590" spans="1:1">
      <c r="A5590" s="1"/>
    </row>
    <row r="5591" spans="1:1">
      <c r="A5591" s="1"/>
    </row>
    <row r="5592" spans="1:1">
      <c r="A5592" s="1"/>
    </row>
    <row r="5593" spans="1:1">
      <c r="A5593" s="1"/>
    </row>
    <row r="5594" spans="1:1">
      <c r="A5594" s="1"/>
    </row>
    <row r="5595" spans="1:1">
      <c r="A5595" s="1"/>
    </row>
    <row r="5596" spans="1:1">
      <c r="A5596" s="1"/>
    </row>
    <row r="5597" spans="1:1">
      <c r="A5597" s="1"/>
    </row>
    <row r="5598" spans="1:1">
      <c r="A5598" s="1"/>
    </row>
    <row r="5599" spans="1:1">
      <c r="A5599" s="1"/>
    </row>
    <row r="5600" spans="1:1">
      <c r="A5600" s="1"/>
    </row>
    <row r="5601" spans="1:1">
      <c r="A5601" s="1"/>
    </row>
    <row r="5602" spans="1:1">
      <c r="A5602" s="1"/>
    </row>
    <row r="5603" spans="1:1">
      <c r="A5603" s="1"/>
    </row>
    <row r="5604" spans="1:1">
      <c r="A5604" s="1"/>
    </row>
    <row r="5605" spans="1:1">
      <c r="A5605" s="1"/>
    </row>
    <row r="5606" spans="1:1">
      <c r="A5606" s="1"/>
    </row>
    <row r="5607" spans="1:1">
      <c r="A5607" s="1"/>
    </row>
    <row r="5608" spans="1:1">
      <c r="A5608" s="1"/>
    </row>
    <row r="5609" spans="1:1">
      <c r="A5609" s="1"/>
    </row>
    <row r="5610" spans="1:1">
      <c r="A5610" s="1"/>
    </row>
    <row r="5611" spans="1:1">
      <c r="A5611" s="1"/>
    </row>
    <row r="5612" spans="1:1">
      <c r="A5612" s="1"/>
    </row>
    <row r="5613" spans="1:1">
      <c r="A5613" s="1"/>
    </row>
    <row r="5614" spans="1:1">
      <c r="A5614" s="1"/>
    </row>
    <row r="5615" spans="1:1">
      <c r="A5615" s="1"/>
    </row>
    <row r="5616" spans="1:1">
      <c r="A5616" s="1"/>
    </row>
    <row r="5617" spans="1:1">
      <c r="A5617" s="1"/>
    </row>
    <row r="5618" spans="1:1">
      <c r="A5618" s="1"/>
    </row>
    <row r="5619" spans="1:1">
      <c r="A5619" s="1"/>
    </row>
    <row r="5620" spans="1:1">
      <c r="A5620" s="1"/>
    </row>
    <row r="5621" spans="1:1">
      <c r="A5621" s="1"/>
    </row>
    <row r="5622" spans="1:1">
      <c r="A5622" s="1"/>
    </row>
    <row r="5623" spans="1:1">
      <c r="A5623" s="1"/>
    </row>
    <row r="5624" spans="1:1">
      <c r="A5624" s="1"/>
    </row>
    <row r="5625" spans="1:1">
      <c r="A5625" s="1"/>
    </row>
    <row r="5626" spans="1:1">
      <c r="A5626" s="1"/>
    </row>
    <row r="5627" spans="1:1">
      <c r="A5627" s="1"/>
    </row>
    <row r="5628" spans="1:1">
      <c r="A5628" s="1"/>
    </row>
    <row r="5629" spans="1:1">
      <c r="A5629" s="1"/>
    </row>
    <row r="5630" spans="1:1">
      <c r="A5630" s="1"/>
    </row>
    <row r="5631" spans="1:1">
      <c r="A5631" s="1"/>
    </row>
    <row r="5632" spans="1:1">
      <c r="A5632" s="1"/>
    </row>
    <row r="5633" spans="1:1">
      <c r="A5633" s="1"/>
    </row>
    <row r="5634" spans="1:1">
      <c r="A5634" s="1"/>
    </row>
    <row r="5635" spans="1:1">
      <c r="A5635" s="1"/>
    </row>
    <row r="5636" spans="1:1">
      <c r="A5636" s="1"/>
    </row>
    <row r="5637" spans="1:1">
      <c r="A5637" s="1"/>
    </row>
    <row r="5638" spans="1:1">
      <c r="A5638" s="1"/>
    </row>
    <row r="5639" spans="1:1">
      <c r="A5639" s="1"/>
    </row>
    <row r="5640" spans="1:1">
      <c r="A5640" s="1"/>
    </row>
    <row r="5641" spans="1:1">
      <c r="A5641" s="1"/>
    </row>
    <row r="5642" spans="1:1">
      <c r="A5642" s="1"/>
    </row>
    <row r="5643" spans="1:1">
      <c r="A5643" s="1"/>
    </row>
    <row r="5644" spans="1:1">
      <c r="A5644" s="1"/>
    </row>
    <row r="5645" spans="1:1">
      <c r="A5645" s="1"/>
    </row>
    <row r="5646" spans="1:1">
      <c r="A5646" s="1"/>
    </row>
    <row r="5647" spans="1:1">
      <c r="A5647" s="1"/>
    </row>
    <row r="5648" spans="1:1">
      <c r="A5648" s="1"/>
    </row>
    <row r="5649" spans="1:1">
      <c r="A5649" s="1"/>
    </row>
    <row r="5650" spans="1:1">
      <c r="A5650" s="1"/>
    </row>
    <row r="5651" spans="1:1">
      <c r="A5651" s="1"/>
    </row>
    <row r="5652" spans="1:1">
      <c r="A5652" s="1"/>
    </row>
    <row r="5653" spans="1:1">
      <c r="A5653" s="1"/>
    </row>
    <row r="5654" spans="1:1">
      <c r="A5654" s="1"/>
    </row>
    <row r="5655" spans="1:1">
      <c r="A5655" s="1"/>
    </row>
    <row r="5656" spans="1:1">
      <c r="A5656" s="1"/>
    </row>
    <row r="5657" spans="1:1">
      <c r="A5657" s="1"/>
    </row>
    <row r="5658" spans="1:1">
      <c r="A5658" s="1"/>
    </row>
    <row r="5659" spans="1:1">
      <c r="A5659" s="1"/>
    </row>
    <row r="5660" spans="1:1">
      <c r="A5660" s="1"/>
    </row>
    <row r="5661" spans="1:1">
      <c r="A5661" s="1"/>
    </row>
    <row r="5662" spans="1:1">
      <c r="A5662" s="1"/>
    </row>
    <row r="5663" spans="1:1">
      <c r="A5663" s="1"/>
    </row>
    <row r="5664" spans="1:1">
      <c r="A5664" s="1"/>
    </row>
    <row r="5665" spans="1:1">
      <c r="A5665" s="1"/>
    </row>
    <row r="5666" spans="1:1">
      <c r="A5666" s="1"/>
    </row>
    <row r="5667" spans="1:1">
      <c r="A5667" s="1"/>
    </row>
    <row r="5668" spans="1:1">
      <c r="A5668" s="1"/>
    </row>
    <row r="5669" spans="1:1">
      <c r="A5669" s="1"/>
    </row>
    <row r="5670" spans="1:1">
      <c r="A5670" s="1"/>
    </row>
    <row r="5671" spans="1:1">
      <c r="A5671" s="1"/>
    </row>
    <row r="5672" spans="1:1">
      <c r="A5672" s="1"/>
    </row>
    <row r="5673" spans="1:1">
      <c r="A5673" s="1"/>
    </row>
    <row r="5674" spans="1:1">
      <c r="A5674" s="1"/>
    </row>
    <row r="5675" spans="1:1">
      <c r="A5675" s="1"/>
    </row>
    <row r="5676" spans="1:1">
      <c r="A5676" s="1"/>
    </row>
    <row r="5677" spans="1:1">
      <c r="A5677" s="1"/>
    </row>
    <row r="5678" spans="1:1">
      <c r="A5678" s="1"/>
    </row>
    <row r="5679" spans="1:1">
      <c r="A5679" s="1"/>
    </row>
    <row r="5680" spans="1:1">
      <c r="A5680" s="1"/>
    </row>
    <row r="5681" spans="1:1">
      <c r="A5681" s="1"/>
    </row>
    <row r="5682" spans="1:1">
      <c r="A5682" s="1"/>
    </row>
    <row r="5683" spans="1:1">
      <c r="A5683" s="1"/>
    </row>
    <row r="5684" spans="1:1">
      <c r="A5684" s="1"/>
    </row>
    <row r="5685" spans="1:1">
      <c r="A5685" s="1"/>
    </row>
    <row r="5686" spans="1:1">
      <c r="A5686" s="1"/>
    </row>
    <row r="5687" spans="1:1">
      <c r="A5687" s="1"/>
    </row>
    <row r="5688" spans="1:1">
      <c r="A5688" s="1"/>
    </row>
    <row r="5689" spans="1:1">
      <c r="A5689" s="1"/>
    </row>
    <row r="5690" spans="1:1">
      <c r="A5690" s="1"/>
    </row>
    <row r="5691" spans="1:1">
      <c r="A5691" s="1"/>
    </row>
    <row r="5692" spans="1:1">
      <c r="A5692" s="1"/>
    </row>
    <row r="5693" spans="1:1">
      <c r="A5693" s="1"/>
    </row>
    <row r="5694" spans="1:1">
      <c r="A5694" s="1"/>
    </row>
    <row r="5695" spans="1:1">
      <c r="A5695" s="1"/>
    </row>
    <row r="5696" spans="1:1">
      <c r="A5696" s="1"/>
    </row>
    <row r="5697" spans="1:1">
      <c r="A5697" s="1"/>
    </row>
    <row r="5698" spans="1:1">
      <c r="A5698" s="1"/>
    </row>
    <row r="5699" spans="1:1">
      <c r="A5699" s="1"/>
    </row>
    <row r="5700" spans="1:1">
      <c r="A5700" s="1"/>
    </row>
    <row r="5701" spans="1:1">
      <c r="A5701" s="1"/>
    </row>
    <row r="5702" spans="1:1">
      <c r="A5702" s="1"/>
    </row>
    <row r="5703" spans="1:1">
      <c r="A5703" s="1"/>
    </row>
    <row r="5704" spans="1:1">
      <c r="A5704" s="1"/>
    </row>
    <row r="5705" spans="1:1">
      <c r="A5705" s="1"/>
    </row>
    <row r="5706" spans="1:1">
      <c r="A5706" s="1"/>
    </row>
    <row r="5707" spans="1:1">
      <c r="A5707" s="1"/>
    </row>
    <row r="5708" spans="1:1">
      <c r="A5708" s="1"/>
    </row>
    <row r="5709" spans="1:1">
      <c r="A5709" s="1"/>
    </row>
    <row r="5710" spans="1:1">
      <c r="A5710" s="1"/>
    </row>
    <row r="5711" spans="1:1">
      <c r="A5711" s="1"/>
    </row>
    <row r="5712" spans="1:1">
      <c r="A5712" s="1"/>
    </row>
    <row r="5713" spans="1:1">
      <c r="A5713" s="1"/>
    </row>
    <row r="5714" spans="1:1">
      <c r="A5714" s="1"/>
    </row>
    <row r="5715" spans="1:1">
      <c r="A5715" s="1"/>
    </row>
    <row r="5716" spans="1:1">
      <c r="A5716" s="1"/>
    </row>
    <row r="5717" spans="1:1">
      <c r="A5717" s="1"/>
    </row>
    <row r="5718" spans="1:1">
      <c r="A5718" s="1"/>
    </row>
    <row r="5719" spans="1:1">
      <c r="A5719" s="1"/>
    </row>
    <row r="5720" spans="1:1">
      <c r="A5720" s="1"/>
    </row>
    <row r="5721" spans="1:1">
      <c r="A5721" s="1"/>
    </row>
    <row r="5722" spans="1:1">
      <c r="A5722" s="1"/>
    </row>
    <row r="5723" spans="1:1">
      <c r="A5723" s="1"/>
    </row>
    <row r="5724" spans="1:1">
      <c r="A5724" s="1"/>
    </row>
    <row r="5725" spans="1:1">
      <c r="A5725" s="1"/>
    </row>
    <row r="5726" spans="1:1">
      <c r="A5726" s="1"/>
    </row>
    <row r="5727" spans="1:1">
      <c r="A5727" s="1"/>
    </row>
    <row r="5728" spans="1:1">
      <c r="A5728" s="1"/>
    </row>
    <row r="5729" spans="1:1">
      <c r="A5729" s="1"/>
    </row>
    <row r="5730" spans="1:1">
      <c r="A5730" s="1"/>
    </row>
    <row r="5731" spans="1:1">
      <c r="A5731" s="1"/>
    </row>
    <row r="5732" spans="1:1">
      <c r="A5732" s="1"/>
    </row>
    <row r="5733" spans="1:1">
      <c r="A5733" s="1"/>
    </row>
    <row r="5734" spans="1:1">
      <c r="A5734" s="1"/>
    </row>
    <row r="5735" spans="1:1">
      <c r="A5735" s="1"/>
    </row>
    <row r="5736" spans="1:1">
      <c r="A5736" s="1"/>
    </row>
    <row r="5737" spans="1:1">
      <c r="A5737" s="1"/>
    </row>
    <row r="5738" spans="1:1">
      <c r="A5738" s="1"/>
    </row>
    <row r="5739" spans="1:1">
      <c r="A5739" s="1"/>
    </row>
    <row r="5740" spans="1:1">
      <c r="A5740" s="1"/>
    </row>
    <row r="5741" spans="1:1">
      <c r="A5741" s="1"/>
    </row>
    <row r="5742" spans="1:1">
      <c r="A5742" s="1"/>
    </row>
    <row r="5743" spans="1:1">
      <c r="A5743" s="1"/>
    </row>
    <row r="5744" spans="1:1">
      <c r="A5744" s="1"/>
    </row>
    <row r="5745" spans="1:1">
      <c r="A5745" s="1"/>
    </row>
    <row r="5746" spans="1:1">
      <c r="A5746" s="1"/>
    </row>
    <row r="5747" spans="1:1">
      <c r="A5747" s="1"/>
    </row>
    <row r="5748" spans="1:1">
      <c r="A5748" s="1"/>
    </row>
    <row r="5749" spans="1:1">
      <c r="A5749" s="1"/>
    </row>
    <row r="5750" spans="1:1">
      <c r="A5750" s="1"/>
    </row>
    <row r="5751" spans="1:1">
      <c r="A5751" s="1"/>
    </row>
    <row r="5752" spans="1:1">
      <c r="A5752" s="1"/>
    </row>
    <row r="5753" spans="1:1">
      <c r="A5753" s="1"/>
    </row>
    <row r="5754" spans="1:1">
      <c r="A5754" s="1"/>
    </row>
    <row r="5755" spans="1:1">
      <c r="A5755" s="1"/>
    </row>
    <row r="5756" spans="1:1">
      <c r="A5756" s="1"/>
    </row>
    <row r="5757" spans="1:1">
      <c r="A5757" s="1"/>
    </row>
    <row r="5758" spans="1:1">
      <c r="A5758" s="1"/>
    </row>
    <row r="5759" spans="1:1">
      <c r="A5759" s="1"/>
    </row>
    <row r="5760" spans="1:1">
      <c r="A5760" s="1"/>
    </row>
    <row r="5761" spans="1:1">
      <c r="A5761" s="1"/>
    </row>
    <row r="5762" spans="1:1">
      <c r="A5762" s="1"/>
    </row>
    <row r="5763" spans="1:1">
      <c r="A5763" s="1"/>
    </row>
    <row r="5764" spans="1:1">
      <c r="A5764" s="1"/>
    </row>
    <row r="5765" spans="1:1">
      <c r="A5765" s="1"/>
    </row>
    <row r="5766" spans="1:1">
      <c r="A5766" s="1"/>
    </row>
    <row r="5767" spans="1:1">
      <c r="A5767" s="1"/>
    </row>
    <row r="5768" spans="1:1">
      <c r="A5768" s="1"/>
    </row>
    <row r="5769" spans="1:1">
      <c r="A5769" s="1"/>
    </row>
    <row r="5770" spans="1:1">
      <c r="A5770" s="1"/>
    </row>
    <row r="5771" spans="1:1">
      <c r="A5771" s="1"/>
    </row>
    <row r="5772" spans="1:1">
      <c r="A5772" s="1"/>
    </row>
    <row r="5773" spans="1:1">
      <c r="A5773" s="1"/>
    </row>
    <row r="5774" spans="1:1">
      <c r="A5774" s="1"/>
    </row>
    <row r="5775" spans="1:1">
      <c r="A5775" s="1"/>
    </row>
    <row r="5776" spans="1:1">
      <c r="A5776" s="1"/>
    </row>
    <row r="5777" spans="1:1">
      <c r="A5777" s="1"/>
    </row>
    <row r="5778" spans="1:1">
      <c r="A5778" s="1"/>
    </row>
    <row r="5779" spans="1:1">
      <c r="A5779" s="1"/>
    </row>
    <row r="5780" spans="1:1">
      <c r="A5780" s="1"/>
    </row>
    <row r="5781" spans="1:1">
      <c r="A5781" s="1"/>
    </row>
    <row r="5782" spans="1:1">
      <c r="A5782" s="1"/>
    </row>
    <row r="5783" spans="1:1">
      <c r="A5783" s="1"/>
    </row>
    <row r="5784" spans="1:1">
      <c r="A5784" s="1"/>
    </row>
    <row r="5785" spans="1:1">
      <c r="A5785" s="1"/>
    </row>
    <row r="5786" spans="1:1">
      <c r="A5786" s="1"/>
    </row>
    <row r="5787" spans="1:1">
      <c r="A5787" s="1"/>
    </row>
    <row r="5788" spans="1:1">
      <c r="A5788" s="1"/>
    </row>
    <row r="5789" spans="1:1">
      <c r="A5789" s="1"/>
    </row>
    <row r="5790" spans="1:1">
      <c r="A5790" s="1"/>
    </row>
    <row r="5791" spans="1:1">
      <c r="A5791" s="1"/>
    </row>
    <row r="5792" spans="1:1">
      <c r="A5792" s="1"/>
    </row>
    <row r="5793" spans="1:1">
      <c r="A5793" s="1"/>
    </row>
    <row r="5794" spans="1:1">
      <c r="A5794" s="1"/>
    </row>
    <row r="5795" spans="1:1">
      <c r="A5795" s="1"/>
    </row>
    <row r="5796" spans="1:1">
      <c r="A5796" s="1"/>
    </row>
    <row r="5797" spans="1:1">
      <c r="A5797" s="1"/>
    </row>
    <row r="5798" spans="1:1">
      <c r="A5798" s="1"/>
    </row>
    <row r="5799" spans="1:1">
      <c r="A5799" s="1"/>
    </row>
    <row r="5800" spans="1:1">
      <c r="A5800" s="1"/>
    </row>
    <row r="5801" spans="1:1">
      <c r="A5801" s="1"/>
    </row>
    <row r="5802" spans="1:1">
      <c r="A5802" s="1"/>
    </row>
    <row r="5803" spans="1:1">
      <c r="A5803" s="1"/>
    </row>
    <row r="5804" spans="1:1">
      <c r="A5804" s="1"/>
    </row>
    <row r="5805" spans="1:1">
      <c r="A5805" s="1"/>
    </row>
    <row r="5806" spans="1:1">
      <c r="A5806" s="1"/>
    </row>
    <row r="5807" spans="1:1">
      <c r="A5807" s="1"/>
    </row>
    <row r="5808" spans="1:1">
      <c r="A5808" s="1"/>
    </row>
    <row r="5809" spans="1:1">
      <c r="A5809" s="1"/>
    </row>
    <row r="5810" spans="1:1">
      <c r="A5810" s="1"/>
    </row>
    <row r="5811" spans="1:1">
      <c r="A5811" s="1"/>
    </row>
    <row r="5812" spans="1:1">
      <c r="A5812" s="1"/>
    </row>
    <row r="5813" spans="1:1">
      <c r="A5813" s="1"/>
    </row>
    <row r="5814" spans="1:1">
      <c r="A5814" s="1"/>
    </row>
    <row r="5815" spans="1:1">
      <c r="A5815" s="1"/>
    </row>
    <row r="5816" spans="1:1">
      <c r="A5816" s="1"/>
    </row>
    <row r="5817" spans="1:1">
      <c r="A5817" s="1"/>
    </row>
    <row r="5818" spans="1:1">
      <c r="A5818" s="1"/>
    </row>
    <row r="5819" spans="1:1">
      <c r="A5819" s="1"/>
    </row>
    <row r="5820" spans="1:1">
      <c r="A5820" s="1"/>
    </row>
    <row r="5821" spans="1:1">
      <c r="A5821" s="1"/>
    </row>
    <row r="5822" spans="1:1">
      <c r="A5822" s="1"/>
    </row>
    <row r="5823" spans="1:1">
      <c r="A5823" s="1"/>
    </row>
    <row r="5824" spans="1:1">
      <c r="A5824" s="1"/>
    </row>
    <row r="5825" spans="1:1">
      <c r="A5825" s="1"/>
    </row>
    <row r="5826" spans="1:1">
      <c r="A5826" s="1"/>
    </row>
    <row r="5827" spans="1:1">
      <c r="A5827" s="1"/>
    </row>
    <row r="5828" spans="1:1">
      <c r="A5828" s="1"/>
    </row>
    <row r="5829" spans="1:1">
      <c r="A5829" s="1"/>
    </row>
    <row r="5830" spans="1:1">
      <c r="A5830" s="1"/>
    </row>
    <row r="5831" spans="1:1">
      <c r="A5831" s="1"/>
    </row>
    <row r="5832" spans="1:1">
      <c r="A5832" s="1"/>
    </row>
    <row r="5833" spans="1:1">
      <c r="A5833" s="1"/>
    </row>
    <row r="5834" spans="1:1">
      <c r="A5834" s="1"/>
    </row>
    <row r="5835" spans="1:1">
      <c r="A5835" s="1"/>
    </row>
    <row r="5836" spans="1:1">
      <c r="A5836" s="1"/>
    </row>
    <row r="5837" spans="1:1">
      <c r="A5837" s="1"/>
    </row>
    <row r="5838" spans="1:1">
      <c r="A5838" s="1"/>
    </row>
    <row r="5839" spans="1:1">
      <c r="A5839" s="1"/>
    </row>
    <row r="5840" spans="1:1">
      <c r="A5840" s="1"/>
    </row>
    <row r="5841" spans="1:1">
      <c r="A5841" s="1"/>
    </row>
    <row r="5842" spans="1:1">
      <c r="A5842" s="1"/>
    </row>
    <row r="5843" spans="1:1">
      <c r="A5843" s="1"/>
    </row>
    <row r="5844" spans="1:1">
      <c r="A5844" s="1"/>
    </row>
    <row r="5845" spans="1:1">
      <c r="A5845" s="1"/>
    </row>
    <row r="5846" spans="1:1">
      <c r="A5846" s="1"/>
    </row>
    <row r="5847" spans="1:1">
      <c r="A5847" s="1"/>
    </row>
    <row r="5848" spans="1:1">
      <c r="A5848" s="1"/>
    </row>
    <row r="5849" spans="1:1">
      <c r="A5849" s="1"/>
    </row>
    <row r="5850" spans="1:1">
      <c r="A5850" s="1"/>
    </row>
    <row r="5851" spans="1:1">
      <c r="A5851" s="1"/>
    </row>
    <row r="5852" spans="1:1">
      <c r="A5852" s="1"/>
    </row>
    <row r="5853" spans="1:1">
      <c r="A5853" s="1"/>
    </row>
    <row r="5854" spans="1:1">
      <c r="A5854" s="1"/>
    </row>
    <row r="5855" spans="1:1">
      <c r="A5855" s="1"/>
    </row>
    <row r="5856" spans="1:1">
      <c r="A5856" s="1"/>
    </row>
    <row r="5857" spans="1:1">
      <c r="A5857" s="1"/>
    </row>
    <row r="5858" spans="1:1">
      <c r="A5858" s="1"/>
    </row>
    <row r="5859" spans="1:1">
      <c r="A5859" s="1"/>
    </row>
    <row r="5860" spans="1:1">
      <c r="A5860" s="1"/>
    </row>
    <row r="5861" spans="1:1">
      <c r="A5861" s="1"/>
    </row>
    <row r="5862" spans="1:1">
      <c r="A5862" s="1"/>
    </row>
    <row r="5863" spans="1:1">
      <c r="A5863" s="1"/>
    </row>
    <row r="5864" spans="1:1">
      <c r="A5864" s="1"/>
    </row>
    <row r="5865" spans="1:1">
      <c r="A5865" s="1"/>
    </row>
    <row r="5866" spans="1:1">
      <c r="A5866" s="1"/>
    </row>
    <row r="5867" spans="1:1">
      <c r="A5867" s="1"/>
    </row>
    <row r="5868" spans="1:1">
      <c r="A5868" s="1"/>
    </row>
    <row r="5869" spans="1:1">
      <c r="A5869" s="1"/>
    </row>
    <row r="5870" spans="1:1">
      <c r="A5870" s="1"/>
    </row>
    <row r="5871" spans="1:1">
      <c r="A5871" s="1"/>
    </row>
    <row r="5872" spans="1:1">
      <c r="A5872" s="1"/>
    </row>
    <row r="5873" spans="1:1">
      <c r="A5873" s="1"/>
    </row>
    <row r="5874" spans="1:1">
      <c r="A5874" s="1"/>
    </row>
    <row r="5875" spans="1:1">
      <c r="A5875" s="1"/>
    </row>
    <row r="5876" spans="1:1">
      <c r="A5876" s="1"/>
    </row>
    <row r="5877" spans="1:1">
      <c r="A5877" s="1"/>
    </row>
    <row r="5878" spans="1:1">
      <c r="A5878" s="1"/>
    </row>
    <row r="5879" spans="1:1">
      <c r="A5879" s="1"/>
    </row>
    <row r="5880" spans="1:1">
      <c r="A5880" s="1"/>
    </row>
    <row r="5881" spans="1:1">
      <c r="A5881" s="1"/>
    </row>
    <row r="5882" spans="1:1">
      <c r="A5882" s="1"/>
    </row>
    <row r="5883" spans="1:1">
      <c r="A5883" s="1"/>
    </row>
    <row r="5884" spans="1:1">
      <c r="A5884" s="1"/>
    </row>
    <row r="5885" spans="1:1">
      <c r="A5885" s="1"/>
    </row>
    <row r="5886" spans="1:1">
      <c r="A5886" s="1"/>
    </row>
    <row r="5887" spans="1:1">
      <c r="A5887" s="1"/>
    </row>
    <row r="5888" spans="1:1">
      <c r="A5888" s="1"/>
    </row>
    <row r="5889" spans="1:1">
      <c r="A5889" s="1"/>
    </row>
    <row r="5890" spans="1:1">
      <c r="A5890" s="1"/>
    </row>
    <row r="5891" spans="1:1">
      <c r="A5891" s="1"/>
    </row>
    <row r="5892" spans="1:1">
      <c r="A5892" s="1"/>
    </row>
    <row r="5893" spans="1:1">
      <c r="A5893" s="1"/>
    </row>
    <row r="5894" spans="1:1">
      <c r="A5894" s="1"/>
    </row>
    <row r="5895" spans="1:1">
      <c r="A5895" s="1"/>
    </row>
    <row r="5896" spans="1:1">
      <c r="A5896" s="1"/>
    </row>
    <row r="5897" spans="1:1">
      <c r="A5897" s="1"/>
    </row>
    <row r="5898" spans="1:1">
      <c r="A5898" s="1"/>
    </row>
    <row r="5899" spans="1:1">
      <c r="A5899" s="1"/>
    </row>
    <row r="5900" spans="1:1">
      <c r="A5900" s="1"/>
    </row>
    <row r="5901" spans="1:1">
      <c r="A5901" s="1"/>
    </row>
    <row r="5902" spans="1:1">
      <c r="A5902" s="1"/>
    </row>
    <row r="5903" spans="1:1">
      <c r="A5903" s="1"/>
    </row>
    <row r="5904" spans="1:1">
      <c r="A5904" s="1"/>
    </row>
    <row r="5905" spans="1:1">
      <c r="A5905" s="1"/>
    </row>
    <row r="5906" spans="1:1">
      <c r="A5906" s="1"/>
    </row>
    <row r="5907" spans="1:1">
      <c r="A5907" s="1"/>
    </row>
    <row r="5908" spans="1:1">
      <c r="A5908" s="1"/>
    </row>
    <row r="5909" spans="1:1">
      <c r="A5909" s="1"/>
    </row>
    <row r="5910" spans="1:1">
      <c r="A5910" s="1"/>
    </row>
    <row r="5911" spans="1:1">
      <c r="A5911" s="1"/>
    </row>
    <row r="5912" spans="1:1">
      <c r="A5912" s="1"/>
    </row>
    <row r="5913" spans="1:1">
      <c r="A5913" s="1"/>
    </row>
    <row r="5914" spans="1:1">
      <c r="A5914" s="1"/>
    </row>
    <row r="5915" spans="1:1">
      <c r="A5915" s="1"/>
    </row>
    <row r="5916" spans="1:1">
      <c r="A5916" s="1"/>
    </row>
    <row r="5917" spans="1:1">
      <c r="A5917" s="1"/>
    </row>
    <row r="5918" spans="1:1">
      <c r="A5918" s="1"/>
    </row>
    <row r="5919" spans="1:1">
      <c r="A5919" s="1"/>
    </row>
    <row r="5920" spans="1:1">
      <c r="A5920" s="1"/>
    </row>
    <row r="5921" spans="1:1">
      <c r="A5921" s="1"/>
    </row>
    <row r="5922" spans="1:1">
      <c r="A5922" s="1"/>
    </row>
    <row r="5923" spans="1:1">
      <c r="A5923" s="1"/>
    </row>
    <row r="5924" spans="1:1">
      <c r="A5924" s="1"/>
    </row>
    <row r="5925" spans="1:1">
      <c r="A5925" s="1"/>
    </row>
    <row r="5926" spans="1:1">
      <c r="A5926" s="1"/>
    </row>
    <row r="5927" spans="1:1">
      <c r="A5927" s="1"/>
    </row>
    <row r="5928" spans="1:1">
      <c r="A5928" s="1"/>
    </row>
    <row r="5929" spans="1:1">
      <c r="A5929" s="1"/>
    </row>
    <row r="5930" spans="1:1">
      <c r="A5930" s="1"/>
    </row>
    <row r="5931" spans="1:1">
      <c r="A5931" s="1"/>
    </row>
    <row r="5932" spans="1:1">
      <c r="A5932" s="1"/>
    </row>
    <row r="5933" spans="1:1">
      <c r="A5933" s="1"/>
    </row>
    <row r="5934" spans="1:1">
      <c r="A5934" s="1"/>
    </row>
    <row r="5935" spans="1:1">
      <c r="A5935" s="1"/>
    </row>
    <row r="5936" spans="1:1">
      <c r="A5936" s="1"/>
    </row>
    <row r="5937" spans="1:1">
      <c r="A5937" s="1"/>
    </row>
    <row r="5938" spans="1:1">
      <c r="A5938" s="1"/>
    </row>
    <row r="5939" spans="1:1">
      <c r="A5939" s="1"/>
    </row>
    <row r="5940" spans="1:1">
      <c r="A5940" s="1"/>
    </row>
    <row r="5941" spans="1:1">
      <c r="A5941" s="1"/>
    </row>
    <row r="5942" spans="1:1">
      <c r="A5942" s="1"/>
    </row>
    <row r="5943" spans="1:1">
      <c r="A5943" s="1"/>
    </row>
    <row r="5944" spans="1:1">
      <c r="A5944" s="1"/>
    </row>
    <row r="5945" spans="1:1">
      <c r="A5945" s="1"/>
    </row>
    <row r="5946" spans="1:1">
      <c r="A5946" s="1"/>
    </row>
    <row r="5947" spans="1:1">
      <c r="A5947" s="1"/>
    </row>
    <row r="5948" spans="1:1">
      <c r="A5948" s="1"/>
    </row>
    <row r="5949" spans="1:1">
      <c r="A5949" s="1"/>
    </row>
    <row r="5950" spans="1:1">
      <c r="A5950" s="1"/>
    </row>
    <row r="5951" spans="1:1">
      <c r="A5951" s="1"/>
    </row>
    <row r="5952" spans="1:1">
      <c r="A5952" s="1"/>
    </row>
    <row r="5953" spans="1:1">
      <c r="A5953" s="1"/>
    </row>
    <row r="5954" spans="1:1">
      <c r="A5954" s="1"/>
    </row>
    <row r="5955" spans="1:1">
      <c r="A5955" s="1"/>
    </row>
    <row r="5956" spans="1:1">
      <c r="A5956" s="1"/>
    </row>
    <row r="5957" spans="1:1">
      <c r="A5957" s="1"/>
    </row>
    <row r="5958" spans="1:1">
      <c r="A5958" s="1"/>
    </row>
    <row r="5959" spans="1:1">
      <c r="A5959" s="1"/>
    </row>
    <row r="5960" spans="1:1">
      <c r="A5960" s="1"/>
    </row>
    <row r="5961" spans="1:1">
      <c r="A5961" s="1"/>
    </row>
    <row r="5962" spans="1:1">
      <c r="A5962" s="1"/>
    </row>
    <row r="5963" spans="1:1">
      <c r="A5963" s="1"/>
    </row>
    <row r="5964" spans="1:1">
      <c r="A5964" s="1"/>
    </row>
    <row r="5965" spans="1:1">
      <c r="A5965" s="1"/>
    </row>
    <row r="5966" spans="1:1">
      <c r="A5966" s="1"/>
    </row>
    <row r="5967" spans="1:1">
      <c r="A5967" s="1"/>
    </row>
    <row r="5968" spans="1:1">
      <c r="A5968" s="1"/>
    </row>
    <row r="5969" spans="1:1">
      <c r="A5969" s="1"/>
    </row>
    <row r="5970" spans="1:1">
      <c r="A5970" s="1"/>
    </row>
    <row r="5971" spans="1:1">
      <c r="A5971" s="1"/>
    </row>
    <row r="5972" spans="1:1">
      <c r="A5972" s="1"/>
    </row>
    <row r="5973" spans="1:1">
      <c r="A5973" s="1"/>
    </row>
    <row r="5974" spans="1:1">
      <c r="A5974" s="1"/>
    </row>
    <row r="5975" spans="1:1">
      <c r="A5975" s="1"/>
    </row>
    <row r="5976" spans="1:1">
      <c r="A5976" s="1"/>
    </row>
    <row r="5977" spans="1:1">
      <c r="A5977" s="1"/>
    </row>
    <row r="5978" spans="1:1">
      <c r="A5978" s="1"/>
    </row>
    <row r="5979" spans="1:1">
      <c r="A5979" s="1"/>
    </row>
    <row r="5980" spans="1:1">
      <c r="A5980" s="1"/>
    </row>
    <row r="5981" spans="1:1">
      <c r="A5981" s="1"/>
    </row>
    <row r="5982" spans="1:1">
      <c r="A5982" s="1"/>
    </row>
    <row r="5983" spans="1:1">
      <c r="A5983" s="1"/>
    </row>
    <row r="5984" spans="1:1">
      <c r="A5984" s="1"/>
    </row>
    <row r="5985" spans="1:1">
      <c r="A5985" s="1"/>
    </row>
    <row r="5986" spans="1:1">
      <c r="A5986" s="1"/>
    </row>
    <row r="5987" spans="1:1">
      <c r="A5987" s="1"/>
    </row>
    <row r="5988" spans="1:1">
      <c r="A5988" s="1"/>
    </row>
    <row r="5989" spans="1:1">
      <c r="A5989" s="1"/>
    </row>
    <row r="5990" spans="1:1">
      <c r="A5990" s="1"/>
    </row>
    <row r="5991" spans="1:1">
      <c r="A5991" s="1"/>
    </row>
    <row r="5992" spans="1:1">
      <c r="A5992" s="1"/>
    </row>
    <row r="5993" spans="1:1">
      <c r="A5993" s="1"/>
    </row>
    <row r="5994" spans="1:1">
      <c r="A5994" s="1"/>
    </row>
    <row r="5995" spans="1:1">
      <c r="A5995" s="1"/>
    </row>
    <row r="5996" spans="1:1">
      <c r="A5996" s="1"/>
    </row>
    <row r="5997" spans="1:1">
      <c r="A5997" s="1"/>
    </row>
    <row r="5998" spans="1:1">
      <c r="A5998" s="1"/>
    </row>
    <row r="5999" spans="1:1">
      <c r="A5999" s="1"/>
    </row>
    <row r="6000" spans="1:1">
      <c r="A6000" s="1"/>
    </row>
    <row r="6001" spans="1:1">
      <c r="A6001" s="1"/>
    </row>
    <row r="6002" spans="1:1">
      <c r="A6002" s="1"/>
    </row>
    <row r="6003" spans="1:1">
      <c r="A6003" s="1"/>
    </row>
    <row r="6004" spans="1:1">
      <c r="A6004" s="1"/>
    </row>
    <row r="6005" spans="1:1">
      <c r="A6005" s="1"/>
    </row>
    <row r="6006" spans="1:1">
      <c r="A6006" s="1"/>
    </row>
    <row r="6007" spans="1:1">
      <c r="A6007" s="1"/>
    </row>
    <row r="6008" spans="1:1">
      <c r="A6008" s="1"/>
    </row>
    <row r="6009" spans="1:1">
      <c r="A6009" s="1"/>
    </row>
    <row r="6010" spans="1:1">
      <c r="A6010" s="1"/>
    </row>
    <row r="6011" spans="1:1">
      <c r="A6011" s="1"/>
    </row>
    <row r="6012" spans="1:1">
      <c r="A6012" s="1"/>
    </row>
    <row r="6013" spans="1:1">
      <c r="A6013" s="1"/>
    </row>
    <row r="6014" spans="1:1">
      <c r="A6014" s="1"/>
    </row>
    <row r="6015" spans="1:1">
      <c r="A6015" s="1"/>
    </row>
    <row r="6016" spans="1:1">
      <c r="A6016" s="1"/>
    </row>
    <row r="6017" spans="1:1">
      <c r="A6017" s="1"/>
    </row>
    <row r="6018" spans="1:1">
      <c r="A6018" s="1"/>
    </row>
    <row r="6019" spans="1:1">
      <c r="A6019" s="1"/>
    </row>
    <row r="6020" spans="1:1">
      <c r="A6020" s="1"/>
    </row>
    <row r="6021" spans="1:1">
      <c r="A6021" s="1"/>
    </row>
    <row r="6022" spans="1:1">
      <c r="A6022" s="1"/>
    </row>
    <row r="6023" spans="1:1">
      <c r="A6023" s="1"/>
    </row>
    <row r="6024" spans="1:1">
      <c r="A6024" s="1"/>
    </row>
    <row r="6025" spans="1:1">
      <c r="A6025" s="1"/>
    </row>
    <row r="6026" spans="1:1">
      <c r="A6026" s="1"/>
    </row>
    <row r="6027" spans="1:1">
      <c r="A6027" s="1"/>
    </row>
    <row r="6028" spans="1:1">
      <c r="A6028" s="1"/>
    </row>
    <row r="6029" spans="1:1">
      <c r="A6029" s="1"/>
    </row>
    <row r="6030" spans="1:1">
      <c r="A6030" s="1"/>
    </row>
    <row r="6031" spans="1:1">
      <c r="A6031" s="1"/>
    </row>
    <row r="6032" spans="1:1">
      <c r="A6032" s="1"/>
    </row>
    <row r="6033" spans="1:1">
      <c r="A6033" s="1"/>
    </row>
    <row r="6034" spans="1:1">
      <c r="A6034" s="1"/>
    </row>
    <row r="6035" spans="1:1">
      <c r="A6035" s="1"/>
    </row>
    <row r="6036" spans="1:1">
      <c r="A6036" s="1"/>
    </row>
    <row r="6037" spans="1:1">
      <c r="A6037" s="1"/>
    </row>
    <row r="6038" spans="1:1">
      <c r="A6038" s="1"/>
    </row>
    <row r="6039" spans="1:1">
      <c r="A6039" s="1"/>
    </row>
    <row r="6040" spans="1:1">
      <c r="A6040" s="1"/>
    </row>
    <row r="6041" spans="1:1">
      <c r="A6041" s="1"/>
    </row>
    <row r="6042" spans="1:1">
      <c r="A6042" s="1"/>
    </row>
    <row r="6043" spans="1:1">
      <c r="A6043" s="1"/>
    </row>
    <row r="6044" spans="1:1">
      <c r="A6044" s="1"/>
    </row>
    <row r="6045" spans="1:1">
      <c r="A6045" s="1"/>
    </row>
    <row r="6046" spans="1:1">
      <c r="A6046" s="1"/>
    </row>
    <row r="6047" spans="1:1">
      <c r="A6047" s="1"/>
    </row>
    <row r="6048" spans="1:1">
      <c r="A6048" s="1"/>
    </row>
    <row r="6049" spans="1:1">
      <c r="A6049" s="1"/>
    </row>
    <row r="6050" spans="1:1">
      <c r="A6050" s="1"/>
    </row>
    <row r="6051" spans="1:1">
      <c r="A6051" s="1"/>
    </row>
    <row r="6052" spans="1:1">
      <c r="A6052" s="1"/>
    </row>
    <row r="6053" spans="1:1">
      <c r="A6053" s="1"/>
    </row>
    <row r="6054" spans="1:1">
      <c r="A6054" s="1"/>
    </row>
    <row r="6055" spans="1:1">
      <c r="A6055" s="1"/>
    </row>
    <row r="6056" spans="1:1">
      <c r="A6056" s="1"/>
    </row>
    <row r="6057" spans="1:1">
      <c r="A6057" s="1"/>
    </row>
    <row r="6058" spans="1:1">
      <c r="A6058" s="1"/>
    </row>
    <row r="6059" spans="1:1">
      <c r="A6059" s="1"/>
    </row>
    <row r="6060" spans="1:1">
      <c r="A6060" s="1"/>
    </row>
    <row r="6061" spans="1:1">
      <c r="A6061" s="1"/>
    </row>
    <row r="6062" spans="1:1">
      <c r="A6062" s="1"/>
    </row>
    <row r="6063" spans="1:1">
      <c r="A6063" s="1"/>
    </row>
    <row r="6064" spans="1:1">
      <c r="A6064" s="1"/>
    </row>
    <row r="6065" spans="1:1">
      <c r="A6065" s="1"/>
    </row>
    <row r="6066" spans="1:1">
      <c r="A6066" s="1"/>
    </row>
    <row r="6067" spans="1:1">
      <c r="A6067" s="1"/>
    </row>
    <row r="6068" spans="1:1">
      <c r="A6068" s="1"/>
    </row>
    <row r="6069" spans="1:1">
      <c r="A6069" s="1"/>
    </row>
    <row r="6070" spans="1:1">
      <c r="A6070" s="1"/>
    </row>
    <row r="6071" spans="1:1">
      <c r="A6071" s="1"/>
    </row>
    <row r="6072" spans="1:1">
      <c r="A6072" s="1"/>
    </row>
    <row r="6073" spans="1:1">
      <c r="A6073" s="1"/>
    </row>
    <row r="6074" spans="1:1">
      <c r="A6074" s="1"/>
    </row>
    <row r="6075" spans="1:1">
      <c r="A6075" s="1"/>
    </row>
    <row r="6076" spans="1:1">
      <c r="A6076" s="1"/>
    </row>
    <row r="6077" spans="1:1">
      <c r="A6077" s="1"/>
    </row>
    <row r="6078" spans="1:1">
      <c r="A6078" s="1"/>
    </row>
    <row r="6079" spans="1:1">
      <c r="A6079" s="1"/>
    </row>
    <row r="6080" spans="1:1">
      <c r="A6080" s="1"/>
    </row>
    <row r="6081" spans="1:1">
      <c r="A6081" s="1"/>
    </row>
    <row r="6082" spans="1:1">
      <c r="A6082" s="1"/>
    </row>
    <row r="6083" spans="1:1">
      <c r="A6083" s="1"/>
    </row>
    <row r="6084" spans="1:1">
      <c r="A6084" s="1"/>
    </row>
    <row r="6085" spans="1:1">
      <c r="A6085" s="1"/>
    </row>
    <row r="6086" spans="1:1">
      <c r="A6086" s="1"/>
    </row>
    <row r="6087" spans="1:1">
      <c r="A6087" s="1"/>
    </row>
    <row r="6088" spans="1:1">
      <c r="A6088" s="1"/>
    </row>
    <row r="6089" spans="1:1">
      <c r="A6089" s="1"/>
    </row>
    <row r="6090" spans="1:1">
      <c r="A6090" s="1"/>
    </row>
    <row r="6091" spans="1:1">
      <c r="A6091" s="1"/>
    </row>
    <row r="6092" spans="1:1">
      <c r="A6092" s="1"/>
    </row>
    <row r="6093" spans="1:1">
      <c r="A6093" s="1"/>
    </row>
    <row r="6094" spans="1:1">
      <c r="A6094" s="1"/>
    </row>
    <row r="6095" spans="1:1">
      <c r="A6095" s="1"/>
    </row>
    <row r="6096" spans="1:1">
      <c r="A6096" s="1"/>
    </row>
    <row r="6097" spans="1:1">
      <c r="A6097" s="1"/>
    </row>
    <row r="6098" spans="1:1">
      <c r="A6098" s="1"/>
    </row>
    <row r="6099" spans="1:1">
      <c r="A6099" s="1"/>
    </row>
    <row r="6100" spans="1:1">
      <c r="A6100" s="1"/>
    </row>
    <row r="6101" spans="1:1">
      <c r="A6101" s="1"/>
    </row>
    <row r="6102" spans="1:1">
      <c r="A6102" s="1"/>
    </row>
    <row r="6103" spans="1:1">
      <c r="A6103" s="1"/>
    </row>
    <row r="6104" spans="1:1">
      <c r="A6104" s="1"/>
    </row>
    <row r="6105" spans="1:1">
      <c r="A6105" s="1"/>
    </row>
    <row r="6106" spans="1:1">
      <c r="A6106" s="1"/>
    </row>
    <row r="6107" spans="1:1">
      <c r="A6107" s="1"/>
    </row>
    <row r="6108" spans="1:1">
      <c r="A6108" s="1"/>
    </row>
    <row r="6109" spans="1:1">
      <c r="A6109" s="1"/>
    </row>
    <row r="6110" spans="1:1">
      <c r="A6110" s="1"/>
    </row>
    <row r="6111" spans="1:1">
      <c r="A6111" s="1"/>
    </row>
    <row r="6112" spans="1:1">
      <c r="A6112" s="1"/>
    </row>
    <row r="6113" spans="1:1">
      <c r="A6113" s="1"/>
    </row>
    <row r="6114" spans="1:1">
      <c r="A6114" s="1"/>
    </row>
    <row r="6115" spans="1:1">
      <c r="A6115" s="1"/>
    </row>
    <row r="6116" spans="1:1">
      <c r="A6116" s="1"/>
    </row>
    <row r="6117" spans="1:1">
      <c r="A6117" s="1"/>
    </row>
    <row r="6118" spans="1:1">
      <c r="A6118" s="1"/>
    </row>
    <row r="6119" spans="1:1">
      <c r="A6119" s="1"/>
    </row>
    <row r="6120" spans="1:1">
      <c r="A6120" s="1"/>
    </row>
    <row r="6121" spans="1:1">
      <c r="A6121" s="1"/>
    </row>
    <row r="6122" spans="1:1">
      <c r="A6122" s="1"/>
    </row>
    <row r="6123" spans="1:1">
      <c r="A6123" s="1"/>
    </row>
    <row r="6124" spans="1:1">
      <c r="A6124" s="1"/>
    </row>
    <row r="6125" spans="1:1">
      <c r="A6125" s="1"/>
    </row>
    <row r="6126" spans="1:1">
      <c r="A6126" s="1"/>
    </row>
    <row r="6127" spans="1:1">
      <c r="A6127" s="1"/>
    </row>
    <row r="6128" spans="1:1">
      <c r="A6128" s="1"/>
    </row>
    <row r="6129" spans="1:1">
      <c r="A6129" s="1"/>
    </row>
    <row r="6130" spans="1:1">
      <c r="A6130" s="1"/>
    </row>
    <row r="6131" spans="1:1">
      <c r="A6131" s="1"/>
    </row>
    <row r="6132" spans="1:1">
      <c r="A6132" s="1"/>
    </row>
    <row r="6133" spans="1:1">
      <c r="A6133" s="1"/>
    </row>
    <row r="6134" spans="1:1">
      <c r="A6134" s="1"/>
    </row>
    <row r="6135" spans="1:1">
      <c r="A6135" s="1"/>
    </row>
    <row r="6136" spans="1:1">
      <c r="A6136" s="1"/>
    </row>
    <row r="6137" spans="1:1">
      <c r="A6137" s="1"/>
    </row>
    <row r="6138" spans="1:1">
      <c r="A6138" s="1"/>
    </row>
    <row r="6139" spans="1:1">
      <c r="A6139" s="1"/>
    </row>
    <row r="6140" spans="1:1">
      <c r="A6140" s="1"/>
    </row>
    <row r="6141" spans="1:1">
      <c r="A6141" s="1"/>
    </row>
    <row r="6142" spans="1:1">
      <c r="A6142" s="1"/>
    </row>
    <row r="6143" spans="1:1">
      <c r="A6143" s="1"/>
    </row>
    <row r="6144" spans="1:1">
      <c r="A6144" s="1"/>
    </row>
    <row r="6145" spans="1:1">
      <c r="A6145" s="1"/>
    </row>
    <row r="6146" spans="1:1">
      <c r="A6146" s="1"/>
    </row>
    <row r="6147" spans="1:1">
      <c r="A6147" s="1"/>
    </row>
    <row r="6148" spans="1:1">
      <c r="A6148" s="1"/>
    </row>
    <row r="6149" spans="1:1">
      <c r="A6149" s="1"/>
    </row>
    <row r="6150" spans="1:1">
      <c r="A6150" s="1"/>
    </row>
    <row r="6151" spans="1:1">
      <c r="A6151" s="1"/>
    </row>
    <row r="6152" spans="1:1">
      <c r="A6152" s="1"/>
    </row>
    <row r="6153" spans="1:1">
      <c r="A6153" s="1"/>
    </row>
    <row r="6154" spans="1:1">
      <c r="A6154" s="1"/>
    </row>
    <row r="6155" spans="1:1">
      <c r="A6155" s="1"/>
    </row>
    <row r="6156" spans="1:1">
      <c r="A6156" s="1"/>
    </row>
    <row r="6157" spans="1:1">
      <c r="A6157" s="1"/>
    </row>
    <row r="6158" spans="1:1">
      <c r="A6158" s="1"/>
    </row>
    <row r="6159" spans="1:1">
      <c r="A6159" s="1"/>
    </row>
    <row r="6160" spans="1:1">
      <c r="A6160" s="1"/>
    </row>
    <row r="6161" spans="1:1">
      <c r="A6161" s="1"/>
    </row>
    <row r="6162" spans="1:1">
      <c r="A6162" s="1"/>
    </row>
    <row r="6163" spans="1:1">
      <c r="A6163" s="1"/>
    </row>
    <row r="6164" spans="1:1">
      <c r="A6164" s="1"/>
    </row>
    <row r="6165" spans="1:1">
      <c r="A6165" s="1"/>
    </row>
    <row r="6166" spans="1:1">
      <c r="A6166" s="1"/>
    </row>
    <row r="6167" spans="1:1">
      <c r="A6167" s="1"/>
    </row>
    <row r="6168" spans="1:1">
      <c r="A6168" s="1"/>
    </row>
    <row r="6169" spans="1:1">
      <c r="A6169" s="1"/>
    </row>
    <row r="6170" spans="1:1">
      <c r="A6170" s="1"/>
    </row>
    <row r="6171" spans="1:1">
      <c r="A6171" s="1"/>
    </row>
    <row r="6172" spans="1:1">
      <c r="A6172" s="1"/>
    </row>
    <row r="6173" spans="1:1">
      <c r="A6173" s="1"/>
    </row>
    <row r="6174" spans="1:1">
      <c r="A6174" s="1"/>
    </row>
    <row r="6175" spans="1:1">
      <c r="A6175" s="1"/>
    </row>
    <row r="6176" spans="1:1">
      <c r="A6176" s="1"/>
    </row>
    <row r="6177" spans="1:1">
      <c r="A6177" s="1"/>
    </row>
    <row r="6178" spans="1:1">
      <c r="A6178" s="1"/>
    </row>
    <row r="6179" spans="1:1">
      <c r="A6179" s="1"/>
    </row>
    <row r="6180" spans="1:1">
      <c r="A6180" s="1"/>
    </row>
    <row r="6181" spans="1:1">
      <c r="A6181" s="1"/>
    </row>
    <row r="6182" spans="1:1">
      <c r="A6182" s="1"/>
    </row>
    <row r="6183" spans="1:1">
      <c r="A6183" s="1"/>
    </row>
    <row r="6184" spans="1:1">
      <c r="A6184" s="1"/>
    </row>
    <row r="6185" spans="1:1">
      <c r="A6185" s="1"/>
    </row>
    <row r="6186" spans="1:1">
      <c r="A6186" s="1"/>
    </row>
    <row r="6187" spans="1:1">
      <c r="A6187" s="1"/>
    </row>
    <row r="6188" spans="1:1">
      <c r="A6188" s="1"/>
    </row>
    <row r="6189" spans="1:1">
      <c r="A6189" s="1"/>
    </row>
    <row r="6190" spans="1:1">
      <c r="A6190" s="1"/>
    </row>
    <row r="6191" spans="1:1">
      <c r="A6191" s="1"/>
    </row>
    <row r="6192" spans="1:1">
      <c r="A6192" s="1"/>
    </row>
    <row r="6193" spans="1:1">
      <c r="A6193" s="1"/>
    </row>
    <row r="6194" spans="1:1">
      <c r="A6194" s="1"/>
    </row>
    <row r="6195" spans="1:1">
      <c r="A6195" s="1"/>
    </row>
    <row r="6196" spans="1:1">
      <c r="A6196" s="1"/>
    </row>
    <row r="6197" spans="1:1">
      <c r="A6197" s="1"/>
    </row>
    <row r="6198" spans="1:1">
      <c r="A6198" s="1"/>
    </row>
    <row r="6199" spans="1:1">
      <c r="A6199" s="1"/>
    </row>
    <row r="6200" spans="1:1">
      <c r="A6200" s="1"/>
    </row>
    <row r="6201" spans="1:1">
      <c r="A6201" s="1"/>
    </row>
    <row r="6202" spans="1:1">
      <c r="A6202" s="1"/>
    </row>
    <row r="6203" spans="1:1">
      <c r="A6203" s="1"/>
    </row>
    <row r="6204" spans="1:1">
      <c r="A6204" s="1"/>
    </row>
    <row r="6205" spans="1:1">
      <c r="A6205" s="1"/>
    </row>
    <row r="6206" spans="1:1">
      <c r="A6206" s="1"/>
    </row>
    <row r="6207" spans="1:1">
      <c r="A6207" s="1"/>
    </row>
    <row r="6208" spans="1:1">
      <c r="A6208" s="1"/>
    </row>
    <row r="6209" spans="1:1">
      <c r="A6209" s="1"/>
    </row>
    <row r="6210" spans="1:1">
      <c r="A6210" s="1"/>
    </row>
    <row r="6211" spans="1:1">
      <c r="A6211" s="1"/>
    </row>
    <row r="6212" spans="1:1">
      <c r="A6212" s="1"/>
    </row>
    <row r="6213" spans="1:1">
      <c r="A6213" s="1"/>
    </row>
    <row r="6214" spans="1:1">
      <c r="A6214" s="1"/>
    </row>
    <row r="6215" spans="1:1">
      <c r="A6215" s="1"/>
    </row>
    <row r="6216" spans="1:1">
      <c r="A6216" s="1"/>
    </row>
    <row r="6217" spans="1:1">
      <c r="A6217" s="1"/>
    </row>
    <row r="6218" spans="1:1">
      <c r="A6218" s="1"/>
    </row>
    <row r="6219" spans="1:1">
      <c r="A6219" s="1"/>
    </row>
    <row r="6220" spans="1:1">
      <c r="A6220" s="1"/>
    </row>
    <row r="6221" spans="1:1">
      <c r="A6221" s="1"/>
    </row>
    <row r="6222" spans="1:1">
      <c r="A6222" s="1"/>
    </row>
    <row r="6223" spans="1:1">
      <c r="A6223" s="1"/>
    </row>
    <row r="6224" spans="1:1">
      <c r="A6224" s="1"/>
    </row>
    <row r="6225" spans="1:1">
      <c r="A6225" s="1"/>
    </row>
    <row r="6226" spans="1:1">
      <c r="A6226" s="1"/>
    </row>
    <row r="6227" spans="1:1">
      <c r="A6227" s="1"/>
    </row>
    <row r="6228" spans="1:1">
      <c r="A6228" s="1"/>
    </row>
    <row r="6229" spans="1:1">
      <c r="A6229" s="1"/>
    </row>
    <row r="6230" spans="1:1">
      <c r="A6230" s="1"/>
    </row>
    <row r="6231" spans="1:1">
      <c r="A6231" s="1"/>
    </row>
    <row r="6232" spans="1:1">
      <c r="A6232" s="1"/>
    </row>
    <row r="6233" spans="1:1">
      <c r="A6233" s="1"/>
    </row>
    <row r="6234" spans="1:1">
      <c r="A6234" s="1"/>
    </row>
    <row r="6235" spans="1:1">
      <c r="A6235" s="1"/>
    </row>
    <row r="6236" spans="1:1">
      <c r="A6236" s="1"/>
    </row>
    <row r="6237" spans="1:1">
      <c r="A6237" s="1"/>
    </row>
    <row r="6238" spans="1:1">
      <c r="A6238" s="1"/>
    </row>
    <row r="6239" spans="1:1">
      <c r="A6239" s="1"/>
    </row>
    <row r="6240" spans="1:1">
      <c r="A6240" s="1"/>
    </row>
    <row r="6241" spans="1:1">
      <c r="A6241" s="1"/>
    </row>
    <row r="6242" spans="1:1">
      <c r="A6242" s="1"/>
    </row>
    <row r="6243" spans="1:1">
      <c r="A6243" s="1"/>
    </row>
    <row r="6244" spans="1:1">
      <c r="A6244" s="1"/>
    </row>
    <row r="6245" spans="1:1">
      <c r="A6245" s="1"/>
    </row>
    <row r="6246" spans="1:1">
      <c r="A6246" s="1"/>
    </row>
    <row r="6247" spans="1:1">
      <c r="A6247" s="1"/>
    </row>
    <row r="6248" spans="1:1">
      <c r="A6248" s="1"/>
    </row>
    <row r="6249" spans="1:1">
      <c r="A6249" s="1"/>
    </row>
    <row r="6250" spans="1:1">
      <c r="A6250" s="1"/>
    </row>
    <row r="6251" spans="1:1">
      <c r="A6251" s="1"/>
    </row>
    <row r="6252" spans="1:1">
      <c r="A6252" s="1"/>
    </row>
    <row r="6253" spans="1:1">
      <c r="A6253" s="1"/>
    </row>
    <row r="6254" spans="1:1">
      <c r="A6254" s="1"/>
    </row>
    <row r="6255" spans="1:1">
      <c r="A6255" s="1"/>
    </row>
    <row r="6256" spans="1:1">
      <c r="A6256" s="1"/>
    </row>
    <row r="6257" spans="1:1">
      <c r="A6257" s="1"/>
    </row>
    <row r="6258" spans="1:1">
      <c r="A6258" s="1"/>
    </row>
    <row r="6259" spans="1:1">
      <c r="A6259" s="1"/>
    </row>
    <row r="6260" spans="1:1">
      <c r="A6260" s="1"/>
    </row>
    <row r="6261" spans="1:1">
      <c r="A6261" s="1"/>
    </row>
    <row r="6262" spans="1:1">
      <c r="A6262" s="1"/>
    </row>
    <row r="6263" spans="1:1">
      <c r="A6263" s="1"/>
    </row>
    <row r="6264" spans="1:1">
      <c r="A6264" s="1"/>
    </row>
    <row r="6265" spans="1:1">
      <c r="A6265" s="1"/>
    </row>
    <row r="6266" spans="1:1">
      <c r="A6266" s="1"/>
    </row>
    <row r="6267" spans="1:1">
      <c r="A6267" s="1"/>
    </row>
    <row r="6268" spans="1:1">
      <c r="A6268" s="1"/>
    </row>
    <row r="6269" spans="1:1">
      <c r="A6269" s="1"/>
    </row>
    <row r="6270" spans="1:1">
      <c r="A6270" s="1"/>
    </row>
    <row r="6271" spans="1:1">
      <c r="A6271" s="1"/>
    </row>
    <row r="6272" spans="1:1">
      <c r="A6272" s="1"/>
    </row>
    <row r="6273" spans="1:1">
      <c r="A6273" s="1"/>
    </row>
    <row r="6274" spans="1:1">
      <c r="A6274" s="1"/>
    </row>
    <row r="6275" spans="1:1">
      <c r="A6275" s="1"/>
    </row>
    <row r="6276" spans="1:1">
      <c r="A6276" s="1"/>
    </row>
    <row r="6277" spans="1:1">
      <c r="A6277" s="1"/>
    </row>
    <row r="6278" spans="1:1">
      <c r="A6278" s="1"/>
    </row>
    <row r="6279" spans="1:1">
      <c r="A6279" s="1"/>
    </row>
    <row r="6280" spans="1:1">
      <c r="A6280" s="1"/>
    </row>
    <row r="6281" spans="1:1">
      <c r="A6281" s="1"/>
    </row>
    <row r="6282" spans="1:1">
      <c r="A6282" s="1"/>
    </row>
    <row r="6283" spans="1:1">
      <c r="A6283" s="1"/>
    </row>
    <row r="6284" spans="1:1">
      <c r="A6284" s="1"/>
    </row>
    <row r="6285" spans="1:1">
      <c r="A6285" s="1"/>
    </row>
    <row r="6286" spans="1:1">
      <c r="A6286" s="1"/>
    </row>
    <row r="6287" spans="1:1">
      <c r="A6287" s="1"/>
    </row>
    <row r="6288" spans="1:1">
      <c r="A6288" s="1"/>
    </row>
    <row r="6289" spans="1:1">
      <c r="A6289" s="1"/>
    </row>
    <row r="6290" spans="1:1">
      <c r="A6290" s="1"/>
    </row>
    <row r="6291" spans="1:1">
      <c r="A6291" s="1"/>
    </row>
    <row r="6292" spans="1:1">
      <c r="A6292" s="1"/>
    </row>
    <row r="6293" spans="1:1">
      <c r="A6293" s="1"/>
    </row>
    <row r="6294" spans="1:1">
      <c r="A6294" s="1"/>
    </row>
    <row r="6295" spans="1:1">
      <c r="A6295" s="1"/>
    </row>
    <row r="6296" spans="1:1">
      <c r="A6296" s="1"/>
    </row>
    <row r="6297" spans="1:1">
      <c r="A6297" s="1"/>
    </row>
    <row r="6298" spans="1:1">
      <c r="A6298" s="1"/>
    </row>
    <row r="6299" spans="1:1">
      <c r="A6299" s="1"/>
    </row>
    <row r="6300" spans="1:1">
      <c r="A6300" s="1"/>
    </row>
    <row r="6301" spans="1:1">
      <c r="A6301" s="1"/>
    </row>
    <row r="6302" spans="1:1">
      <c r="A6302" s="1"/>
    </row>
    <row r="6303" spans="1:1">
      <c r="A6303" s="1"/>
    </row>
    <row r="6304" spans="1:1">
      <c r="A6304" s="1"/>
    </row>
    <row r="6305" spans="1:1">
      <c r="A6305" s="1"/>
    </row>
    <row r="6306" spans="1:1">
      <c r="A6306" s="1"/>
    </row>
    <row r="6307" spans="1:1">
      <c r="A6307" s="1"/>
    </row>
    <row r="6308" spans="1:1">
      <c r="A6308" s="1"/>
    </row>
    <row r="6309" spans="1:1">
      <c r="A6309" s="1"/>
    </row>
    <row r="6310" spans="1:1">
      <c r="A6310" s="1"/>
    </row>
    <row r="6311" spans="1:1">
      <c r="A6311" s="1"/>
    </row>
    <row r="6312" spans="1:1">
      <c r="A6312" s="1"/>
    </row>
    <row r="6313" spans="1:1">
      <c r="A6313" s="1"/>
    </row>
    <row r="6314" spans="1:1">
      <c r="A6314" s="1"/>
    </row>
    <row r="6315" spans="1:1">
      <c r="A6315" s="1"/>
    </row>
    <row r="6316" spans="1:1">
      <c r="A6316" s="1"/>
    </row>
    <row r="6317" spans="1:1">
      <c r="A6317" s="1"/>
    </row>
    <row r="6318" spans="1:1">
      <c r="A6318" s="1"/>
    </row>
    <row r="6319" spans="1:1">
      <c r="A6319" s="1"/>
    </row>
    <row r="6320" spans="1:1">
      <c r="A6320" s="1"/>
    </row>
    <row r="6321" spans="1:1">
      <c r="A6321" s="1"/>
    </row>
    <row r="6322" spans="1:1">
      <c r="A6322" s="1"/>
    </row>
    <row r="6323" spans="1:1">
      <c r="A6323" s="1"/>
    </row>
    <row r="6324" spans="1:1">
      <c r="A6324" s="1"/>
    </row>
    <row r="6325" spans="1:1">
      <c r="A6325" s="1"/>
    </row>
    <row r="6326" spans="1:1">
      <c r="A6326" s="1"/>
    </row>
    <row r="6327" spans="1:1">
      <c r="A6327" s="1"/>
    </row>
    <row r="6328" spans="1:1">
      <c r="A6328" s="1"/>
    </row>
    <row r="6329" spans="1:1">
      <c r="A6329" s="1"/>
    </row>
    <row r="6330" spans="1:1">
      <c r="A6330" s="1"/>
    </row>
    <row r="6331" spans="1:1">
      <c r="A6331" s="1"/>
    </row>
    <row r="6332" spans="1:1">
      <c r="A6332" s="1"/>
    </row>
    <row r="6333" spans="1:1">
      <c r="A6333" s="1"/>
    </row>
    <row r="6334" spans="1:1">
      <c r="A6334" s="1"/>
    </row>
    <row r="6335" spans="1:1">
      <c r="A6335" s="1"/>
    </row>
    <row r="6336" spans="1:1">
      <c r="A6336" s="1"/>
    </row>
    <row r="6337" spans="1:1">
      <c r="A6337" s="1"/>
    </row>
    <row r="6338" spans="1:1">
      <c r="A6338" s="1"/>
    </row>
    <row r="6339" spans="1:1">
      <c r="A6339" s="1"/>
    </row>
    <row r="6340" spans="1:1">
      <c r="A6340" s="1"/>
    </row>
    <row r="6341" spans="1:1">
      <c r="A6341" s="1"/>
    </row>
    <row r="6342" spans="1:1">
      <c r="A6342" s="1"/>
    </row>
    <row r="6343" spans="1:1">
      <c r="A6343" s="1"/>
    </row>
    <row r="6344" spans="1:1">
      <c r="A6344" s="1"/>
    </row>
    <row r="6345" spans="1:1">
      <c r="A6345" s="1"/>
    </row>
    <row r="6346" spans="1:1">
      <c r="A6346" s="1"/>
    </row>
    <row r="6347" spans="1:1">
      <c r="A6347" s="1"/>
    </row>
    <row r="6348" spans="1:1">
      <c r="A6348" s="1"/>
    </row>
    <row r="6349" spans="1:1">
      <c r="A6349" s="1"/>
    </row>
    <row r="6350" spans="1:1">
      <c r="A6350" s="1"/>
    </row>
    <row r="6351" spans="1:1">
      <c r="A6351" s="1"/>
    </row>
    <row r="6352" spans="1:1">
      <c r="A6352" s="1"/>
    </row>
    <row r="6353" spans="1:1">
      <c r="A6353" s="1"/>
    </row>
    <row r="6354" spans="1:1">
      <c r="A6354" s="1"/>
    </row>
    <row r="6355" spans="1:1">
      <c r="A6355" s="1"/>
    </row>
    <row r="6356" spans="1:1">
      <c r="A6356" s="1"/>
    </row>
    <row r="6357" spans="1:1">
      <c r="A6357" s="1"/>
    </row>
    <row r="6358" spans="1:1">
      <c r="A6358" s="1"/>
    </row>
    <row r="6359" spans="1:1">
      <c r="A6359" s="1"/>
    </row>
    <row r="6360" spans="1:1">
      <c r="A6360" s="1"/>
    </row>
    <row r="6361" spans="1:1">
      <c r="A6361" s="1"/>
    </row>
    <row r="6362" spans="1:1">
      <c r="A6362" s="1"/>
    </row>
    <row r="6363" spans="1:1">
      <c r="A6363" s="1"/>
    </row>
    <row r="6364" spans="1:1">
      <c r="A6364" s="1"/>
    </row>
    <row r="6365" spans="1:1">
      <c r="A6365" s="1"/>
    </row>
    <row r="6366" spans="1:1">
      <c r="A6366" s="1"/>
    </row>
    <row r="6367" spans="1:1">
      <c r="A6367" s="1"/>
    </row>
    <row r="6368" spans="1:1">
      <c r="A6368" s="1"/>
    </row>
    <row r="6369" spans="1:1">
      <c r="A6369" s="1"/>
    </row>
    <row r="6370" spans="1:1">
      <c r="A6370" s="1"/>
    </row>
    <row r="6371" spans="1:1">
      <c r="A6371" s="1"/>
    </row>
    <row r="6372" spans="1:1">
      <c r="A6372" s="1"/>
    </row>
    <row r="6373" spans="1:1">
      <c r="A6373" s="1"/>
    </row>
    <row r="6374" spans="1:1">
      <c r="A6374" s="1"/>
    </row>
    <row r="6375" spans="1:1">
      <c r="A6375" s="1"/>
    </row>
    <row r="6376" spans="1:1">
      <c r="A6376" s="1"/>
    </row>
    <row r="6377" spans="1:1">
      <c r="A6377" s="1"/>
    </row>
    <row r="6378" spans="1:1">
      <c r="A6378" s="1"/>
    </row>
    <row r="6379" spans="1:1">
      <c r="A6379" s="1"/>
    </row>
    <row r="6380" spans="1:1">
      <c r="A6380" s="1"/>
    </row>
    <row r="6381" spans="1:1">
      <c r="A6381" s="1"/>
    </row>
    <row r="6382" spans="1:1">
      <c r="A6382" s="1"/>
    </row>
    <row r="6383" spans="1:1">
      <c r="A6383" s="1"/>
    </row>
    <row r="6384" spans="1:1">
      <c r="A6384" s="1"/>
    </row>
    <row r="6385" spans="1:1">
      <c r="A6385" s="1"/>
    </row>
    <row r="6386" spans="1:1">
      <c r="A6386" s="1"/>
    </row>
    <row r="6387" spans="1:1">
      <c r="A6387" s="1"/>
    </row>
    <row r="6388" spans="1:1">
      <c r="A6388" s="1"/>
    </row>
    <row r="6389" spans="1:1">
      <c r="A6389" s="1"/>
    </row>
    <row r="6390" spans="1:1">
      <c r="A6390" s="1"/>
    </row>
    <row r="6391" spans="1:1">
      <c r="A6391" s="1"/>
    </row>
    <row r="6392" spans="1:1">
      <c r="A6392" s="1"/>
    </row>
    <row r="6393" spans="1:1">
      <c r="A6393" s="1"/>
    </row>
    <row r="6394" spans="1:1">
      <c r="A6394" s="1"/>
    </row>
    <row r="6395" spans="1:1">
      <c r="A6395" s="1"/>
    </row>
    <row r="6396" spans="1:1">
      <c r="A6396" s="1"/>
    </row>
    <row r="6397" spans="1:1">
      <c r="A6397" s="1"/>
    </row>
    <row r="6398" spans="1:1">
      <c r="A6398" s="1"/>
    </row>
    <row r="6399" spans="1:1">
      <c r="A6399" s="1"/>
    </row>
    <row r="6400" spans="1:1">
      <c r="A6400" s="1"/>
    </row>
    <row r="6401" spans="1:1">
      <c r="A6401" s="1"/>
    </row>
    <row r="6402" spans="1:1">
      <c r="A6402" s="1"/>
    </row>
    <row r="6403" spans="1:1">
      <c r="A6403" s="1"/>
    </row>
    <row r="6404" spans="1:1">
      <c r="A6404" s="1"/>
    </row>
    <row r="6405" spans="1:1">
      <c r="A6405" s="1"/>
    </row>
    <row r="6406" spans="1:1">
      <c r="A6406" s="1"/>
    </row>
    <row r="6407" spans="1:1">
      <c r="A6407" s="1"/>
    </row>
    <row r="6408" spans="1:1">
      <c r="A6408" s="1"/>
    </row>
    <row r="6409" spans="1:1">
      <c r="A6409" s="1"/>
    </row>
    <row r="6410" spans="1:1">
      <c r="A6410" s="1"/>
    </row>
    <row r="6411" spans="1:1">
      <c r="A6411" s="1"/>
    </row>
    <row r="6412" spans="1:1">
      <c r="A6412" s="1"/>
    </row>
    <row r="6413" spans="1:1">
      <c r="A6413" s="1"/>
    </row>
    <row r="6414" spans="1:1">
      <c r="A6414" s="1"/>
    </row>
    <row r="6415" spans="1:1">
      <c r="A6415" s="1"/>
    </row>
    <row r="6416" spans="1:1">
      <c r="A6416" s="1"/>
    </row>
    <row r="6417" spans="1:1">
      <c r="A6417" s="1"/>
    </row>
    <row r="6418" spans="1:1">
      <c r="A6418" s="1"/>
    </row>
    <row r="6419" spans="1:1">
      <c r="A6419" s="1"/>
    </row>
    <row r="6420" spans="1:1">
      <c r="A6420" s="1"/>
    </row>
    <row r="6421" spans="1:1">
      <c r="A6421" s="1"/>
    </row>
    <row r="6422" spans="1:1">
      <c r="A6422" s="1"/>
    </row>
    <row r="6423" spans="1:1">
      <c r="A6423" s="1"/>
    </row>
    <row r="6424" spans="1:1">
      <c r="A6424" s="1"/>
    </row>
    <row r="6425" spans="1:1">
      <c r="A6425" s="1"/>
    </row>
    <row r="6426" spans="1:1">
      <c r="A6426" s="1"/>
    </row>
    <row r="6427" spans="1:1">
      <c r="A6427" s="1"/>
    </row>
    <row r="6428" spans="1:1">
      <c r="A6428" s="1"/>
    </row>
    <row r="6429" spans="1:1">
      <c r="A6429" s="1"/>
    </row>
    <row r="6430" spans="1:1">
      <c r="A6430" s="1"/>
    </row>
    <row r="6431" spans="1:1">
      <c r="A6431" s="1"/>
    </row>
    <row r="6432" spans="1:1">
      <c r="A6432" s="1"/>
    </row>
    <row r="6433" spans="1:1">
      <c r="A6433" s="1"/>
    </row>
    <row r="6434" spans="1:1">
      <c r="A6434" s="1"/>
    </row>
    <row r="6435" spans="1:1">
      <c r="A6435" s="1"/>
    </row>
    <row r="6436" spans="1:1">
      <c r="A6436" s="1"/>
    </row>
    <row r="6437" spans="1:1">
      <c r="A6437" s="1"/>
    </row>
    <row r="6438" spans="1:1">
      <c r="A6438" s="1"/>
    </row>
    <row r="6439" spans="1:1">
      <c r="A6439" s="1"/>
    </row>
    <row r="6440" spans="1:1">
      <c r="A6440" s="1"/>
    </row>
    <row r="6441" spans="1:1">
      <c r="A6441" s="1"/>
    </row>
    <row r="6442" spans="1:1">
      <c r="A6442" s="1"/>
    </row>
    <row r="6443" spans="1:1">
      <c r="A6443" s="1"/>
    </row>
    <row r="6444" spans="1:1">
      <c r="A6444" s="1"/>
    </row>
    <row r="6445" spans="1:1">
      <c r="A6445" s="1"/>
    </row>
    <row r="6446" spans="1:1">
      <c r="A6446" s="1"/>
    </row>
    <row r="6447" spans="1:1">
      <c r="A6447" s="1"/>
    </row>
    <row r="6448" spans="1:1">
      <c r="A6448" s="1"/>
    </row>
    <row r="6449" spans="1:1">
      <c r="A6449" s="1"/>
    </row>
    <row r="6450" spans="1:1">
      <c r="A6450" s="1"/>
    </row>
    <row r="6451" spans="1:1">
      <c r="A6451" s="1"/>
    </row>
    <row r="6452" spans="1:1">
      <c r="A6452" s="1"/>
    </row>
    <row r="6453" spans="1:1">
      <c r="A6453" s="1"/>
    </row>
    <row r="6454" spans="1:1">
      <c r="A6454" s="1"/>
    </row>
    <row r="6455" spans="1:1">
      <c r="A6455" s="1"/>
    </row>
    <row r="6456" spans="1:1">
      <c r="A6456" s="1"/>
    </row>
    <row r="6457" spans="1:1">
      <c r="A6457" s="1"/>
    </row>
    <row r="6458" spans="1:1">
      <c r="A6458" s="1"/>
    </row>
    <row r="6459" spans="1:1">
      <c r="A6459" s="1"/>
    </row>
    <row r="6460" spans="1:1">
      <c r="A6460" s="1"/>
    </row>
    <row r="6461" spans="1:1">
      <c r="A6461" s="1"/>
    </row>
    <row r="6462" spans="1:1">
      <c r="A6462" s="1"/>
    </row>
    <row r="6463" spans="1:1">
      <c r="A6463" s="1"/>
    </row>
    <row r="6464" spans="1:1">
      <c r="A6464" s="1"/>
    </row>
    <row r="6465" spans="1:1">
      <c r="A6465" s="1"/>
    </row>
    <row r="6466" spans="1:1">
      <c r="A6466" s="1"/>
    </row>
    <row r="6467" spans="1:1">
      <c r="A6467" s="1"/>
    </row>
    <row r="6468" spans="1:1">
      <c r="A6468" s="1"/>
    </row>
    <row r="6469" spans="1:1">
      <c r="A6469" s="1"/>
    </row>
    <row r="6470" spans="1:1">
      <c r="A6470" s="1"/>
    </row>
    <row r="6471" spans="1:1">
      <c r="A6471" s="1"/>
    </row>
    <row r="6472" spans="1:1">
      <c r="A6472" s="1"/>
    </row>
    <row r="6473" spans="1:1">
      <c r="A6473" s="1"/>
    </row>
    <row r="6474" spans="1:1">
      <c r="A6474" s="1"/>
    </row>
    <row r="6475" spans="1:1">
      <c r="A6475" s="1"/>
    </row>
    <row r="6476" spans="1:1">
      <c r="A6476" s="1"/>
    </row>
    <row r="6477" spans="1:1">
      <c r="A6477" s="1"/>
    </row>
    <row r="6478" spans="1:1">
      <c r="A6478" s="1"/>
    </row>
    <row r="6479" spans="1:1">
      <c r="A6479" s="1"/>
    </row>
    <row r="6480" spans="1:1">
      <c r="A6480" s="1"/>
    </row>
    <row r="6481" spans="1:1">
      <c r="A6481" s="1"/>
    </row>
    <row r="6482" spans="1:1">
      <c r="A6482" s="1"/>
    </row>
    <row r="6483" spans="1:1">
      <c r="A6483" s="1"/>
    </row>
    <row r="6484" spans="1:1">
      <c r="A6484" s="1"/>
    </row>
    <row r="6485" spans="1:1">
      <c r="A6485" s="1"/>
    </row>
    <row r="6486" spans="1:1">
      <c r="A6486" s="1"/>
    </row>
    <row r="6487" spans="1:1">
      <c r="A6487" s="1"/>
    </row>
    <row r="6488" spans="1:1">
      <c r="A6488" s="1"/>
    </row>
    <row r="6489" spans="1:1">
      <c r="A6489" s="1"/>
    </row>
    <row r="6490" spans="1:1">
      <c r="A6490" s="1"/>
    </row>
    <row r="6491" spans="1:1">
      <c r="A6491" s="1"/>
    </row>
    <row r="6492" spans="1:1">
      <c r="A6492" s="1"/>
    </row>
    <row r="6493" spans="1:1">
      <c r="A6493" s="1"/>
    </row>
    <row r="6494" spans="1:1">
      <c r="A6494" s="1"/>
    </row>
    <row r="6495" spans="1:1">
      <c r="A6495" s="1"/>
    </row>
    <row r="6496" spans="1:1">
      <c r="A6496" s="1"/>
    </row>
    <row r="6497" spans="1:1">
      <c r="A6497" s="1"/>
    </row>
    <row r="6498" spans="1:1">
      <c r="A6498" s="1"/>
    </row>
    <row r="6499" spans="1:1">
      <c r="A6499" s="1"/>
    </row>
    <row r="6500" spans="1:1">
      <c r="A6500" s="1"/>
    </row>
    <row r="6501" spans="1:1">
      <c r="A6501" s="1"/>
    </row>
    <row r="6502" spans="1:1">
      <c r="A6502" s="1"/>
    </row>
    <row r="6503" spans="1:1">
      <c r="A6503" s="1"/>
    </row>
    <row r="6504" spans="1:1">
      <c r="A6504" s="1"/>
    </row>
    <row r="6505" spans="1:1">
      <c r="A6505" s="1"/>
    </row>
    <row r="6506" spans="1:1">
      <c r="A6506" s="1"/>
    </row>
    <row r="6507" spans="1:1">
      <c r="A6507" s="1"/>
    </row>
    <row r="6508" spans="1:1">
      <c r="A6508" s="1"/>
    </row>
    <row r="6509" spans="1:1">
      <c r="A6509" s="1"/>
    </row>
    <row r="6510" spans="1:1">
      <c r="A6510" s="1"/>
    </row>
    <row r="6511" spans="1:1">
      <c r="A6511" s="1"/>
    </row>
    <row r="6512" spans="1:1">
      <c r="A6512" s="1"/>
    </row>
    <row r="6513" spans="1:1">
      <c r="A6513" s="1"/>
    </row>
    <row r="6514" spans="1:1">
      <c r="A6514" s="1"/>
    </row>
    <row r="6515" spans="1:1">
      <c r="A6515" s="1"/>
    </row>
    <row r="6516" spans="1:1">
      <c r="A6516" s="1"/>
    </row>
    <row r="6517" spans="1:1">
      <c r="A6517" s="1"/>
    </row>
    <row r="6518" spans="1:1">
      <c r="A6518" s="1"/>
    </row>
    <row r="6519" spans="1:1">
      <c r="A6519" s="1"/>
    </row>
    <row r="6520" spans="1:1">
      <c r="A6520" s="1"/>
    </row>
    <row r="6521" spans="1:1">
      <c r="A6521" s="1"/>
    </row>
    <row r="6522" spans="1:1">
      <c r="A6522" s="1"/>
    </row>
    <row r="6523" spans="1:1">
      <c r="A6523" s="1"/>
    </row>
    <row r="6524" spans="1:1">
      <c r="A6524" s="1"/>
    </row>
    <row r="6525" spans="1:1">
      <c r="A6525" s="1"/>
    </row>
    <row r="6526" spans="1:1">
      <c r="A6526" s="1"/>
    </row>
    <row r="6527" spans="1:1">
      <c r="A6527" s="1"/>
    </row>
    <row r="6528" spans="1:1">
      <c r="A6528" s="1"/>
    </row>
    <row r="6529" spans="1:1">
      <c r="A6529" s="1"/>
    </row>
    <row r="6530" spans="1:1">
      <c r="A6530" s="1"/>
    </row>
    <row r="6531" spans="1:1">
      <c r="A6531" s="1"/>
    </row>
    <row r="6532" spans="1:1">
      <c r="A6532" s="1"/>
    </row>
    <row r="6533" spans="1:1">
      <c r="A6533" s="1"/>
    </row>
    <row r="6534" spans="1:1">
      <c r="A6534" s="1"/>
    </row>
    <row r="6535" spans="1:1">
      <c r="A6535" s="1"/>
    </row>
    <row r="6536" spans="1:1">
      <c r="A6536" s="1"/>
    </row>
    <row r="6537" spans="1:1">
      <c r="A6537" s="1"/>
    </row>
    <row r="6538" spans="1:1">
      <c r="A6538" s="1"/>
    </row>
    <row r="6539" spans="1:1">
      <c r="A6539" s="1"/>
    </row>
    <row r="6540" spans="1:1">
      <c r="A6540" s="1"/>
    </row>
    <row r="6541" spans="1:1">
      <c r="A6541" s="1"/>
    </row>
    <row r="6542" spans="1:1">
      <c r="A6542" s="1"/>
    </row>
    <row r="6543" spans="1:1">
      <c r="A6543" s="1"/>
    </row>
    <row r="6544" spans="1:1">
      <c r="A6544" s="1"/>
    </row>
    <row r="6545" spans="1:1">
      <c r="A6545" s="1"/>
    </row>
    <row r="6546" spans="1:1">
      <c r="A6546" s="1"/>
    </row>
    <row r="6547" spans="1:1">
      <c r="A6547" s="1"/>
    </row>
    <row r="6548" spans="1:1">
      <c r="A6548" s="1"/>
    </row>
    <row r="6549" spans="1:1">
      <c r="A6549" s="1"/>
    </row>
    <row r="6550" spans="1:1">
      <c r="A6550" s="1"/>
    </row>
    <row r="6551" spans="1:1">
      <c r="A6551" s="1"/>
    </row>
    <row r="6552" spans="1:1">
      <c r="A6552" s="1"/>
    </row>
    <row r="6553" spans="1:1">
      <c r="A6553" s="1"/>
    </row>
    <row r="6554" spans="1:1">
      <c r="A6554" s="1"/>
    </row>
    <row r="6555" spans="1:1">
      <c r="A6555" s="1"/>
    </row>
    <row r="6556" spans="1:1">
      <c r="A6556" s="1"/>
    </row>
    <row r="6557" spans="1:1">
      <c r="A6557" s="1"/>
    </row>
    <row r="6558" spans="1:1">
      <c r="A6558" s="1"/>
    </row>
    <row r="6559" spans="1:1">
      <c r="A6559" s="1"/>
    </row>
    <row r="6560" spans="1:1">
      <c r="A6560" s="1"/>
    </row>
    <row r="6561" spans="1:1">
      <c r="A6561" s="1"/>
    </row>
    <row r="6562" spans="1:1">
      <c r="A6562" s="1"/>
    </row>
    <row r="6563" spans="1:1">
      <c r="A6563" s="1"/>
    </row>
    <row r="6564" spans="1:1">
      <c r="A6564" s="1"/>
    </row>
    <row r="6565" spans="1:1">
      <c r="A6565" s="1"/>
    </row>
    <row r="6566" spans="1:1">
      <c r="A6566" s="1"/>
    </row>
    <row r="6567" spans="1:1">
      <c r="A6567" s="1"/>
    </row>
    <row r="6568" spans="1:1">
      <c r="A6568" s="1"/>
    </row>
    <row r="6569" spans="1:1">
      <c r="A6569" s="1"/>
    </row>
    <row r="6570" spans="1:1">
      <c r="A6570" s="1"/>
    </row>
    <row r="6571" spans="1:1">
      <c r="A6571" s="1"/>
    </row>
    <row r="6572" spans="1:1">
      <c r="A6572" s="1"/>
    </row>
    <row r="6573" spans="1:1">
      <c r="A6573" s="1"/>
    </row>
    <row r="6574" spans="1:1">
      <c r="A6574" s="1"/>
    </row>
    <row r="6575" spans="1:1">
      <c r="A6575" s="1"/>
    </row>
    <row r="6576" spans="1:1">
      <c r="A6576" s="1"/>
    </row>
    <row r="6577" spans="1:1">
      <c r="A6577" s="1"/>
    </row>
    <row r="6578" spans="1:1">
      <c r="A6578" s="1"/>
    </row>
    <row r="6579" spans="1:1">
      <c r="A6579" s="1"/>
    </row>
    <row r="6580" spans="1:1">
      <c r="A6580" s="1"/>
    </row>
    <row r="6581" spans="1:1">
      <c r="A6581" s="1"/>
    </row>
    <row r="6582" spans="1:1">
      <c r="A6582" s="1"/>
    </row>
    <row r="6583" spans="1:1">
      <c r="A6583" s="1"/>
    </row>
    <row r="6584" spans="1:1">
      <c r="A6584" s="1"/>
    </row>
    <row r="6585" spans="1:1">
      <c r="A6585" s="1"/>
    </row>
    <row r="6586" spans="1:1">
      <c r="A6586" s="1"/>
    </row>
    <row r="6587" spans="1:1">
      <c r="A6587" s="1"/>
    </row>
    <row r="6588" spans="1:1">
      <c r="A6588" s="1"/>
    </row>
    <row r="6589" spans="1:1">
      <c r="A6589" s="1"/>
    </row>
    <row r="6590" spans="1:1">
      <c r="A6590" s="1"/>
    </row>
    <row r="6591" spans="1:1">
      <c r="A6591" s="1"/>
    </row>
    <row r="6592" spans="1:1">
      <c r="A6592" s="1"/>
    </row>
    <row r="6593" spans="1:1">
      <c r="A6593" s="1"/>
    </row>
    <row r="6594" spans="1:1">
      <c r="A6594" s="1"/>
    </row>
    <row r="6595" spans="1:1">
      <c r="A6595" s="1"/>
    </row>
    <row r="6596" spans="1:1">
      <c r="A6596" s="1"/>
    </row>
    <row r="6597" spans="1:1">
      <c r="A6597" s="1"/>
    </row>
    <row r="6598" spans="1:1">
      <c r="A6598" s="1"/>
    </row>
    <row r="6599" spans="1:1">
      <c r="A6599" s="1"/>
    </row>
    <row r="6600" spans="1:1">
      <c r="A6600" s="1"/>
    </row>
    <row r="6601" spans="1:1">
      <c r="A6601" s="1"/>
    </row>
    <row r="6602" spans="1:1">
      <c r="A6602" s="1"/>
    </row>
    <row r="6603" spans="1:1">
      <c r="A6603" s="1"/>
    </row>
    <row r="6604" spans="1:1">
      <c r="A6604" s="1"/>
    </row>
    <row r="6605" spans="1:1">
      <c r="A6605" s="1"/>
    </row>
    <row r="6606" spans="1:1">
      <c r="A6606" s="1"/>
    </row>
    <row r="6607" spans="1:1">
      <c r="A6607" s="1"/>
    </row>
    <row r="6608" spans="1:1">
      <c r="A6608" s="1"/>
    </row>
    <row r="6609" spans="1:1">
      <c r="A6609" s="1"/>
    </row>
    <row r="6610" spans="1:1">
      <c r="A6610" s="1"/>
    </row>
    <row r="6611" spans="1:1">
      <c r="A6611" s="1"/>
    </row>
    <row r="6612" spans="1:1">
      <c r="A6612" s="1"/>
    </row>
    <row r="6613" spans="1:1">
      <c r="A6613" s="1"/>
    </row>
    <row r="6614" spans="1:1">
      <c r="A6614" s="1"/>
    </row>
    <row r="6615" spans="1:1">
      <c r="A6615" s="1"/>
    </row>
    <row r="6616" spans="1:1">
      <c r="A6616" s="1"/>
    </row>
    <row r="6617" spans="1:1">
      <c r="A6617" s="1"/>
    </row>
    <row r="6618" spans="1:1">
      <c r="A6618" s="1"/>
    </row>
    <row r="6619" spans="1:1">
      <c r="A6619" s="1"/>
    </row>
    <row r="6620" spans="1:1">
      <c r="A6620" s="1"/>
    </row>
    <row r="6621" spans="1:1">
      <c r="A6621" s="1"/>
    </row>
    <row r="6622" spans="1:1">
      <c r="A6622" s="1"/>
    </row>
    <row r="6623" spans="1:1">
      <c r="A6623" s="1"/>
    </row>
    <row r="6624" spans="1:1">
      <c r="A6624" s="1"/>
    </row>
    <row r="6625" spans="1:1">
      <c r="A6625" s="1"/>
    </row>
    <row r="6626" spans="1:1">
      <c r="A6626" s="1"/>
    </row>
    <row r="6627" spans="1:1">
      <c r="A6627" s="1"/>
    </row>
    <row r="6628" spans="1:1">
      <c r="A6628" s="1"/>
    </row>
    <row r="6629" spans="1:1">
      <c r="A6629" s="1"/>
    </row>
    <row r="6630" spans="1:1">
      <c r="A6630" s="1"/>
    </row>
    <row r="6631" spans="1:1">
      <c r="A6631" s="1"/>
    </row>
    <row r="6632" spans="1:1">
      <c r="A6632" s="1"/>
    </row>
    <row r="6633" spans="1:1">
      <c r="A6633" s="1"/>
    </row>
    <row r="6634" spans="1:1">
      <c r="A6634" s="1"/>
    </row>
    <row r="6635" spans="1:1">
      <c r="A6635" s="1"/>
    </row>
    <row r="6636" spans="1:1">
      <c r="A6636" s="1"/>
    </row>
    <row r="6637" spans="1:1">
      <c r="A6637" s="1"/>
    </row>
    <row r="6638" spans="1:1">
      <c r="A6638" s="1"/>
    </row>
    <row r="6639" spans="1:1">
      <c r="A6639" s="1"/>
    </row>
    <row r="6640" spans="1:1">
      <c r="A6640" s="1"/>
    </row>
    <row r="6641" spans="1:1">
      <c r="A6641" s="1"/>
    </row>
    <row r="6642" spans="1:1">
      <c r="A6642" s="1"/>
    </row>
    <row r="6643" spans="1:1">
      <c r="A6643" s="1"/>
    </row>
    <row r="6644" spans="1:1">
      <c r="A6644" s="1"/>
    </row>
    <row r="6645" spans="1:1">
      <c r="A6645" s="1"/>
    </row>
    <row r="6646" spans="1:1">
      <c r="A6646" s="1"/>
    </row>
    <row r="6647" spans="1:1">
      <c r="A6647" s="1"/>
    </row>
    <row r="6648" spans="1:1">
      <c r="A6648" s="1"/>
    </row>
    <row r="6649" spans="1:1">
      <c r="A6649" s="1"/>
    </row>
    <row r="6650" spans="1:1">
      <c r="A6650" s="1"/>
    </row>
    <row r="6651" spans="1:1">
      <c r="A6651" s="1"/>
    </row>
    <row r="6652" spans="1:1">
      <c r="A6652" s="1"/>
    </row>
    <row r="6653" spans="1:1">
      <c r="A6653" s="1"/>
    </row>
    <row r="6654" spans="1:1">
      <c r="A6654" s="1"/>
    </row>
    <row r="6655" spans="1:1">
      <c r="A6655" s="1"/>
    </row>
    <row r="6656" spans="1:1">
      <c r="A6656" s="1"/>
    </row>
    <row r="6657" spans="1:1">
      <c r="A6657" s="1"/>
    </row>
    <row r="6658" spans="1:1">
      <c r="A6658" s="1"/>
    </row>
    <row r="6659" spans="1:1">
      <c r="A6659" s="1"/>
    </row>
    <row r="6660" spans="1:1">
      <c r="A6660" s="1"/>
    </row>
    <row r="6661" spans="1:1">
      <c r="A6661" s="1"/>
    </row>
    <row r="6662" spans="1:1">
      <c r="A6662" s="1"/>
    </row>
    <row r="6663" spans="1:1">
      <c r="A6663" s="1"/>
    </row>
    <row r="6664" spans="1:1">
      <c r="A6664" s="1"/>
    </row>
    <row r="6665" spans="1:1">
      <c r="A6665" s="1"/>
    </row>
    <row r="6666" spans="1:1">
      <c r="A6666" s="1"/>
    </row>
    <row r="6667" spans="1:1">
      <c r="A6667" s="1"/>
    </row>
    <row r="6668" spans="1:1">
      <c r="A6668" s="1"/>
    </row>
    <row r="6669" spans="1:1">
      <c r="A6669" s="1"/>
    </row>
    <row r="6670" spans="1:1">
      <c r="A6670" s="1"/>
    </row>
    <row r="6671" spans="1:1">
      <c r="A6671" s="1"/>
    </row>
    <row r="6672" spans="1:1">
      <c r="A6672" s="1"/>
    </row>
    <row r="6673" spans="1:1">
      <c r="A6673" s="1"/>
    </row>
    <row r="6674" spans="1:1">
      <c r="A6674" s="1"/>
    </row>
    <row r="6675" spans="1:1">
      <c r="A6675" s="1"/>
    </row>
    <row r="6676" spans="1:1">
      <c r="A6676" s="1"/>
    </row>
    <row r="6677" spans="1:1">
      <c r="A6677" s="1"/>
    </row>
    <row r="6678" spans="1:1">
      <c r="A6678" s="1"/>
    </row>
    <row r="6679" spans="1:1">
      <c r="A6679" s="1"/>
    </row>
    <row r="6680" spans="1:1">
      <c r="A6680" s="1"/>
    </row>
    <row r="6681" spans="1:1">
      <c r="A6681" s="1"/>
    </row>
    <row r="6682" spans="1:1">
      <c r="A6682" s="1"/>
    </row>
    <row r="6683" spans="1:1">
      <c r="A6683" s="1"/>
    </row>
    <row r="6684" spans="1:1">
      <c r="A6684" s="1"/>
    </row>
    <row r="6685" spans="1:1">
      <c r="A6685" s="1"/>
    </row>
    <row r="6686" spans="1:1">
      <c r="A6686" s="1"/>
    </row>
    <row r="6687" spans="1:1">
      <c r="A6687" s="1"/>
    </row>
    <row r="6688" spans="1:1">
      <c r="A6688" s="1"/>
    </row>
    <row r="6689" spans="1:1">
      <c r="A6689" s="1"/>
    </row>
    <row r="6690" spans="1:1">
      <c r="A6690" s="1"/>
    </row>
    <row r="6691" spans="1:1">
      <c r="A6691" s="1"/>
    </row>
    <row r="6692" spans="1:1">
      <c r="A6692" s="1"/>
    </row>
    <row r="6693" spans="1:1">
      <c r="A6693" s="1"/>
    </row>
    <row r="6694" spans="1:1">
      <c r="A6694" s="1"/>
    </row>
    <row r="6695" spans="1:1">
      <c r="A6695" s="1"/>
    </row>
    <row r="6696" spans="1:1">
      <c r="A6696" s="1"/>
    </row>
    <row r="6697" spans="1:1">
      <c r="A6697" s="1"/>
    </row>
    <row r="6698" spans="1:1">
      <c r="A6698" s="1"/>
    </row>
    <row r="6699" spans="1:1">
      <c r="A6699" s="1"/>
    </row>
    <row r="6700" spans="1:1">
      <c r="A6700" s="1"/>
    </row>
    <row r="6701" spans="1:1">
      <c r="A6701" s="1"/>
    </row>
    <row r="6702" spans="1:1">
      <c r="A6702" s="1"/>
    </row>
    <row r="6703" spans="1:1">
      <c r="A6703" s="1"/>
    </row>
    <row r="6704" spans="1:1">
      <c r="A6704" s="1"/>
    </row>
    <row r="6705" spans="1:1">
      <c r="A6705" s="1"/>
    </row>
    <row r="6706" spans="1:1">
      <c r="A6706" s="1"/>
    </row>
    <row r="6707" spans="1:1">
      <c r="A6707" s="1"/>
    </row>
    <row r="6708" spans="1:1">
      <c r="A6708" s="1"/>
    </row>
    <row r="6709" spans="1:1">
      <c r="A6709" s="1"/>
    </row>
    <row r="6710" spans="1:1">
      <c r="A6710" s="1"/>
    </row>
    <row r="6711" spans="1:1">
      <c r="A6711" s="1"/>
    </row>
    <row r="6712" spans="1:1">
      <c r="A6712" s="1"/>
    </row>
    <row r="6713" spans="1:1">
      <c r="A6713" s="1"/>
    </row>
    <row r="6714" spans="1:1">
      <c r="A6714" s="1"/>
    </row>
    <row r="6715" spans="1:1">
      <c r="A6715" s="1"/>
    </row>
    <row r="6716" spans="1:1">
      <c r="A6716" s="1"/>
    </row>
    <row r="6717" spans="1:1">
      <c r="A6717" s="1"/>
    </row>
    <row r="6718" spans="1:1">
      <c r="A6718" s="1"/>
    </row>
    <row r="6719" spans="1:1">
      <c r="A6719" s="1"/>
    </row>
    <row r="6720" spans="1:1">
      <c r="A6720" s="1"/>
    </row>
    <row r="6721" spans="1:1">
      <c r="A6721" s="1"/>
    </row>
    <row r="6722" spans="1:1">
      <c r="A6722" s="1"/>
    </row>
    <row r="6723" spans="1:1">
      <c r="A6723" s="1"/>
    </row>
    <row r="6724" spans="1:1">
      <c r="A6724" s="1"/>
    </row>
    <row r="6725" spans="1:1">
      <c r="A6725" s="1"/>
    </row>
    <row r="6726" spans="1:1">
      <c r="A6726" s="1"/>
    </row>
    <row r="6727" spans="1:1">
      <c r="A6727" s="1"/>
    </row>
    <row r="6728" spans="1:1">
      <c r="A6728" s="1"/>
    </row>
    <row r="6729" spans="1:1">
      <c r="A6729" s="1"/>
    </row>
    <row r="6730" spans="1:1">
      <c r="A6730" s="1"/>
    </row>
    <row r="6731" spans="1:1">
      <c r="A6731" s="1"/>
    </row>
    <row r="6732" spans="1:1">
      <c r="A6732" s="1"/>
    </row>
    <row r="6733" spans="1:1">
      <c r="A6733" s="1"/>
    </row>
    <row r="6734" spans="1:1">
      <c r="A6734" s="1"/>
    </row>
    <row r="6735" spans="1:1">
      <c r="A6735" s="1"/>
    </row>
    <row r="6736" spans="1:1">
      <c r="A6736" s="1"/>
    </row>
    <row r="6737" spans="1:1">
      <c r="A6737" s="1"/>
    </row>
    <row r="6738" spans="1:1">
      <c r="A6738" s="1"/>
    </row>
    <row r="6739" spans="1:1">
      <c r="A6739" s="1"/>
    </row>
    <row r="6740" spans="1:1">
      <c r="A6740" s="1"/>
    </row>
    <row r="6741" spans="1:1">
      <c r="A6741" s="1"/>
    </row>
    <row r="6742" spans="1:1">
      <c r="A6742" s="1"/>
    </row>
    <row r="6743" spans="1:1">
      <c r="A6743" s="1"/>
    </row>
    <row r="6744" spans="1:1">
      <c r="A6744" s="1"/>
    </row>
    <row r="6745" spans="1:1">
      <c r="A6745" s="1"/>
    </row>
    <row r="6746" spans="1:1">
      <c r="A6746" s="1"/>
    </row>
    <row r="6747" spans="1:1">
      <c r="A6747" s="1"/>
    </row>
    <row r="6748" spans="1:1">
      <c r="A6748" s="1"/>
    </row>
    <row r="6749" spans="1:1">
      <c r="A6749" s="1"/>
    </row>
    <row r="6750" spans="1:1">
      <c r="A6750" s="1"/>
    </row>
    <row r="6751" spans="1:1">
      <c r="A6751" s="1"/>
    </row>
    <row r="6752" spans="1:1">
      <c r="A6752" s="1"/>
    </row>
    <row r="6753" spans="1:1">
      <c r="A6753" s="1"/>
    </row>
    <row r="6754" spans="1:1">
      <c r="A6754" s="1"/>
    </row>
    <row r="6755" spans="1:1">
      <c r="A6755" s="1"/>
    </row>
    <row r="6756" spans="1:1">
      <c r="A6756" s="1"/>
    </row>
    <row r="6757" spans="1:1">
      <c r="A6757" s="1"/>
    </row>
    <row r="6758" spans="1:1">
      <c r="A6758" s="1"/>
    </row>
    <row r="6759" spans="1:1">
      <c r="A6759" s="1"/>
    </row>
    <row r="6760" spans="1:1">
      <c r="A6760" s="1"/>
    </row>
    <row r="6761" spans="1:1">
      <c r="A6761" s="1"/>
    </row>
    <row r="6762" spans="1:1">
      <c r="A6762" s="1"/>
    </row>
    <row r="6763" spans="1:1">
      <c r="A6763" s="1"/>
    </row>
    <row r="6764" spans="1:1">
      <c r="A6764" s="1"/>
    </row>
    <row r="6765" spans="1:1">
      <c r="A6765" s="1"/>
    </row>
    <row r="6766" spans="1:1">
      <c r="A6766" s="1"/>
    </row>
    <row r="6767" spans="1:1">
      <c r="A6767" s="1"/>
    </row>
    <row r="6768" spans="1:1">
      <c r="A6768" s="1"/>
    </row>
    <row r="6769" spans="1:1">
      <c r="A6769" s="1"/>
    </row>
    <row r="6770" spans="1:1">
      <c r="A6770" s="1"/>
    </row>
    <row r="6771" spans="1:1">
      <c r="A6771" s="1"/>
    </row>
    <row r="6772" spans="1:1">
      <c r="A6772" s="1"/>
    </row>
    <row r="6773" spans="1:1">
      <c r="A6773" s="1"/>
    </row>
    <row r="6774" spans="1:1">
      <c r="A6774" s="1"/>
    </row>
    <row r="6775" spans="1:1">
      <c r="A6775" s="1"/>
    </row>
    <row r="6776" spans="1:1">
      <c r="A6776" s="1"/>
    </row>
    <row r="6777" spans="1:1">
      <c r="A6777" s="1"/>
    </row>
    <row r="6778" spans="1:1">
      <c r="A6778" s="1"/>
    </row>
    <row r="6779" spans="1:1">
      <c r="A6779" s="1"/>
    </row>
    <row r="6780" spans="1:1">
      <c r="A6780" s="1"/>
    </row>
    <row r="6781" spans="1:1">
      <c r="A6781" s="1"/>
    </row>
    <row r="6782" spans="1:1">
      <c r="A6782" s="1"/>
    </row>
    <row r="6783" spans="1:1">
      <c r="A6783" s="1"/>
    </row>
    <row r="6784" spans="1:1">
      <c r="A6784" s="1"/>
    </row>
    <row r="6785" spans="1:1">
      <c r="A6785" s="1"/>
    </row>
    <row r="6786" spans="1:1">
      <c r="A6786" s="1"/>
    </row>
    <row r="6787" spans="1:1">
      <c r="A6787" s="1"/>
    </row>
    <row r="6788" spans="1:1">
      <c r="A6788" s="1"/>
    </row>
    <row r="6789" spans="1:1">
      <c r="A6789" s="1"/>
    </row>
    <row r="6790" spans="1:1">
      <c r="A6790" s="1"/>
    </row>
    <row r="6791" spans="1:1">
      <c r="A6791" s="1"/>
    </row>
    <row r="6792" spans="1:1">
      <c r="A6792" s="1"/>
    </row>
    <row r="6793" spans="1:1">
      <c r="A6793" s="1"/>
    </row>
    <row r="6794" spans="1:1">
      <c r="A6794" s="1"/>
    </row>
    <row r="6795" spans="1:1">
      <c r="A6795" s="1"/>
    </row>
    <row r="6796" spans="1:1">
      <c r="A6796" s="1"/>
    </row>
    <row r="6797" spans="1:1">
      <c r="A6797" s="1"/>
    </row>
    <row r="6798" spans="1:1">
      <c r="A6798" s="1"/>
    </row>
    <row r="6799" spans="1:1">
      <c r="A6799" s="1"/>
    </row>
    <row r="6800" spans="1:1">
      <c r="A6800" s="1"/>
    </row>
    <row r="6801" spans="1:1">
      <c r="A6801" s="1"/>
    </row>
    <row r="6802" spans="1:1">
      <c r="A6802" s="1"/>
    </row>
    <row r="6803" spans="1:1">
      <c r="A6803" s="1"/>
    </row>
    <row r="6804" spans="1:1">
      <c r="A6804" s="1"/>
    </row>
    <row r="6805" spans="1:1">
      <c r="A6805" s="1"/>
    </row>
    <row r="6806" spans="1:1">
      <c r="A6806" s="1"/>
    </row>
    <row r="6807" spans="1:1">
      <c r="A6807" s="1"/>
    </row>
    <row r="6808" spans="1:1">
      <c r="A6808" s="1"/>
    </row>
    <row r="6809" spans="1:1">
      <c r="A6809" s="1"/>
    </row>
    <row r="6810" spans="1:1">
      <c r="A6810" s="1"/>
    </row>
    <row r="6811" spans="1:1">
      <c r="A6811" s="1"/>
    </row>
    <row r="6812" spans="1:1">
      <c r="A6812" s="1"/>
    </row>
    <row r="6813" spans="1:1">
      <c r="A6813" s="1"/>
    </row>
    <row r="6814" spans="1:1">
      <c r="A6814" s="1"/>
    </row>
    <row r="6815" spans="1:1">
      <c r="A6815" s="1"/>
    </row>
    <row r="6816" spans="1:1">
      <c r="A6816" s="1"/>
    </row>
    <row r="6817" spans="1:1">
      <c r="A6817" s="1"/>
    </row>
    <row r="6818" spans="1:1">
      <c r="A6818" s="1"/>
    </row>
    <row r="6819" spans="1:1">
      <c r="A6819" s="1"/>
    </row>
    <row r="6820" spans="1:1">
      <c r="A6820" s="1"/>
    </row>
    <row r="6821" spans="1:1">
      <c r="A6821" s="1"/>
    </row>
    <row r="6822" spans="1:1">
      <c r="A6822" s="1"/>
    </row>
    <row r="6823" spans="1:1">
      <c r="A6823" s="1"/>
    </row>
    <row r="6824" spans="1:1">
      <c r="A6824" s="1"/>
    </row>
    <row r="6825" spans="1:1">
      <c r="A6825" s="1"/>
    </row>
    <row r="6826" spans="1:1">
      <c r="A6826" s="1"/>
    </row>
    <row r="6827" spans="1:1">
      <c r="A6827" s="1"/>
    </row>
    <row r="6828" spans="1:1">
      <c r="A6828" s="1"/>
    </row>
    <row r="6829" spans="1:1">
      <c r="A6829" s="1"/>
    </row>
    <row r="6830" spans="1:1">
      <c r="A6830" s="1"/>
    </row>
    <row r="6831" spans="1:1">
      <c r="A6831" s="1"/>
    </row>
    <row r="6832" spans="1:1">
      <c r="A6832" s="1"/>
    </row>
    <row r="6833" spans="1:1">
      <c r="A6833" s="1"/>
    </row>
    <row r="6834" spans="1:1">
      <c r="A6834" s="1"/>
    </row>
    <row r="6835" spans="1:1">
      <c r="A6835" s="1"/>
    </row>
    <row r="6836" spans="1:1">
      <c r="A6836" s="1"/>
    </row>
    <row r="6837" spans="1:1">
      <c r="A6837" s="1"/>
    </row>
    <row r="6838" spans="1:1">
      <c r="A6838" s="1"/>
    </row>
    <row r="6839" spans="1:1">
      <c r="A6839" s="1"/>
    </row>
    <row r="6840" spans="1:1">
      <c r="A6840" s="1"/>
    </row>
    <row r="6841" spans="1:1">
      <c r="A6841" s="1"/>
    </row>
    <row r="6842" spans="1:1">
      <c r="A6842" s="1"/>
    </row>
    <row r="6843" spans="1:1">
      <c r="A6843" s="1"/>
    </row>
    <row r="6844" spans="1:1">
      <c r="A6844" s="1"/>
    </row>
    <row r="6845" spans="1:1">
      <c r="A6845" s="1"/>
    </row>
    <row r="6846" spans="1:1">
      <c r="A6846" s="1"/>
    </row>
    <row r="6847" spans="1:1">
      <c r="A6847" s="1"/>
    </row>
    <row r="6848" spans="1:1">
      <c r="A6848" s="1"/>
    </row>
    <row r="6849" spans="1:1">
      <c r="A6849" s="1"/>
    </row>
    <row r="6850" spans="1:1">
      <c r="A6850" s="1"/>
    </row>
    <row r="6851" spans="1:1">
      <c r="A6851" s="1"/>
    </row>
    <row r="6852" spans="1:1">
      <c r="A6852" s="1"/>
    </row>
    <row r="6853" spans="1:1">
      <c r="A6853" s="1"/>
    </row>
    <row r="6854" spans="1:1">
      <c r="A6854" s="1"/>
    </row>
    <row r="6855" spans="1:1">
      <c r="A6855" s="1"/>
    </row>
    <row r="6856" spans="1:1">
      <c r="A6856" s="1"/>
    </row>
    <row r="6857" spans="1:1">
      <c r="A6857" s="1"/>
    </row>
    <row r="6858" spans="1:1">
      <c r="A6858" s="1"/>
    </row>
    <row r="6859" spans="1:1">
      <c r="A6859" s="1"/>
    </row>
    <row r="6860" spans="1:1">
      <c r="A6860" s="1"/>
    </row>
    <row r="6861" spans="1:1">
      <c r="A6861" s="1"/>
    </row>
    <row r="6862" spans="1:1">
      <c r="A6862" s="1"/>
    </row>
    <row r="6863" spans="1:1">
      <c r="A6863" s="1"/>
    </row>
    <row r="6864" spans="1:1">
      <c r="A6864" s="1"/>
    </row>
    <row r="6865" spans="1:1">
      <c r="A6865" s="1"/>
    </row>
    <row r="6866" spans="1:1">
      <c r="A6866" s="1"/>
    </row>
    <row r="6867" spans="1:1">
      <c r="A6867" s="1"/>
    </row>
    <row r="6868" spans="1:1">
      <c r="A6868" s="1"/>
    </row>
    <row r="6869" spans="1:1">
      <c r="A6869" s="1"/>
    </row>
    <row r="6870" spans="1:1">
      <c r="A6870" s="1"/>
    </row>
    <row r="6871" spans="1:1">
      <c r="A6871" s="1"/>
    </row>
    <row r="6872" spans="1:1">
      <c r="A6872" s="1"/>
    </row>
    <row r="6873" spans="1:1">
      <c r="A6873" s="1"/>
    </row>
    <row r="6874" spans="1:1">
      <c r="A6874" s="1"/>
    </row>
    <row r="6875" spans="1:1">
      <c r="A6875" s="1"/>
    </row>
    <row r="6876" spans="1:1">
      <c r="A6876" s="1"/>
    </row>
    <row r="6877" spans="1:1">
      <c r="A6877" s="1"/>
    </row>
    <row r="6878" spans="1:1">
      <c r="A6878" s="1"/>
    </row>
    <row r="6879" spans="1:1">
      <c r="A6879" s="1"/>
    </row>
    <row r="6880" spans="1:1">
      <c r="A6880" s="1"/>
    </row>
    <row r="6881" spans="1:1">
      <c r="A6881" s="1"/>
    </row>
    <row r="6882" spans="1:1">
      <c r="A6882" s="1"/>
    </row>
    <row r="6883" spans="1:1">
      <c r="A6883" s="1"/>
    </row>
    <row r="6884" spans="1:1">
      <c r="A6884" s="1"/>
    </row>
    <row r="6885" spans="1:1">
      <c r="A6885" s="1"/>
    </row>
    <row r="6886" spans="1:1">
      <c r="A6886" s="1"/>
    </row>
    <row r="6887" spans="1:1">
      <c r="A6887" s="1"/>
    </row>
    <row r="6888" spans="1:1">
      <c r="A6888" s="1"/>
    </row>
    <row r="6889" spans="1:1">
      <c r="A6889" s="1"/>
    </row>
    <row r="6890" spans="1:1">
      <c r="A6890" s="1"/>
    </row>
    <row r="6891" spans="1:1">
      <c r="A6891" s="1"/>
    </row>
    <row r="6892" spans="1:1">
      <c r="A6892" s="1"/>
    </row>
    <row r="6893" spans="1:1">
      <c r="A6893" s="1"/>
    </row>
    <row r="6894" spans="1:1">
      <c r="A6894" s="1"/>
    </row>
    <row r="6895" spans="1:1">
      <c r="A6895" s="1"/>
    </row>
    <row r="6896" spans="1:1">
      <c r="A6896" s="1"/>
    </row>
    <row r="6897" spans="1:1">
      <c r="A6897" s="1"/>
    </row>
    <row r="6898" spans="1:1">
      <c r="A6898" s="1"/>
    </row>
    <row r="6899" spans="1:1">
      <c r="A6899" s="1"/>
    </row>
    <row r="6900" spans="1:1">
      <c r="A6900" s="1"/>
    </row>
    <row r="6901" spans="1:1">
      <c r="A6901" s="1"/>
    </row>
    <row r="6902" spans="1:1">
      <c r="A6902" s="1"/>
    </row>
    <row r="6903" spans="1:1">
      <c r="A6903" s="1"/>
    </row>
    <row r="6904" spans="1:1">
      <c r="A6904" s="1"/>
    </row>
    <row r="6905" spans="1:1">
      <c r="A6905" s="1"/>
    </row>
    <row r="6906" spans="1:1">
      <c r="A6906" s="1"/>
    </row>
    <row r="6907" spans="1:1">
      <c r="A6907" s="1"/>
    </row>
    <row r="6908" spans="1:1">
      <c r="A6908" s="1"/>
    </row>
    <row r="6909" spans="1:1">
      <c r="A6909" s="1"/>
    </row>
    <row r="6910" spans="1:1">
      <c r="A6910" s="1"/>
    </row>
    <row r="6911" spans="1:1">
      <c r="A6911" s="1"/>
    </row>
    <row r="6912" spans="1:1">
      <c r="A6912" s="1"/>
    </row>
    <row r="6913" spans="1:1">
      <c r="A6913" s="1"/>
    </row>
    <row r="6914" spans="1:1">
      <c r="A6914" s="1"/>
    </row>
    <row r="6915" spans="1:1">
      <c r="A6915" s="1"/>
    </row>
    <row r="6916" spans="1:1">
      <c r="A6916" s="1"/>
    </row>
    <row r="6917" spans="1:1">
      <c r="A6917" s="1"/>
    </row>
    <row r="6918" spans="1:1">
      <c r="A6918" s="1"/>
    </row>
    <row r="6919" spans="1:1">
      <c r="A6919" s="1"/>
    </row>
    <row r="6920" spans="1:1">
      <c r="A6920" s="1"/>
    </row>
    <row r="6921" spans="1:1">
      <c r="A6921" s="1"/>
    </row>
    <row r="6922" spans="1:1">
      <c r="A6922" s="1"/>
    </row>
    <row r="6923" spans="1:1">
      <c r="A6923" s="1"/>
    </row>
    <row r="6924" spans="1:1">
      <c r="A6924" s="1"/>
    </row>
    <row r="6925" spans="1:1">
      <c r="A6925" s="1"/>
    </row>
    <row r="6926" spans="1:1">
      <c r="A6926" s="1"/>
    </row>
    <row r="6927" spans="1:1">
      <c r="A6927" s="1"/>
    </row>
    <row r="6928" spans="1:1">
      <c r="A6928" s="1"/>
    </row>
    <row r="6929" spans="1:1">
      <c r="A6929" s="1"/>
    </row>
    <row r="6930" spans="1:1">
      <c r="A6930" s="1"/>
    </row>
    <row r="6931" spans="1:1">
      <c r="A6931" s="1"/>
    </row>
    <row r="6932" spans="1:1">
      <c r="A6932" s="1"/>
    </row>
    <row r="6933" spans="1:1">
      <c r="A6933" s="1"/>
    </row>
    <row r="6934" spans="1:1">
      <c r="A6934" s="1"/>
    </row>
    <row r="6935" spans="1:1">
      <c r="A6935" s="1"/>
    </row>
    <row r="6936" spans="1:1">
      <c r="A6936" s="1"/>
    </row>
    <row r="6937" spans="1:1">
      <c r="A6937" s="1"/>
    </row>
    <row r="6938" spans="1:1">
      <c r="A6938" s="1"/>
    </row>
    <row r="6939" spans="1:1">
      <c r="A6939" s="1"/>
    </row>
    <row r="6940" spans="1:1">
      <c r="A6940" s="1"/>
    </row>
    <row r="6941" spans="1:1">
      <c r="A6941" s="1"/>
    </row>
    <row r="6942" spans="1:1">
      <c r="A6942" s="1"/>
    </row>
    <row r="6943" spans="1:1">
      <c r="A6943" s="1"/>
    </row>
    <row r="6944" spans="1:1">
      <c r="A6944" s="1"/>
    </row>
    <row r="6945" spans="1:1">
      <c r="A6945" s="1"/>
    </row>
    <row r="6946" spans="1:1">
      <c r="A6946" s="1"/>
    </row>
    <row r="6947" spans="1:1">
      <c r="A6947" s="1"/>
    </row>
    <row r="6948" spans="1:1">
      <c r="A6948" s="1"/>
    </row>
    <row r="6949" spans="1:1">
      <c r="A6949" s="1"/>
    </row>
    <row r="6950" spans="1:1">
      <c r="A6950" s="1"/>
    </row>
    <row r="6951" spans="1:1">
      <c r="A6951" s="1"/>
    </row>
    <row r="6952" spans="1:1">
      <c r="A6952" s="1"/>
    </row>
    <row r="6953" spans="1:1">
      <c r="A6953" s="1"/>
    </row>
    <row r="6954" spans="1:1">
      <c r="A6954" s="1"/>
    </row>
    <row r="6955" spans="1:1">
      <c r="A6955" s="1"/>
    </row>
    <row r="6956" spans="1:1">
      <c r="A6956" s="1"/>
    </row>
    <row r="6957" spans="1:1">
      <c r="A6957" s="1"/>
    </row>
    <row r="6958" spans="1:1">
      <c r="A6958" s="1"/>
    </row>
    <row r="6959" spans="1:1">
      <c r="A6959" s="1"/>
    </row>
    <row r="6960" spans="1:1">
      <c r="A6960" s="1"/>
    </row>
    <row r="6961" spans="1:1">
      <c r="A6961" s="1"/>
    </row>
    <row r="6962" spans="1:1">
      <c r="A6962" s="1"/>
    </row>
    <row r="6963" spans="1:1">
      <c r="A6963" s="1"/>
    </row>
    <row r="6964" spans="1:1">
      <c r="A6964" s="1"/>
    </row>
    <row r="6965" spans="1:1">
      <c r="A6965" s="1"/>
    </row>
    <row r="6966" spans="1:1">
      <c r="A6966" s="1"/>
    </row>
    <row r="6967" spans="1:1">
      <c r="A6967" s="1"/>
    </row>
    <row r="6968" spans="1:1">
      <c r="A6968" s="1"/>
    </row>
    <row r="6969" spans="1:1">
      <c r="A6969" s="1"/>
    </row>
    <row r="6970" spans="1:1">
      <c r="A6970" s="1"/>
    </row>
    <row r="6971" spans="1:1">
      <c r="A6971" s="1"/>
    </row>
    <row r="6972" spans="1:1">
      <c r="A6972" s="1"/>
    </row>
    <row r="6973" spans="1:1">
      <c r="A6973" s="1"/>
    </row>
    <row r="6974" spans="1:1">
      <c r="A6974" s="1"/>
    </row>
    <row r="6975" spans="1:1">
      <c r="A6975" s="1"/>
    </row>
    <row r="6976" spans="1:1">
      <c r="A6976" s="1"/>
    </row>
    <row r="6977" spans="1:1">
      <c r="A6977" s="1"/>
    </row>
    <row r="6978" spans="1:1">
      <c r="A6978" s="1"/>
    </row>
    <row r="6979" spans="1:1">
      <c r="A6979" s="1"/>
    </row>
    <row r="6980" spans="1:1">
      <c r="A6980" s="1"/>
    </row>
    <row r="6981" spans="1:1">
      <c r="A6981" s="1"/>
    </row>
    <row r="6982" spans="1:1">
      <c r="A6982" s="1"/>
    </row>
    <row r="6983" spans="1:1">
      <c r="A6983" s="1"/>
    </row>
    <row r="6984" spans="1:1">
      <c r="A6984" s="1"/>
    </row>
    <row r="6985" spans="1:1">
      <c r="A6985" s="1"/>
    </row>
    <row r="6986" spans="1:1">
      <c r="A6986" s="1"/>
    </row>
    <row r="6987" spans="1:1">
      <c r="A6987" s="1"/>
    </row>
    <row r="6988" spans="1:1">
      <c r="A6988" s="1"/>
    </row>
    <row r="6989" spans="1:1">
      <c r="A6989" s="1"/>
    </row>
    <row r="6990" spans="1:1">
      <c r="A6990" s="1"/>
    </row>
    <row r="6991" spans="1:1">
      <c r="A6991" s="1"/>
    </row>
    <row r="6992" spans="1:1">
      <c r="A6992" s="1"/>
    </row>
    <row r="6993" spans="1:1">
      <c r="A6993" s="1"/>
    </row>
    <row r="6994" spans="1:1">
      <c r="A6994" s="1"/>
    </row>
    <row r="6995" spans="1:1">
      <c r="A6995" s="1"/>
    </row>
    <row r="6996" spans="1:1">
      <c r="A6996" s="1"/>
    </row>
    <row r="6997" spans="1:1">
      <c r="A6997" s="1"/>
    </row>
    <row r="6998" spans="1:1">
      <c r="A6998" s="1"/>
    </row>
    <row r="6999" spans="1:1">
      <c r="A6999" s="1"/>
    </row>
    <row r="7000" spans="1:1">
      <c r="A7000" s="1"/>
    </row>
    <row r="7001" spans="1:1">
      <c r="A7001" s="1"/>
    </row>
    <row r="7002" spans="1:1">
      <c r="A7002" s="1"/>
    </row>
    <row r="7003" spans="1:1">
      <c r="A7003" s="1"/>
    </row>
    <row r="7004" spans="1:1">
      <c r="A7004" s="1"/>
    </row>
    <row r="7005" spans="1:1">
      <c r="A7005" s="1"/>
    </row>
    <row r="7006" spans="1:1">
      <c r="A7006" s="1"/>
    </row>
    <row r="7007" spans="1:1">
      <c r="A7007" s="1"/>
    </row>
    <row r="7008" spans="1:1">
      <c r="A7008" s="1"/>
    </row>
    <row r="7009" spans="1:1">
      <c r="A7009" s="1"/>
    </row>
    <row r="7010" spans="1:1">
      <c r="A7010" s="1"/>
    </row>
    <row r="7011" spans="1:1">
      <c r="A7011" s="1"/>
    </row>
    <row r="7012" spans="1:1">
      <c r="A7012" s="1"/>
    </row>
    <row r="7013" spans="1:1">
      <c r="A7013" s="1"/>
    </row>
    <row r="7014" spans="1:1">
      <c r="A7014" s="1"/>
    </row>
    <row r="7015" spans="1:1">
      <c r="A7015" s="1"/>
    </row>
    <row r="7016" spans="1:1">
      <c r="A7016" s="1"/>
    </row>
    <row r="7017" spans="1:1">
      <c r="A7017" s="1"/>
    </row>
    <row r="7018" spans="1:1">
      <c r="A7018" s="1"/>
    </row>
    <row r="7019" spans="1:1">
      <c r="A7019" s="1"/>
    </row>
    <row r="7020" spans="1:1">
      <c r="A7020" s="1"/>
    </row>
    <row r="7021" spans="1:1">
      <c r="A7021" s="1"/>
    </row>
    <row r="7022" spans="1:1">
      <c r="A7022" s="1"/>
    </row>
    <row r="7023" spans="1:1">
      <c r="A7023" s="1"/>
    </row>
    <row r="7024" spans="1:1">
      <c r="A7024" s="1"/>
    </row>
    <row r="7025" spans="1:1">
      <c r="A7025" s="1"/>
    </row>
    <row r="7026" spans="1:1">
      <c r="A7026" s="1"/>
    </row>
    <row r="7027" spans="1:1">
      <c r="A7027" s="1"/>
    </row>
    <row r="7028" spans="1:1">
      <c r="A7028" s="1"/>
    </row>
    <row r="7029" spans="1:1">
      <c r="A7029" s="1"/>
    </row>
    <row r="7030" spans="1:1">
      <c r="A7030" s="1"/>
    </row>
    <row r="7031" spans="1:1">
      <c r="A7031" s="1"/>
    </row>
    <row r="7032" spans="1:1">
      <c r="A7032" s="1"/>
    </row>
    <row r="7033" spans="1:1">
      <c r="A7033" s="1"/>
    </row>
    <row r="7034" spans="1:1">
      <c r="A7034" s="1"/>
    </row>
    <row r="7035" spans="1:1">
      <c r="A7035" s="1"/>
    </row>
    <row r="7036" spans="1:1">
      <c r="A7036" s="1"/>
    </row>
    <row r="7037" spans="1:1">
      <c r="A7037" s="1"/>
    </row>
    <row r="7038" spans="1:1">
      <c r="A7038" s="1"/>
    </row>
    <row r="7039" spans="1:1">
      <c r="A7039" s="1"/>
    </row>
    <row r="7040" spans="1:1">
      <c r="A7040" s="1"/>
    </row>
    <row r="7041" spans="1:1">
      <c r="A7041" s="1"/>
    </row>
    <row r="7042" spans="1:1">
      <c r="A7042" s="1"/>
    </row>
    <row r="7043" spans="1:1">
      <c r="A7043" s="1"/>
    </row>
    <row r="7044" spans="1:1">
      <c r="A7044" s="1"/>
    </row>
    <row r="7045" spans="1:1">
      <c r="A7045" s="1"/>
    </row>
    <row r="7046" spans="1:1">
      <c r="A7046" s="1"/>
    </row>
    <row r="7047" spans="1:1">
      <c r="A7047" s="1"/>
    </row>
    <row r="7048" spans="1:1">
      <c r="A7048" s="1"/>
    </row>
    <row r="7049" spans="1:1">
      <c r="A7049" s="1"/>
    </row>
    <row r="7050" spans="1:1">
      <c r="A7050" s="1"/>
    </row>
    <row r="7051" spans="1:1">
      <c r="A7051" s="1"/>
    </row>
    <row r="7052" spans="1:1">
      <c r="A7052" s="1"/>
    </row>
    <row r="7053" spans="1:1">
      <c r="A7053" s="1"/>
    </row>
    <row r="7054" spans="1:1">
      <c r="A7054" s="1"/>
    </row>
    <row r="7055" spans="1:1">
      <c r="A7055" s="1"/>
    </row>
    <row r="7056" spans="1:1">
      <c r="A7056" s="1"/>
    </row>
    <row r="7057" spans="1:1">
      <c r="A7057" s="1"/>
    </row>
    <row r="7058" spans="1:1">
      <c r="A7058" s="1"/>
    </row>
    <row r="7059" spans="1:1">
      <c r="A7059" s="1"/>
    </row>
    <row r="7060" spans="1:1">
      <c r="A7060" s="1"/>
    </row>
    <row r="7061" spans="1:1">
      <c r="A7061" s="1"/>
    </row>
    <row r="7062" spans="1:1">
      <c r="A7062" s="1"/>
    </row>
    <row r="7063" spans="1:1">
      <c r="A7063" s="1"/>
    </row>
    <row r="7064" spans="1:1">
      <c r="A7064" s="1"/>
    </row>
    <row r="7065" spans="1:1">
      <c r="A7065" s="1"/>
    </row>
    <row r="7066" spans="1:1">
      <c r="A7066" s="1"/>
    </row>
    <row r="7067" spans="1:1">
      <c r="A7067" s="1"/>
    </row>
    <row r="7068" spans="1:1">
      <c r="A7068" s="1"/>
    </row>
    <row r="7069" spans="1:1">
      <c r="A7069" s="1"/>
    </row>
    <row r="7070" spans="1:1">
      <c r="A7070" s="1"/>
    </row>
    <row r="7071" spans="1:1">
      <c r="A7071" s="1"/>
    </row>
    <row r="7072" spans="1:1">
      <c r="A7072" s="1"/>
    </row>
    <row r="7073" spans="1:1">
      <c r="A7073" s="1"/>
    </row>
    <row r="7074" spans="1:1">
      <c r="A7074" s="1"/>
    </row>
    <row r="7075" spans="1:1">
      <c r="A7075" s="1"/>
    </row>
    <row r="7076" spans="1:1">
      <c r="A7076" s="1"/>
    </row>
    <row r="7077" spans="1:1">
      <c r="A7077" s="1"/>
    </row>
    <row r="7078" spans="1:1">
      <c r="A7078" s="1"/>
    </row>
    <row r="7079" spans="1:1">
      <c r="A7079" s="1"/>
    </row>
    <row r="7080" spans="1:1">
      <c r="A7080" s="1"/>
    </row>
    <row r="7081" spans="1:1">
      <c r="A7081" s="1"/>
    </row>
    <row r="7082" spans="1:1">
      <c r="A7082" s="1"/>
    </row>
    <row r="7083" spans="1:1">
      <c r="A7083" s="1"/>
    </row>
    <row r="7084" spans="1:1">
      <c r="A7084" s="1"/>
    </row>
    <row r="7085" spans="1:1">
      <c r="A7085" s="1"/>
    </row>
    <row r="7086" spans="1:1">
      <c r="A7086" s="1"/>
    </row>
    <row r="7087" spans="1:1">
      <c r="A7087" s="1"/>
    </row>
    <row r="7088" spans="1:1">
      <c r="A7088" s="1"/>
    </row>
    <row r="7089" spans="1:1">
      <c r="A7089" s="1"/>
    </row>
    <row r="7090" spans="1:1">
      <c r="A7090" s="1"/>
    </row>
    <row r="7091" spans="1:1">
      <c r="A7091" s="1"/>
    </row>
    <row r="7092" spans="1:1">
      <c r="A7092" s="1"/>
    </row>
    <row r="7093" spans="1:1">
      <c r="A7093" s="1"/>
    </row>
    <row r="7094" spans="1:1">
      <c r="A7094" s="1"/>
    </row>
    <row r="7095" spans="1:1">
      <c r="A7095" s="1"/>
    </row>
    <row r="7096" spans="1:1">
      <c r="A7096" s="1"/>
    </row>
    <row r="7097" spans="1:1">
      <c r="A7097" s="1"/>
    </row>
    <row r="7098" spans="1:1">
      <c r="A7098" s="1"/>
    </row>
    <row r="7099" spans="1:1">
      <c r="A7099" s="1"/>
    </row>
    <row r="7100" spans="1:1">
      <c r="A7100" s="1"/>
    </row>
    <row r="7101" spans="1:1">
      <c r="A7101" s="1"/>
    </row>
    <row r="7102" spans="1:1">
      <c r="A7102" s="1"/>
    </row>
    <row r="7103" spans="1:1">
      <c r="A7103" s="1"/>
    </row>
    <row r="7104" spans="1:1">
      <c r="A7104" s="1"/>
    </row>
    <row r="7105" spans="1:1">
      <c r="A7105" s="1"/>
    </row>
    <row r="7106" spans="1:1">
      <c r="A7106" s="1"/>
    </row>
    <row r="7107" spans="1:1">
      <c r="A7107" s="1"/>
    </row>
    <row r="7108" spans="1:1">
      <c r="A7108" s="1"/>
    </row>
    <row r="7109" spans="1:1">
      <c r="A7109" s="1"/>
    </row>
    <row r="7110" spans="1:1">
      <c r="A7110" s="1"/>
    </row>
    <row r="7111" spans="1:1">
      <c r="A7111" s="1"/>
    </row>
    <row r="7112" spans="1:1">
      <c r="A7112" s="1"/>
    </row>
    <row r="7113" spans="1:1">
      <c r="A7113" s="1"/>
    </row>
    <row r="7114" spans="1:1">
      <c r="A7114" s="1"/>
    </row>
    <row r="7115" spans="1:1">
      <c r="A7115" s="1"/>
    </row>
    <row r="7116" spans="1:1">
      <c r="A7116" s="1"/>
    </row>
    <row r="7117" spans="1:1">
      <c r="A7117" s="1"/>
    </row>
    <row r="7118" spans="1:1">
      <c r="A7118" s="1"/>
    </row>
    <row r="7119" spans="1:1">
      <c r="A7119" s="1"/>
    </row>
    <row r="7120" spans="1:1">
      <c r="A7120" s="1"/>
    </row>
    <row r="7121" spans="1:1">
      <c r="A7121" s="1"/>
    </row>
    <row r="7122" spans="1:1">
      <c r="A7122" s="1"/>
    </row>
    <row r="7123" spans="1:1">
      <c r="A7123" s="1"/>
    </row>
    <row r="7124" spans="1:1">
      <c r="A7124" s="1"/>
    </row>
    <row r="7125" spans="1:1">
      <c r="A7125" s="1"/>
    </row>
    <row r="7126" spans="1:1">
      <c r="A7126" s="1"/>
    </row>
    <row r="7127" spans="1:1">
      <c r="A7127" s="1"/>
    </row>
    <row r="7128" spans="1:1">
      <c r="A7128" s="1"/>
    </row>
    <row r="7129" spans="1:1">
      <c r="A7129" s="1"/>
    </row>
    <row r="7130" spans="1:1">
      <c r="A7130" s="1"/>
    </row>
    <row r="7131" spans="1:1">
      <c r="A7131" s="1"/>
    </row>
    <row r="7132" spans="1:1">
      <c r="A7132" s="1"/>
    </row>
    <row r="7133" spans="1:1">
      <c r="A7133" s="1"/>
    </row>
    <row r="7134" spans="1:1">
      <c r="A7134" s="1"/>
    </row>
    <row r="7135" spans="1:1">
      <c r="A7135" s="1"/>
    </row>
    <row r="7136" spans="1:1">
      <c r="A7136" s="1"/>
    </row>
    <row r="7137" spans="1:1">
      <c r="A7137" s="1"/>
    </row>
    <row r="7138" spans="1:1">
      <c r="A7138" s="1"/>
    </row>
    <row r="7139" spans="1:1">
      <c r="A7139" s="1"/>
    </row>
    <row r="7140" spans="1:1">
      <c r="A7140" s="1"/>
    </row>
    <row r="7141" spans="1:1">
      <c r="A7141" s="1"/>
    </row>
    <row r="7142" spans="1:1">
      <c r="A7142" s="1"/>
    </row>
    <row r="7143" spans="1:1">
      <c r="A7143" s="1"/>
    </row>
    <row r="7144" spans="1:1">
      <c r="A7144" s="1"/>
    </row>
    <row r="7145" spans="1:1">
      <c r="A7145" s="1"/>
    </row>
    <row r="7146" spans="1:1">
      <c r="A7146" s="1"/>
    </row>
    <row r="7147" spans="1:1">
      <c r="A7147" s="1"/>
    </row>
    <row r="7148" spans="1:1">
      <c r="A7148" s="1"/>
    </row>
    <row r="7149" spans="1:1">
      <c r="A7149" s="1"/>
    </row>
    <row r="7150" spans="1:1">
      <c r="A7150" s="1"/>
    </row>
    <row r="7151" spans="1:1">
      <c r="A7151" s="1"/>
    </row>
    <row r="7152" spans="1:1">
      <c r="A7152" s="1"/>
    </row>
    <row r="7153" spans="1:1">
      <c r="A7153" s="1"/>
    </row>
    <row r="7154" spans="1:1">
      <c r="A7154" s="1"/>
    </row>
    <row r="7155" spans="1:1">
      <c r="A7155" s="1"/>
    </row>
    <row r="7156" spans="1:1">
      <c r="A7156" s="1"/>
    </row>
    <row r="7157" spans="1:1">
      <c r="A7157" s="1"/>
    </row>
    <row r="7158" spans="1:1">
      <c r="A7158" s="1"/>
    </row>
    <row r="7159" spans="1:1">
      <c r="A7159" s="1"/>
    </row>
    <row r="7160" spans="1:1">
      <c r="A7160" s="1"/>
    </row>
    <row r="7161" spans="1:1">
      <c r="A7161" s="1"/>
    </row>
    <row r="7162" spans="1:1">
      <c r="A7162" s="1"/>
    </row>
    <row r="7163" spans="1:1">
      <c r="A7163" s="1"/>
    </row>
    <row r="7164" spans="1:1">
      <c r="A7164" s="1"/>
    </row>
    <row r="7165" spans="1:1">
      <c r="A7165" s="1"/>
    </row>
    <row r="7166" spans="1:1">
      <c r="A7166" s="1"/>
    </row>
    <row r="7167" spans="1:1">
      <c r="A7167" s="1"/>
    </row>
    <row r="7168" spans="1:1">
      <c r="A7168" s="1"/>
    </row>
    <row r="7169" spans="1:1">
      <c r="A7169" s="1"/>
    </row>
    <row r="7170" spans="1:1">
      <c r="A7170" s="1"/>
    </row>
    <row r="7171" spans="1:1">
      <c r="A7171" s="1"/>
    </row>
    <row r="7172" spans="1:1">
      <c r="A7172" s="1"/>
    </row>
    <row r="7173" spans="1:1">
      <c r="A7173" s="1"/>
    </row>
    <row r="7174" spans="1:1">
      <c r="A7174" s="1"/>
    </row>
    <row r="7175" spans="1:1">
      <c r="A7175" s="1"/>
    </row>
    <row r="7176" spans="1:1">
      <c r="A7176" s="1"/>
    </row>
    <row r="7177" spans="1:1">
      <c r="A7177" s="1"/>
    </row>
    <row r="7178" spans="1:1">
      <c r="A7178" s="1"/>
    </row>
    <row r="7179" spans="1:1">
      <c r="A7179" s="1"/>
    </row>
    <row r="7180" spans="1:1">
      <c r="A7180" s="1"/>
    </row>
    <row r="7181" spans="1:1">
      <c r="A7181" s="1"/>
    </row>
    <row r="7182" spans="1:1">
      <c r="A7182" s="1"/>
    </row>
    <row r="7183" spans="1:1">
      <c r="A7183" s="1"/>
    </row>
    <row r="7184" spans="1:1">
      <c r="A7184" s="1"/>
    </row>
    <row r="7185" spans="1:1">
      <c r="A7185" s="1"/>
    </row>
    <row r="7186" spans="1:1">
      <c r="A7186" s="1"/>
    </row>
    <row r="7187" spans="1:1">
      <c r="A7187" s="1"/>
    </row>
    <row r="7188" spans="1:1">
      <c r="A7188" s="1"/>
    </row>
    <row r="7189" spans="1:1">
      <c r="A7189" s="1"/>
    </row>
    <row r="7190" spans="1:1">
      <c r="A7190" s="1"/>
    </row>
    <row r="7191" spans="1:1">
      <c r="A7191" s="1"/>
    </row>
    <row r="7192" spans="1:1">
      <c r="A7192" s="1"/>
    </row>
    <row r="7193" spans="1:1">
      <c r="A7193" s="1"/>
    </row>
    <row r="7194" spans="1:1">
      <c r="A7194" s="1"/>
    </row>
    <row r="7195" spans="1:1">
      <c r="A7195" s="1"/>
    </row>
    <row r="7196" spans="1:1">
      <c r="A7196" s="1"/>
    </row>
    <row r="7197" spans="1:1">
      <c r="A7197" s="1"/>
    </row>
    <row r="7198" spans="1:1">
      <c r="A7198" s="1"/>
    </row>
    <row r="7199" spans="1:1">
      <c r="A7199" s="1"/>
    </row>
    <row r="7200" spans="1:1">
      <c r="A7200" s="1"/>
    </row>
    <row r="7201" spans="1:1">
      <c r="A7201" s="1"/>
    </row>
    <row r="7202" spans="1:1">
      <c r="A7202" s="1"/>
    </row>
    <row r="7203" spans="1:1">
      <c r="A7203" s="1"/>
    </row>
    <row r="7204" spans="1:1">
      <c r="A7204" s="1"/>
    </row>
    <row r="7205" spans="1:1">
      <c r="A7205" s="1"/>
    </row>
    <row r="7206" spans="1:1">
      <c r="A7206" s="1"/>
    </row>
    <row r="7207" spans="1:1">
      <c r="A7207" s="1"/>
    </row>
    <row r="7208" spans="1:1">
      <c r="A7208" s="1"/>
    </row>
    <row r="7209" spans="1:1">
      <c r="A7209" s="1"/>
    </row>
    <row r="7210" spans="1:1">
      <c r="A7210" s="1"/>
    </row>
    <row r="7211" spans="1:1">
      <c r="A7211" s="1"/>
    </row>
    <row r="7212" spans="1:1">
      <c r="A7212" s="1"/>
    </row>
    <row r="7213" spans="1:1">
      <c r="A7213" s="1"/>
    </row>
    <row r="7214" spans="1:1">
      <c r="A7214" s="1"/>
    </row>
    <row r="7215" spans="1:1">
      <c r="A7215" s="1"/>
    </row>
    <row r="7216" spans="1:1">
      <c r="A7216" s="1"/>
    </row>
    <row r="7217" spans="1:1">
      <c r="A7217" s="1"/>
    </row>
    <row r="7218" spans="1:1">
      <c r="A7218" s="1"/>
    </row>
    <row r="7219" spans="1:1">
      <c r="A7219" s="1"/>
    </row>
    <row r="7220" spans="1:1">
      <c r="A7220" s="1"/>
    </row>
    <row r="7221" spans="1:1">
      <c r="A7221" s="1"/>
    </row>
    <row r="7222" spans="1:1">
      <c r="A7222" s="1"/>
    </row>
    <row r="7223" spans="1:1">
      <c r="A7223" s="1"/>
    </row>
    <row r="7224" spans="1:1">
      <c r="A7224" s="1"/>
    </row>
    <row r="7225" spans="1:1">
      <c r="A7225" s="1"/>
    </row>
    <row r="7226" spans="1:1">
      <c r="A7226" s="1"/>
    </row>
    <row r="7227" spans="1:1">
      <c r="A7227" s="1"/>
    </row>
    <row r="7228" spans="1:1">
      <c r="A7228" s="1"/>
    </row>
    <row r="7229" spans="1:1">
      <c r="A7229" s="1"/>
    </row>
    <row r="7230" spans="1:1">
      <c r="A7230" s="1"/>
    </row>
    <row r="7231" spans="1:1">
      <c r="A7231" s="1"/>
    </row>
    <row r="7232" spans="1:1">
      <c r="A7232" s="1"/>
    </row>
    <row r="7233" spans="1:1">
      <c r="A7233" s="1"/>
    </row>
    <row r="7234" spans="1:1">
      <c r="A7234" s="1"/>
    </row>
    <row r="7235" spans="1:1">
      <c r="A7235" s="1"/>
    </row>
    <row r="7236" spans="1:1">
      <c r="A7236" s="1"/>
    </row>
    <row r="7237" spans="1:1">
      <c r="A7237" s="1"/>
    </row>
    <row r="7238" spans="1:1">
      <c r="A7238" s="1"/>
    </row>
    <row r="7239" spans="1:1">
      <c r="A7239" s="1"/>
    </row>
    <row r="7240" spans="1:1">
      <c r="A7240" s="1"/>
    </row>
    <row r="7241" spans="1:1">
      <c r="A7241" s="1"/>
    </row>
    <row r="7242" spans="1:1">
      <c r="A7242" s="1"/>
    </row>
    <row r="7243" spans="1:1">
      <c r="A7243" s="1"/>
    </row>
    <row r="7244" spans="1:1">
      <c r="A7244" s="1"/>
    </row>
    <row r="7245" spans="1:1">
      <c r="A7245" s="1"/>
    </row>
    <row r="7246" spans="1:1">
      <c r="A7246" s="1"/>
    </row>
    <row r="7247" spans="1:1">
      <c r="A7247" s="1"/>
    </row>
    <row r="7248" spans="1:1">
      <c r="A7248" s="1"/>
    </row>
    <row r="7249" spans="1:1">
      <c r="A7249" s="1"/>
    </row>
    <row r="7250" spans="1:1">
      <c r="A7250" s="1"/>
    </row>
    <row r="7251" spans="1:1">
      <c r="A7251" s="1"/>
    </row>
    <row r="7252" spans="1:1">
      <c r="A7252" s="1"/>
    </row>
    <row r="7253" spans="1:1">
      <c r="A7253" s="1"/>
    </row>
    <row r="7254" spans="1:1">
      <c r="A7254" s="1"/>
    </row>
    <row r="7255" spans="1:1">
      <c r="A7255" s="1"/>
    </row>
    <row r="7256" spans="1:1">
      <c r="A7256" s="1"/>
    </row>
    <row r="7257" spans="1:1">
      <c r="A7257" s="1"/>
    </row>
    <row r="7258" spans="1:1">
      <c r="A7258" s="1"/>
    </row>
    <row r="7259" spans="1:1">
      <c r="A7259" s="1"/>
    </row>
    <row r="7260" spans="1:1">
      <c r="A7260" s="1"/>
    </row>
    <row r="7261" spans="1:1">
      <c r="A7261" s="1"/>
    </row>
    <row r="7262" spans="1:1">
      <c r="A7262" s="1"/>
    </row>
    <row r="7263" spans="1:1">
      <c r="A7263" s="1"/>
    </row>
    <row r="7264" spans="1:1">
      <c r="A7264" s="1"/>
    </row>
    <row r="7265" spans="1:1">
      <c r="A7265" s="1"/>
    </row>
    <row r="7266" spans="1:1">
      <c r="A7266" s="1"/>
    </row>
    <row r="7267" spans="1:1">
      <c r="A7267" s="1"/>
    </row>
    <row r="7268" spans="1:1">
      <c r="A7268" s="1"/>
    </row>
    <row r="7269" spans="1:1">
      <c r="A7269" s="1"/>
    </row>
    <row r="7270" spans="1:1">
      <c r="A7270" s="1"/>
    </row>
    <row r="7271" spans="1:1">
      <c r="A7271" s="1"/>
    </row>
    <row r="7272" spans="1:1">
      <c r="A7272" s="1"/>
    </row>
    <row r="7273" spans="1:1">
      <c r="A7273" s="1"/>
    </row>
    <row r="7274" spans="1:1">
      <c r="A7274" s="1"/>
    </row>
    <row r="7275" spans="1:1">
      <c r="A7275" s="1"/>
    </row>
    <row r="7276" spans="1:1">
      <c r="A7276" s="1"/>
    </row>
    <row r="7277" spans="1:1">
      <c r="A7277" s="1"/>
    </row>
    <row r="7278" spans="1:1">
      <c r="A7278" s="1"/>
    </row>
    <row r="7279" spans="1:1">
      <c r="A7279" s="1"/>
    </row>
    <row r="7280" spans="1:1">
      <c r="A7280" s="1"/>
    </row>
    <row r="7281" spans="1:1">
      <c r="A7281" s="1"/>
    </row>
    <row r="7282" spans="1:1">
      <c r="A7282" s="1"/>
    </row>
    <row r="7283" spans="1:1">
      <c r="A7283" s="1"/>
    </row>
    <row r="7284" spans="1:1">
      <c r="A7284" s="1"/>
    </row>
    <row r="7285" spans="1:1">
      <c r="A7285" s="1"/>
    </row>
    <row r="7286" spans="1:1">
      <c r="A7286" s="1"/>
    </row>
    <row r="7287" spans="1:1">
      <c r="A7287" s="1"/>
    </row>
    <row r="7288" spans="1:1">
      <c r="A7288" s="1"/>
    </row>
    <row r="7289" spans="1:1">
      <c r="A7289" s="1"/>
    </row>
    <row r="7290" spans="1:1">
      <c r="A7290" s="1"/>
    </row>
    <row r="7291" spans="1:1">
      <c r="A7291" s="1"/>
    </row>
    <row r="7292" spans="1:1">
      <c r="A7292" s="1"/>
    </row>
    <row r="7293" spans="1:1">
      <c r="A7293" s="1"/>
    </row>
    <row r="7294" spans="1:1">
      <c r="A7294" s="1"/>
    </row>
    <row r="7295" spans="1:1">
      <c r="A7295" s="1"/>
    </row>
    <row r="7296" spans="1:1">
      <c r="A7296" s="1"/>
    </row>
    <row r="7297" spans="1:1">
      <c r="A7297" s="1"/>
    </row>
    <row r="7298" spans="1:1">
      <c r="A7298" s="1"/>
    </row>
    <row r="7299" spans="1:1">
      <c r="A7299" s="1"/>
    </row>
    <row r="7300" spans="1:1">
      <c r="A7300" s="1"/>
    </row>
    <row r="7301" spans="1:1">
      <c r="A7301" s="1"/>
    </row>
    <row r="7302" spans="1:1">
      <c r="A7302" s="1"/>
    </row>
    <row r="7303" spans="1:1">
      <c r="A7303" s="1"/>
    </row>
    <row r="7304" spans="1:1">
      <c r="A7304" s="1"/>
    </row>
    <row r="7305" spans="1:1">
      <c r="A7305" s="1"/>
    </row>
    <row r="7306" spans="1:1">
      <c r="A7306" s="1"/>
    </row>
    <row r="7307" spans="1:1">
      <c r="A7307" s="1"/>
    </row>
    <row r="7308" spans="1:1">
      <c r="A7308" s="1"/>
    </row>
    <row r="7309" spans="1:1">
      <c r="A7309" s="1"/>
    </row>
    <row r="7310" spans="1:1">
      <c r="A7310" s="1"/>
    </row>
    <row r="7311" spans="1:1">
      <c r="A7311" s="1"/>
    </row>
    <row r="7312" spans="1:1">
      <c r="A7312" s="1"/>
    </row>
    <row r="7313" spans="1:1">
      <c r="A7313" s="1"/>
    </row>
    <row r="7314" spans="1:1">
      <c r="A7314" s="1"/>
    </row>
    <row r="7315" spans="1:1">
      <c r="A7315" s="1"/>
    </row>
    <row r="7316" spans="1:1">
      <c r="A7316" s="1"/>
    </row>
    <row r="7317" spans="1:1">
      <c r="A7317" s="1"/>
    </row>
    <row r="7318" spans="1:1">
      <c r="A7318" s="1"/>
    </row>
    <row r="7319" spans="1:1">
      <c r="A7319" s="1"/>
    </row>
    <row r="7320" spans="1:1">
      <c r="A7320" s="1"/>
    </row>
    <row r="7321" spans="1:1">
      <c r="A7321" s="1"/>
    </row>
    <row r="7322" spans="1:1">
      <c r="A7322" s="1"/>
    </row>
    <row r="7323" spans="1:1">
      <c r="A7323" s="1"/>
    </row>
    <row r="7324" spans="1:1">
      <c r="A7324" s="1"/>
    </row>
    <row r="7325" spans="1:1">
      <c r="A7325" s="1"/>
    </row>
    <row r="7326" spans="1:1">
      <c r="A7326" s="1"/>
    </row>
    <row r="7327" spans="1:1">
      <c r="A7327" s="1"/>
    </row>
    <row r="7328" spans="1:1">
      <c r="A7328" s="1"/>
    </row>
    <row r="7329" spans="1:1">
      <c r="A7329" s="1"/>
    </row>
    <row r="7330" spans="1:1">
      <c r="A7330" s="1"/>
    </row>
    <row r="7331" spans="1:1">
      <c r="A7331" s="1"/>
    </row>
    <row r="7332" spans="1:1">
      <c r="A7332" s="1"/>
    </row>
    <row r="7333" spans="1:1">
      <c r="A7333" s="1"/>
    </row>
    <row r="7334" spans="1:1">
      <c r="A7334" s="1"/>
    </row>
    <row r="7335" spans="1:1">
      <c r="A7335" s="1"/>
    </row>
    <row r="7336" spans="1:1">
      <c r="A7336" s="1"/>
    </row>
    <row r="7337" spans="1:1">
      <c r="A7337" s="1"/>
    </row>
    <row r="7338" spans="1:1">
      <c r="A7338" s="1"/>
    </row>
    <row r="7339" spans="1:1">
      <c r="A7339" s="1"/>
    </row>
    <row r="7340" spans="1:1">
      <c r="A7340" s="1"/>
    </row>
    <row r="7341" spans="1:1">
      <c r="A7341" s="1"/>
    </row>
    <row r="7342" spans="1:1">
      <c r="A7342" s="1"/>
    </row>
    <row r="7343" spans="1:1">
      <c r="A7343" s="1"/>
    </row>
    <row r="7344" spans="1:1">
      <c r="A7344" s="1"/>
    </row>
    <row r="7345" spans="1:1">
      <c r="A7345" s="1"/>
    </row>
    <row r="7346" spans="1:1">
      <c r="A7346" s="1"/>
    </row>
    <row r="7347" spans="1:1">
      <c r="A7347" s="1"/>
    </row>
    <row r="7348" spans="1:1">
      <c r="A7348" s="1"/>
    </row>
    <row r="7349" spans="1:1">
      <c r="A7349" s="1"/>
    </row>
    <row r="7350" spans="1:1">
      <c r="A7350" s="1"/>
    </row>
    <row r="7351" spans="1:1">
      <c r="A7351" s="1"/>
    </row>
    <row r="7352" spans="1:1">
      <c r="A7352" s="1"/>
    </row>
    <row r="7353" spans="1:1">
      <c r="A7353" s="1"/>
    </row>
    <row r="7354" spans="1:1">
      <c r="A7354" s="1"/>
    </row>
    <row r="7355" spans="1:1">
      <c r="A7355" s="1"/>
    </row>
    <row r="7356" spans="1:1">
      <c r="A7356" s="1"/>
    </row>
    <row r="7357" spans="1:1">
      <c r="A7357" s="1"/>
    </row>
    <row r="7358" spans="1:1">
      <c r="A7358" s="1"/>
    </row>
    <row r="7359" spans="1:1">
      <c r="A7359" s="1"/>
    </row>
    <row r="7360" spans="1:1">
      <c r="A7360" s="1"/>
    </row>
    <row r="7361" spans="1:1">
      <c r="A7361" s="1"/>
    </row>
    <row r="7362" spans="1:1">
      <c r="A7362" s="1"/>
    </row>
    <row r="7363" spans="1:1">
      <c r="A7363" s="1"/>
    </row>
    <row r="7364" spans="1:1">
      <c r="A7364" s="1"/>
    </row>
    <row r="7365" spans="1:1">
      <c r="A7365" s="1"/>
    </row>
    <row r="7366" spans="1:1">
      <c r="A7366" s="1"/>
    </row>
    <row r="7367" spans="1:1">
      <c r="A7367" s="1"/>
    </row>
    <row r="7368" spans="1:1">
      <c r="A7368" s="1"/>
    </row>
    <row r="7369" spans="1:1">
      <c r="A7369" s="1"/>
    </row>
    <row r="7370" spans="1:1">
      <c r="A7370" s="1"/>
    </row>
    <row r="7371" spans="1:1">
      <c r="A7371" s="1"/>
    </row>
    <row r="7372" spans="1:1">
      <c r="A7372" s="1"/>
    </row>
    <row r="7373" spans="1:1">
      <c r="A7373" s="1"/>
    </row>
    <row r="7374" spans="1:1">
      <c r="A7374" s="1"/>
    </row>
    <row r="7375" spans="1:1">
      <c r="A7375" s="1"/>
    </row>
    <row r="7376" spans="1:1">
      <c r="A7376" s="1"/>
    </row>
    <row r="7377" spans="1:1">
      <c r="A7377" s="1"/>
    </row>
    <row r="7378" spans="1:1">
      <c r="A7378" s="1"/>
    </row>
    <row r="7379" spans="1:1">
      <c r="A7379" s="1"/>
    </row>
    <row r="7380" spans="1:1">
      <c r="A7380" s="1"/>
    </row>
    <row r="7381" spans="1:1">
      <c r="A7381" s="1"/>
    </row>
    <row r="7382" spans="1:1">
      <c r="A7382" s="1"/>
    </row>
    <row r="7383" spans="1:1">
      <c r="A7383" s="1"/>
    </row>
    <row r="7384" spans="1:1">
      <c r="A7384" s="1"/>
    </row>
    <row r="7385" spans="1:1">
      <c r="A7385" s="1"/>
    </row>
    <row r="7386" spans="1:1">
      <c r="A7386" s="1"/>
    </row>
    <row r="7387" spans="1:1">
      <c r="A7387" s="1"/>
    </row>
    <row r="7388" spans="1:1">
      <c r="A7388" s="1"/>
    </row>
    <row r="7389" spans="1:1">
      <c r="A7389" s="1"/>
    </row>
    <row r="7390" spans="1:1">
      <c r="A7390" s="1"/>
    </row>
    <row r="7391" spans="1:1">
      <c r="A7391" s="1"/>
    </row>
    <row r="7392" spans="1:1">
      <c r="A7392" s="1"/>
    </row>
    <row r="7393" spans="1:1">
      <c r="A7393" s="1"/>
    </row>
    <row r="7394" spans="1:1">
      <c r="A7394" s="1"/>
    </row>
    <row r="7395" spans="1:1">
      <c r="A7395" s="1"/>
    </row>
    <row r="7396" spans="1:1">
      <c r="A7396" s="1"/>
    </row>
    <row r="7397" spans="1:1">
      <c r="A7397" s="1"/>
    </row>
    <row r="7398" spans="1:1">
      <c r="A7398" s="1"/>
    </row>
    <row r="7399" spans="1:1">
      <c r="A7399" s="1"/>
    </row>
    <row r="7400" spans="1:1">
      <c r="A7400" s="1"/>
    </row>
    <row r="7401" spans="1:1">
      <c r="A7401" s="1"/>
    </row>
    <row r="7402" spans="1:1">
      <c r="A7402" s="1"/>
    </row>
    <row r="7403" spans="1:1">
      <c r="A7403" s="1"/>
    </row>
    <row r="7404" spans="1:1">
      <c r="A7404" s="1"/>
    </row>
    <row r="7405" spans="1:1">
      <c r="A7405" s="1"/>
    </row>
    <row r="7406" spans="1:1">
      <c r="A7406" s="1"/>
    </row>
    <row r="7407" spans="1:1">
      <c r="A7407" s="1"/>
    </row>
    <row r="7408" spans="1:1">
      <c r="A7408" s="1"/>
    </row>
    <row r="7409" spans="1:1">
      <c r="A7409" s="1"/>
    </row>
    <row r="7410" spans="1:1">
      <c r="A7410" s="1"/>
    </row>
    <row r="7411" spans="1:1">
      <c r="A7411" s="1"/>
    </row>
    <row r="7412" spans="1:1">
      <c r="A7412" s="1"/>
    </row>
    <row r="7413" spans="1:1">
      <c r="A7413" s="1"/>
    </row>
    <row r="7414" spans="1:1">
      <c r="A7414" s="1"/>
    </row>
    <row r="7415" spans="1:1">
      <c r="A7415" s="1"/>
    </row>
    <row r="7416" spans="1:1">
      <c r="A7416" s="1"/>
    </row>
    <row r="7417" spans="1:1">
      <c r="A7417" s="1"/>
    </row>
    <row r="7418" spans="1:1">
      <c r="A7418" s="1"/>
    </row>
    <row r="7419" spans="1:1">
      <c r="A7419" s="1"/>
    </row>
    <row r="7420" spans="1:1">
      <c r="A7420" s="1"/>
    </row>
    <row r="7421" spans="1:1">
      <c r="A7421" s="1"/>
    </row>
    <row r="7422" spans="1:1">
      <c r="A7422" s="1"/>
    </row>
    <row r="7423" spans="1:1">
      <c r="A7423" s="1"/>
    </row>
    <row r="7424" spans="1:1">
      <c r="A7424" s="1"/>
    </row>
    <row r="7425" spans="1:1">
      <c r="A7425" s="1"/>
    </row>
    <row r="7426" spans="1:1">
      <c r="A7426" s="1"/>
    </row>
    <row r="7427" spans="1:1">
      <c r="A7427" s="1"/>
    </row>
    <row r="7428" spans="1:1">
      <c r="A7428" s="1"/>
    </row>
    <row r="7429" spans="1:1">
      <c r="A7429" s="1"/>
    </row>
    <row r="7430" spans="1:1">
      <c r="A7430" s="1"/>
    </row>
    <row r="7431" spans="1:1">
      <c r="A7431" s="1"/>
    </row>
    <row r="7432" spans="1:1">
      <c r="A7432" s="1"/>
    </row>
    <row r="7433" spans="1:1">
      <c r="A7433" s="1"/>
    </row>
    <row r="7434" spans="1:1">
      <c r="A7434" s="1"/>
    </row>
    <row r="7435" spans="1:1">
      <c r="A7435" s="1"/>
    </row>
    <row r="7436" spans="1:1">
      <c r="A7436" s="1"/>
    </row>
    <row r="7437" spans="1:1">
      <c r="A7437" s="1"/>
    </row>
    <row r="7438" spans="1:1">
      <c r="A7438" s="1"/>
    </row>
    <row r="7439" spans="1:1">
      <c r="A7439" s="1"/>
    </row>
    <row r="7440" spans="1:1">
      <c r="A7440" s="1"/>
    </row>
    <row r="7441" spans="1:1">
      <c r="A7441" s="1"/>
    </row>
    <row r="7442" spans="1:1">
      <c r="A7442" s="1"/>
    </row>
    <row r="7443" spans="1:1">
      <c r="A7443" s="1"/>
    </row>
    <row r="7444" spans="1:1">
      <c r="A7444" s="1"/>
    </row>
    <row r="7445" spans="1:1">
      <c r="A7445" s="1"/>
    </row>
    <row r="7446" spans="1:1">
      <c r="A7446" s="1"/>
    </row>
    <row r="7447" spans="1:1">
      <c r="A7447" s="1"/>
    </row>
    <row r="7448" spans="1:1">
      <c r="A7448" s="1"/>
    </row>
    <row r="7449" spans="1:1">
      <c r="A7449" s="1"/>
    </row>
    <row r="7450" spans="1:1">
      <c r="A7450" s="1"/>
    </row>
    <row r="7451" spans="1:1">
      <c r="A7451" s="1"/>
    </row>
    <row r="7452" spans="1:1">
      <c r="A7452" s="1"/>
    </row>
    <row r="7453" spans="1:1">
      <c r="A7453" s="1"/>
    </row>
    <row r="7454" spans="1:1">
      <c r="A7454" s="1"/>
    </row>
    <row r="7455" spans="1:1">
      <c r="A7455" s="1"/>
    </row>
    <row r="7456" spans="1:1">
      <c r="A7456" s="1"/>
    </row>
    <row r="7457" spans="1:1">
      <c r="A7457" s="1"/>
    </row>
    <row r="7458" spans="1:1">
      <c r="A7458" s="1"/>
    </row>
    <row r="7459" spans="1:1">
      <c r="A7459" s="1"/>
    </row>
    <row r="7460" spans="1:1">
      <c r="A7460" s="1"/>
    </row>
    <row r="7461" spans="1:1">
      <c r="A7461" s="1"/>
    </row>
    <row r="7462" spans="1:1">
      <c r="A7462" s="1"/>
    </row>
    <row r="7463" spans="1:1">
      <c r="A7463" s="1"/>
    </row>
    <row r="7464" spans="1:1">
      <c r="A7464" s="1"/>
    </row>
    <row r="7465" spans="1:1">
      <c r="A7465" s="1"/>
    </row>
    <row r="7466" spans="1:1">
      <c r="A7466" s="1"/>
    </row>
    <row r="7467" spans="1:1">
      <c r="A7467" s="1"/>
    </row>
    <row r="7468" spans="1:1">
      <c r="A7468" s="1"/>
    </row>
    <row r="7469" spans="1:1">
      <c r="A7469" s="1"/>
    </row>
    <row r="7470" spans="1:1">
      <c r="A7470" s="1"/>
    </row>
    <row r="7471" spans="1:1">
      <c r="A7471" s="1"/>
    </row>
    <row r="7472" spans="1:1">
      <c r="A7472" s="1"/>
    </row>
    <row r="7473" spans="1:1">
      <c r="A7473" s="1"/>
    </row>
    <row r="7474" spans="1:1">
      <c r="A7474" s="1"/>
    </row>
    <row r="7475" spans="1:1">
      <c r="A7475" s="1"/>
    </row>
    <row r="7476" spans="1:1">
      <c r="A7476" s="1"/>
    </row>
    <row r="7477" spans="1:1">
      <c r="A7477" s="1"/>
    </row>
    <row r="7478" spans="1:1">
      <c r="A7478" s="1"/>
    </row>
    <row r="7479" spans="1:1">
      <c r="A7479" s="1"/>
    </row>
    <row r="7480" spans="1:1">
      <c r="A7480" s="1"/>
    </row>
    <row r="7481" spans="1:1">
      <c r="A7481" s="1"/>
    </row>
    <row r="7482" spans="1:1">
      <c r="A7482" s="1"/>
    </row>
    <row r="7483" spans="1:1">
      <c r="A7483" s="1"/>
    </row>
    <row r="7484" spans="1:1">
      <c r="A7484" s="1"/>
    </row>
    <row r="7485" spans="1:1">
      <c r="A7485" s="1"/>
    </row>
    <row r="7486" spans="1:1">
      <c r="A7486" s="1"/>
    </row>
    <row r="7487" spans="1:1">
      <c r="A7487" s="1"/>
    </row>
    <row r="7488" spans="1:1">
      <c r="A7488" s="1"/>
    </row>
    <row r="7489" spans="1:1">
      <c r="A7489" s="1"/>
    </row>
    <row r="7490" spans="1:1">
      <c r="A7490" s="1"/>
    </row>
    <row r="7491" spans="1:1">
      <c r="A7491" s="1"/>
    </row>
    <row r="7492" spans="1:1">
      <c r="A7492" s="1"/>
    </row>
    <row r="7493" spans="1:1">
      <c r="A7493" s="1"/>
    </row>
    <row r="7494" spans="1:1">
      <c r="A7494" s="1"/>
    </row>
    <row r="7495" spans="1:1">
      <c r="A7495" s="1"/>
    </row>
    <row r="7496" spans="1:1">
      <c r="A7496" s="1"/>
    </row>
    <row r="7497" spans="1:1">
      <c r="A7497" s="1"/>
    </row>
    <row r="7498" spans="1:1">
      <c r="A7498" s="1"/>
    </row>
    <row r="7499" spans="1:1">
      <c r="A7499" s="1"/>
    </row>
    <row r="7500" spans="1:1">
      <c r="A7500" s="1"/>
    </row>
    <row r="7501" spans="1:1">
      <c r="A7501" s="1"/>
    </row>
    <row r="7502" spans="1:1">
      <c r="A7502" s="1"/>
    </row>
    <row r="7503" spans="1:1">
      <c r="A7503" s="1"/>
    </row>
    <row r="7504" spans="1:1">
      <c r="A7504" s="1"/>
    </row>
    <row r="7505" spans="1:1">
      <c r="A7505" s="1"/>
    </row>
    <row r="7506" spans="1:1">
      <c r="A7506" s="1"/>
    </row>
    <row r="7507" spans="1:1">
      <c r="A7507" s="1"/>
    </row>
    <row r="7508" spans="1:1">
      <c r="A7508" s="1"/>
    </row>
    <row r="7509" spans="1:1">
      <c r="A7509" s="1"/>
    </row>
    <row r="7510" spans="1:1">
      <c r="A7510" s="1"/>
    </row>
    <row r="7511" spans="1:1">
      <c r="A7511" s="1"/>
    </row>
    <row r="7512" spans="1:1">
      <c r="A7512" s="1"/>
    </row>
    <row r="7513" spans="1:1">
      <c r="A7513" s="1"/>
    </row>
    <row r="7514" spans="1:1">
      <c r="A7514" s="1"/>
    </row>
    <row r="7515" spans="1:1">
      <c r="A7515" s="1"/>
    </row>
    <row r="7516" spans="1:1">
      <c r="A7516" s="1"/>
    </row>
    <row r="7517" spans="1:1">
      <c r="A7517" s="1"/>
    </row>
    <row r="7518" spans="1:1">
      <c r="A7518" s="1"/>
    </row>
    <row r="7519" spans="1:1">
      <c r="A7519" s="1"/>
    </row>
    <row r="7520" spans="1:1">
      <c r="A7520" s="1"/>
    </row>
    <row r="7521" spans="1:1">
      <c r="A7521" s="1"/>
    </row>
    <row r="7522" spans="1:1">
      <c r="A7522" s="1"/>
    </row>
    <row r="7523" spans="1:1">
      <c r="A7523" s="1"/>
    </row>
    <row r="7524" spans="1:1">
      <c r="A7524" s="1"/>
    </row>
    <row r="7525" spans="1:1">
      <c r="A7525" s="1"/>
    </row>
    <row r="7526" spans="1:1">
      <c r="A7526" s="1"/>
    </row>
    <row r="7527" spans="1:1">
      <c r="A7527" s="1"/>
    </row>
    <row r="7528" spans="1:1">
      <c r="A7528" s="1"/>
    </row>
    <row r="7529" spans="1:1">
      <c r="A7529" s="1"/>
    </row>
    <row r="7530" spans="1:1">
      <c r="A7530" s="1"/>
    </row>
    <row r="7531" spans="1:1">
      <c r="A7531" s="1"/>
    </row>
    <row r="7532" spans="1:1">
      <c r="A7532" s="1"/>
    </row>
    <row r="7533" spans="1:1">
      <c r="A7533" s="1"/>
    </row>
    <row r="7534" spans="1:1">
      <c r="A7534" s="1"/>
    </row>
    <row r="7535" spans="1:1">
      <c r="A7535" s="1"/>
    </row>
    <row r="7536" spans="1:1">
      <c r="A7536" s="1"/>
    </row>
    <row r="7537" spans="1:1">
      <c r="A7537" s="1"/>
    </row>
    <row r="7538" spans="1:1">
      <c r="A7538" s="1"/>
    </row>
    <row r="7539" spans="1:1">
      <c r="A7539" s="1"/>
    </row>
    <row r="7540" spans="1:1">
      <c r="A7540" s="1"/>
    </row>
    <row r="7541" spans="1:1">
      <c r="A7541" s="1"/>
    </row>
    <row r="7542" spans="1:1">
      <c r="A7542" s="1"/>
    </row>
    <row r="7543" spans="1:1">
      <c r="A7543" s="1"/>
    </row>
    <row r="7544" spans="1:1">
      <c r="A7544" s="1"/>
    </row>
    <row r="7545" spans="1:1">
      <c r="A7545" s="1"/>
    </row>
    <row r="7546" spans="1:1">
      <c r="A7546" s="1"/>
    </row>
    <row r="7547" spans="1:1">
      <c r="A7547" s="1"/>
    </row>
    <row r="7548" spans="1:1">
      <c r="A7548" s="1"/>
    </row>
    <row r="7549" spans="1:1">
      <c r="A7549" s="1"/>
    </row>
    <row r="7550" spans="1:1">
      <c r="A7550" s="1"/>
    </row>
    <row r="7551" spans="1:1">
      <c r="A7551" s="1"/>
    </row>
    <row r="7552" spans="1:1">
      <c r="A7552" s="1"/>
    </row>
    <row r="7553" spans="1:1">
      <c r="A7553" s="1"/>
    </row>
    <row r="7554" spans="1:1">
      <c r="A7554" s="1"/>
    </row>
    <row r="7555" spans="1:1">
      <c r="A7555" s="1"/>
    </row>
    <row r="7556" spans="1:1">
      <c r="A7556" s="1"/>
    </row>
    <row r="7557" spans="1:1">
      <c r="A7557" s="1"/>
    </row>
    <row r="7558" spans="1:1">
      <c r="A7558" s="1"/>
    </row>
    <row r="7559" spans="1:1">
      <c r="A7559" s="1"/>
    </row>
    <row r="7560" spans="1:1">
      <c r="A7560" s="1"/>
    </row>
    <row r="7561" spans="1:1">
      <c r="A7561" s="1"/>
    </row>
    <row r="7562" spans="1:1">
      <c r="A7562" s="1"/>
    </row>
    <row r="7563" spans="1:1">
      <c r="A7563" s="1"/>
    </row>
    <row r="7564" spans="1:1">
      <c r="A7564" s="1"/>
    </row>
    <row r="7565" spans="1:1">
      <c r="A7565" s="1"/>
    </row>
    <row r="7566" spans="1:1">
      <c r="A7566" s="1"/>
    </row>
    <row r="7567" spans="1:1">
      <c r="A7567" s="1"/>
    </row>
    <row r="7568" spans="1:1">
      <c r="A7568" s="1"/>
    </row>
    <row r="7569" spans="1:1">
      <c r="A7569" s="1"/>
    </row>
    <row r="7570" spans="1:1">
      <c r="A7570" s="1"/>
    </row>
    <row r="7571" spans="1:1">
      <c r="A7571" s="1"/>
    </row>
    <row r="7572" spans="1:1">
      <c r="A7572" s="1"/>
    </row>
    <row r="7573" spans="1:1">
      <c r="A7573" s="1"/>
    </row>
    <row r="7574" spans="1:1">
      <c r="A7574" s="1"/>
    </row>
    <row r="7575" spans="1:1">
      <c r="A7575" s="1"/>
    </row>
    <row r="7576" spans="1:1">
      <c r="A7576" s="1"/>
    </row>
    <row r="7577" spans="1:1">
      <c r="A7577" s="1"/>
    </row>
    <row r="7578" spans="1:1">
      <c r="A7578" s="1"/>
    </row>
    <row r="7579" spans="1:1">
      <c r="A7579" s="1"/>
    </row>
    <row r="7580" spans="1:1">
      <c r="A7580" s="1"/>
    </row>
    <row r="7581" spans="1:1">
      <c r="A7581" s="1"/>
    </row>
    <row r="7582" spans="1:1">
      <c r="A7582" s="1"/>
    </row>
    <row r="7583" spans="1:1">
      <c r="A7583" s="1"/>
    </row>
    <row r="7584" spans="1:1">
      <c r="A7584" s="1"/>
    </row>
    <row r="7585" spans="1:1">
      <c r="A7585" s="1"/>
    </row>
    <row r="7586" spans="1:1">
      <c r="A7586" s="1"/>
    </row>
    <row r="7587" spans="1:1">
      <c r="A7587" s="1"/>
    </row>
    <row r="7588" spans="1:1">
      <c r="A7588" s="1"/>
    </row>
    <row r="7589" spans="1:1">
      <c r="A7589" s="1"/>
    </row>
    <row r="7590" spans="1:1">
      <c r="A7590" s="1"/>
    </row>
    <row r="7591" spans="1:1">
      <c r="A7591" s="1"/>
    </row>
    <row r="7592" spans="1:1">
      <c r="A7592" s="1"/>
    </row>
    <row r="7593" spans="1:1">
      <c r="A7593" s="1"/>
    </row>
    <row r="7594" spans="1:1">
      <c r="A7594" s="1"/>
    </row>
    <row r="7595" spans="1:1">
      <c r="A7595" s="1"/>
    </row>
    <row r="7596" spans="1:1">
      <c r="A7596" s="1"/>
    </row>
    <row r="7597" spans="1:1">
      <c r="A7597" s="1"/>
    </row>
    <row r="7598" spans="1:1">
      <c r="A7598" s="1"/>
    </row>
    <row r="7599" spans="1:1">
      <c r="A7599" s="1"/>
    </row>
    <row r="7600" spans="1:1">
      <c r="A7600" s="1"/>
    </row>
    <row r="7601" spans="1:1">
      <c r="A7601" s="1"/>
    </row>
    <row r="7602" spans="1:1">
      <c r="A7602" s="1"/>
    </row>
    <row r="7603" spans="1:1">
      <c r="A7603" s="1"/>
    </row>
    <row r="7604" spans="1:1">
      <c r="A7604" s="1"/>
    </row>
    <row r="7605" spans="1:1">
      <c r="A7605" s="1"/>
    </row>
    <row r="7606" spans="1:1">
      <c r="A7606" s="1"/>
    </row>
    <row r="7607" spans="1:1">
      <c r="A7607" s="1"/>
    </row>
    <row r="7608" spans="1:1">
      <c r="A7608" s="1"/>
    </row>
    <row r="7609" spans="1:1">
      <c r="A7609" s="1"/>
    </row>
    <row r="7610" spans="1:1">
      <c r="A7610" s="1"/>
    </row>
    <row r="7611" spans="1:1">
      <c r="A7611" s="1"/>
    </row>
    <row r="7612" spans="1:1">
      <c r="A7612" s="1"/>
    </row>
    <row r="7613" spans="1:1">
      <c r="A7613" s="1"/>
    </row>
    <row r="7614" spans="1:1">
      <c r="A7614" s="1"/>
    </row>
    <row r="7615" spans="1:1">
      <c r="A7615" s="1"/>
    </row>
    <row r="7616" spans="1:1">
      <c r="A7616" s="1"/>
    </row>
    <row r="7617" spans="1:1">
      <c r="A7617" s="1"/>
    </row>
    <row r="7618" spans="1:1">
      <c r="A7618" s="1"/>
    </row>
    <row r="7619" spans="1:1">
      <c r="A7619" s="1"/>
    </row>
    <row r="7620" spans="1:1">
      <c r="A7620" s="1"/>
    </row>
    <row r="7621" spans="1:1">
      <c r="A7621" s="1"/>
    </row>
    <row r="7622" spans="1:1">
      <c r="A7622" s="1"/>
    </row>
    <row r="7623" spans="1:1">
      <c r="A7623" s="1"/>
    </row>
    <row r="7624" spans="1:1">
      <c r="A7624" s="1"/>
    </row>
    <row r="7625" spans="1:1">
      <c r="A7625" s="1"/>
    </row>
    <row r="7626" spans="1:1">
      <c r="A7626" s="1"/>
    </row>
    <row r="7627" spans="1:1">
      <c r="A7627" s="1"/>
    </row>
    <row r="7628" spans="1:1">
      <c r="A7628" s="1"/>
    </row>
    <row r="7629" spans="1:1">
      <c r="A7629" s="1"/>
    </row>
    <row r="7630" spans="1:1">
      <c r="A7630" s="1"/>
    </row>
    <row r="7631" spans="1:1">
      <c r="A7631" s="1"/>
    </row>
    <row r="7632" spans="1:1">
      <c r="A7632" s="1"/>
    </row>
    <row r="7633" spans="1:1">
      <c r="A7633" s="1"/>
    </row>
    <row r="7634" spans="1:1">
      <c r="A7634" s="1"/>
    </row>
    <row r="7635" spans="1:1">
      <c r="A7635" s="1"/>
    </row>
    <row r="7636" spans="1:1">
      <c r="A7636" s="1"/>
    </row>
    <row r="7637" spans="1:1">
      <c r="A7637" s="1"/>
    </row>
    <row r="7638" spans="1:1">
      <c r="A7638" s="1"/>
    </row>
    <row r="7639" spans="1:1">
      <c r="A7639" s="1"/>
    </row>
    <row r="7640" spans="1:1">
      <c r="A7640" s="1"/>
    </row>
    <row r="7641" spans="1:1">
      <c r="A7641" s="1"/>
    </row>
    <row r="7642" spans="1:1">
      <c r="A7642" s="1"/>
    </row>
    <row r="7643" spans="1:1">
      <c r="A7643" s="1"/>
    </row>
    <row r="7644" spans="1:1">
      <c r="A7644" s="1"/>
    </row>
    <row r="7645" spans="1:1">
      <c r="A7645" s="1"/>
    </row>
    <row r="7646" spans="1:1">
      <c r="A7646" s="1"/>
    </row>
    <row r="7647" spans="1:1">
      <c r="A7647" s="1"/>
    </row>
    <row r="7648" spans="1:1">
      <c r="A7648" s="1"/>
    </row>
    <row r="7649" spans="1:1">
      <c r="A7649" s="1"/>
    </row>
    <row r="7650" spans="1:1">
      <c r="A7650" s="1"/>
    </row>
    <row r="7651" spans="1:1">
      <c r="A7651" s="1"/>
    </row>
    <row r="7652" spans="1:1">
      <c r="A7652" s="1"/>
    </row>
    <row r="7653" spans="1:1">
      <c r="A7653" s="1"/>
    </row>
    <row r="7654" spans="1:1">
      <c r="A7654" s="1"/>
    </row>
    <row r="7655" spans="1:1">
      <c r="A7655" s="1"/>
    </row>
    <row r="7656" spans="1:1">
      <c r="A7656" s="1"/>
    </row>
    <row r="7657" spans="1:1">
      <c r="A7657" s="1"/>
    </row>
    <row r="7658" spans="1:1">
      <c r="A7658" s="1"/>
    </row>
    <row r="7659" spans="1:1">
      <c r="A7659" s="1"/>
    </row>
    <row r="7660" spans="1:1">
      <c r="A7660" s="1"/>
    </row>
    <row r="7661" spans="1:1">
      <c r="A7661" s="1"/>
    </row>
    <row r="7662" spans="1:1">
      <c r="A7662" s="1"/>
    </row>
    <row r="7663" spans="1:1">
      <c r="A7663" s="1"/>
    </row>
    <row r="7664" spans="1:1">
      <c r="A7664" s="1"/>
    </row>
    <row r="7665" spans="1:1">
      <c r="A7665" s="1"/>
    </row>
    <row r="7666" spans="1:1">
      <c r="A7666" s="1"/>
    </row>
    <row r="7667" spans="1:1">
      <c r="A7667" s="1"/>
    </row>
    <row r="7668" spans="1:1">
      <c r="A7668" s="1"/>
    </row>
    <row r="7669" spans="1:1">
      <c r="A7669" s="1"/>
    </row>
    <row r="7670" spans="1:1">
      <c r="A7670" s="1"/>
    </row>
    <row r="7671" spans="1:1">
      <c r="A7671" s="1"/>
    </row>
    <row r="7672" spans="1:1">
      <c r="A7672" s="1"/>
    </row>
    <row r="7673" spans="1:1">
      <c r="A7673" s="1"/>
    </row>
    <row r="7674" spans="1:1">
      <c r="A7674" s="1"/>
    </row>
    <row r="7675" spans="1:1">
      <c r="A7675" s="1"/>
    </row>
    <row r="7676" spans="1:1">
      <c r="A7676" s="1"/>
    </row>
    <row r="7677" spans="1:1">
      <c r="A7677" s="1"/>
    </row>
    <row r="7678" spans="1:1">
      <c r="A7678" s="1"/>
    </row>
    <row r="7679" spans="1:1">
      <c r="A7679" s="1"/>
    </row>
    <row r="7680" spans="1:1">
      <c r="A7680" s="1"/>
    </row>
    <row r="7681" spans="1:1">
      <c r="A7681" s="1"/>
    </row>
    <row r="7682" spans="1:1">
      <c r="A7682" s="1"/>
    </row>
    <row r="7683" spans="1:1">
      <c r="A7683" s="1"/>
    </row>
    <row r="7684" spans="1:1">
      <c r="A7684" s="1"/>
    </row>
    <row r="7685" spans="1:1">
      <c r="A7685" s="1"/>
    </row>
    <row r="7686" spans="1:1">
      <c r="A7686" s="1"/>
    </row>
    <row r="7687" spans="1:1">
      <c r="A7687" s="1"/>
    </row>
    <row r="7688" spans="1:1">
      <c r="A7688" s="1"/>
    </row>
    <row r="7689" spans="1:1">
      <c r="A7689" s="1"/>
    </row>
    <row r="7690" spans="1:1">
      <c r="A7690" s="1"/>
    </row>
    <row r="7691" spans="1:1">
      <c r="A7691" s="1"/>
    </row>
    <row r="7692" spans="1:1">
      <c r="A7692" s="1"/>
    </row>
    <row r="7693" spans="1:1">
      <c r="A7693" s="1"/>
    </row>
    <row r="7694" spans="1:1">
      <c r="A7694" s="1"/>
    </row>
    <row r="7695" spans="1:1">
      <c r="A7695" s="1"/>
    </row>
    <row r="7696" spans="1:1">
      <c r="A7696" s="1"/>
    </row>
    <row r="7697" spans="1:1">
      <c r="A7697" s="1"/>
    </row>
    <row r="7698" spans="1:1">
      <c r="A7698" s="1"/>
    </row>
    <row r="7699" spans="1:1">
      <c r="A7699" s="1"/>
    </row>
    <row r="7700" spans="1:1">
      <c r="A7700" s="1"/>
    </row>
    <row r="7701" spans="1:1">
      <c r="A7701" s="1"/>
    </row>
    <row r="7702" spans="1:1">
      <c r="A7702" s="1"/>
    </row>
    <row r="7703" spans="1:1">
      <c r="A7703" s="1"/>
    </row>
    <row r="7704" spans="1:1">
      <c r="A7704" s="1"/>
    </row>
    <row r="7705" spans="1:1">
      <c r="A7705" s="1"/>
    </row>
    <row r="7706" spans="1:1">
      <c r="A7706" s="1"/>
    </row>
    <row r="7707" spans="1:1">
      <c r="A7707" s="1"/>
    </row>
    <row r="7708" spans="1:1">
      <c r="A7708" s="1"/>
    </row>
    <row r="7709" spans="1:1">
      <c r="A7709" s="1"/>
    </row>
    <row r="7710" spans="1:1">
      <c r="A7710" s="1"/>
    </row>
    <row r="7711" spans="1:1">
      <c r="A7711" s="1"/>
    </row>
    <row r="7712" spans="1:1">
      <c r="A7712" s="1"/>
    </row>
    <row r="7713" spans="1:1">
      <c r="A7713" s="1"/>
    </row>
    <row r="7714" spans="1:1">
      <c r="A7714" s="1"/>
    </row>
    <row r="7715" spans="1:1">
      <c r="A7715" s="1"/>
    </row>
    <row r="7716" spans="1:1">
      <c r="A7716" s="1"/>
    </row>
    <row r="7717" spans="1:1">
      <c r="A7717" s="1"/>
    </row>
    <row r="7718" spans="1:1">
      <c r="A7718" s="1"/>
    </row>
    <row r="7719" spans="1:1">
      <c r="A7719" s="1"/>
    </row>
    <row r="7720" spans="1:1">
      <c r="A7720" s="1"/>
    </row>
    <row r="7721" spans="1:1">
      <c r="A7721" s="1"/>
    </row>
    <row r="7722" spans="1:1">
      <c r="A7722" s="1"/>
    </row>
    <row r="7723" spans="1:1">
      <c r="A7723" s="1"/>
    </row>
    <row r="7724" spans="1:1">
      <c r="A7724" s="1"/>
    </row>
    <row r="7725" spans="1:1">
      <c r="A7725" s="1"/>
    </row>
    <row r="7726" spans="1:1">
      <c r="A7726" s="1"/>
    </row>
    <row r="7727" spans="1:1">
      <c r="A7727" s="1"/>
    </row>
    <row r="7728" spans="1:1">
      <c r="A7728" s="1"/>
    </row>
    <row r="7729" spans="1:1">
      <c r="A7729" s="1"/>
    </row>
    <row r="7730" spans="1:1">
      <c r="A7730" s="1"/>
    </row>
    <row r="7731" spans="1:1">
      <c r="A7731" s="1"/>
    </row>
    <row r="7732" spans="1:1">
      <c r="A7732" s="1"/>
    </row>
    <row r="7733" spans="1:1">
      <c r="A7733" s="1"/>
    </row>
    <row r="7734" spans="1:1">
      <c r="A7734" s="1"/>
    </row>
    <row r="7735" spans="1:1">
      <c r="A7735" s="1"/>
    </row>
    <row r="7736" spans="1:1">
      <c r="A7736" s="1"/>
    </row>
    <row r="7737" spans="1:1">
      <c r="A7737" s="1"/>
    </row>
    <row r="7738" spans="1:1">
      <c r="A7738" s="1"/>
    </row>
    <row r="7739" spans="1:1">
      <c r="A7739" s="1"/>
    </row>
    <row r="7740" spans="1:1">
      <c r="A7740" s="1"/>
    </row>
    <row r="7741" spans="1:1">
      <c r="A7741" s="1"/>
    </row>
    <row r="7742" spans="1:1">
      <c r="A7742" s="1"/>
    </row>
    <row r="7743" spans="1:1">
      <c r="A7743" s="1"/>
    </row>
    <row r="7744" spans="1:1">
      <c r="A7744" s="1"/>
    </row>
    <row r="7745" spans="1:1">
      <c r="A7745" s="1"/>
    </row>
    <row r="7746" spans="1:1">
      <c r="A7746" s="1"/>
    </row>
    <row r="7747" spans="1:1">
      <c r="A7747" s="1"/>
    </row>
    <row r="7748" spans="1:1">
      <c r="A7748" s="1"/>
    </row>
    <row r="7749" spans="1:1">
      <c r="A7749" s="1"/>
    </row>
    <row r="7750" spans="1:1">
      <c r="A7750" s="1"/>
    </row>
    <row r="7751" spans="1:1">
      <c r="A7751" s="1"/>
    </row>
    <row r="7752" spans="1:1">
      <c r="A7752" s="1"/>
    </row>
    <row r="7753" spans="1:1">
      <c r="A7753" s="1"/>
    </row>
    <row r="7754" spans="1:1">
      <c r="A7754" s="1"/>
    </row>
    <row r="7755" spans="1:1">
      <c r="A7755" s="1"/>
    </row>
    <row r="7756" spans="1:1">
      <c r="A7756" s="1"/>
    </row>
    <row r="7757" spans="1:1">
      <c r="A7757" s="1"/>
    </row>
    <row r="7758" spans="1:1">
      <c r="A7758" s="1"/>
    </row>
    <row r="7759" spans="1:1">
      <c r="A7759" s="1"/>
    </row>
    <row r="7760" spans="1:1">
      <c r="A7760" s="1"/>
    </row>
    <row r="7761" spans="1:1">
      <c r="A7761" s="1"/>
    </row>
    <row r="7762" spans="1:1">
      <c r="A7762" s="1"/>
    </row>
    <row r="7763" spans="1:1">
      <c r="A7763" s="1"/>
    </row>
    <row r="7764" spans="1:1">
      <c r="A7764" s="1"/>
    </row>
    <row r="7765" spans="1:1">
      <c r="A7765" s="1"/>
    </row>
    <row r="7766" spans="1:1">
      <c r="A7766" s="1"/>
    </row>
    <row r="7767" spans="1:1">
      <c r="A7767" s="1"/>
    </row>
    <row r="7768" spans="1:1">
      <c r="A7768" s="1"/>
    </row>
    <row r="7769" spans="1:1">
      <c r="A7769" s="1"/>
    </row>
    <row r="7770" spans="1:1">
      <c r="A7770" s="1"/>
    </row>
    <row r="7771" spans="1:1">
      <c r="A7771" s="1"/>
    </row>
    <row r="7772" spans="1:1">
      <c r="A7772" s="1"/>
    </row>
    <row r="7773" spans="1:1">
      <c r="A7773" s="1"/>
    </row>
    <row r="7774" spans="1:1">
      <c r="A7774" s="1"/>
    </row>
    <row r="7775" spans="1:1">
      <c r="A7775" s="1"/>
    </row>
    <row r="7776" spans="1:1">
      <c r="A7776" s="1"/>
    </row>
    <row r="7777" spans="1:1">
      <c r="A7777" s="1"/>
    </row>
    <row r="7778" spans="1:1">
      <c r="A7778" s="1"/>
    </row>
    <row r="7779" spans="1:1">
      <c r="A7779" s="1"/>
    </row>
    <row r="7780" spans="1:1">
      <c r="A7780" s="1"/>
    </row>
    <row r="7781" spans="1:1">
      <c r="A7781" s="1"/>
    </row>
    <row r="7782" spans="1:1">
      <c r="A7782" s="1"/>
    </row>
    <row r="7783" spans="1:1">
      <c r="A7783" s="1"/>
    </row>
    <row r="7784" spans="1:1">
      <c r="A7784" s="1"/>
    </row>
    <row r="7785" spans="1:1">
      <c r="A7785" s="1"/>
    </row>
    <row r="7786" spans="1:1">
      <c r="A7786" s="1"/>
    </row>
    <row r="7787" spans="1:1">
      <c r="A7787" s="1"/>
    </row>
    <row r="7788" spans="1:1">
      <c r="A7788" s="1"/>
    </row>
    <row r="7789" spans="1:1">
      <c r="A7789" s="1"/>
    </row>
    <row r="7790" spans="1:1">
      <c r="A7790" s="1"/>
    </row>
    <row r="7791" spans="1:1">
      <c r="A7791" s="1"/>
    </row>
    <row r="7792" spans="1:1">
      <c r="A7792" s="1"/>
    </row>
    <row r="7793" spans="1:1">
      <c r="A7793" s="1"/>
    </row>
    <row r="7794" spans="1:1">
      <c r="A7794" s="1"/>
    </row>
    <row r="7795" spans="1:1">
      <c r="A7795" s="1"/>
    </row>
    <row r="7796" spans="1:1">
      <c r="A7796" s="1"/>
    </row>
    <row r="7797" spans="1:1">
      <c r="A7797" s="1"/>
    </row>
    <row r="7798" spans="1:1">
      <c r="A7798" s="1"/>
    </row>
    <row r="7799" spans="1:1">
      <c r="A7799" s="1"/>
    </row>
    <row r="7800" spans="1:1">
      <c r="A7800" s="1"/>
    </row>
    <row r="7801" spans="1:1">
      <c r="A7801" s="1"/>
    </row>
    <row r="7802" spans="1:1">
      <c r="A7802" s="1"/>
    </row>
    <row r="7803" spans="1:1">
      <c r="A7803" s="1"/>
    </row>
    <row r="7804" spans="1:1">
      <c r="A7804" s="1"/>
    </row>
    <row r="7805" spans="1:1">
      <c r="A7805" s="1"/>
    </row>
    <row r="7806" spans="1:1">
      <c r="A7806" s="1"/>
    </row>
    <row r="7807" spans="1:1">
      <c r="A7807" s="1"/>
    </row>
    <row r="7808" spans="1:1">
      <c r="A7808" s="1"/>
    </row>
    <row r="7809" spans="1:1">
      <c r="A7809" s="1"/>
    </row>
    <row r="7810" spans="1:1">
      <c r="A7810" s="1"/>
    </row>
    <row r="7811" spans="1:1">
      <c r="A7811" s="1"/>
    </row>
    <row r="7812" spans="1:1">
      <c r="A7812" s="1"/>
    </row>
    <row r="7813" spans="1:1">
      <c r="A7813" s="1"/>
    </row>
    <row r="7814" spans="1:1">
      <c r="A7814" s="1"/>
    </row>
    <row r="7815" spans="1:1">
      <c r="A7815" s="1"/>
    </row>
    <row r="7816" spans="1:1">
      <c r="A7816" s="1"/>
    </row>
    <row r="7817" spans="1:1">
      <c r="A7817" s="1"/>
    </row>
    <row r="7818" spans="1:1">
      <c r="A7818" s="1"/>
    </row>
    <row r="7819" spans="1:1">
      <c r="A7819" s="1"/>
    </row>
    <row r="7820" spans="1:1">
      <c r="A7820" s="1"/>
    </row>
    <row r="7821" spans="1:1">
      <c r="A7821" s="1"/>
    </row>
    <row r="7822" spans="1:1">
      <c r="A7822" s="1"/>
    </row>
    <row r="7823" spans="1:1">
      <c r="A7823" s="1"/>
    </row>
    <row r="7824" spans="1:1">
      <c r="A7824" s="1"/>
    </row>
    <row r="7825" spans="1:1">
      <c r="A7825" s="1"/>
    </row>
    <row r="7826" spans="1:1">
      <c r="A7826" s="1"/>
    </row>
    <row r="7827" spans="1:1">
      <c r="A7827" s="1"/>
    </row>
    <row r="7828" spans="1:1">
      <c r="A7828" s="1"/>
    </row>
    <row r="7829" spans="1:1">
      <c r="A7829" s="1"/>
    </row>
    <row r="7830" spans="1:1">
      <c r="A7830" s="1"/>
    </row>
    <row r="7831" spans="1:1">
      <c r="A7831" s="1"/>
    </row>
    <row r="7832" spans="1:1">
      <c r="A7832" s="1"/>
    </row>
    <row r="7833" spans="1:1">
      <c r="A7833" s="1"/>
    </row>
    <row r="7834" spans="1:1">
      <c r="A7834" s="1"/>
    </row>
    <row r="7835" spans="1:1">
      <c r="A7835" s="1"/>
    </row>
    <row r="7836" spans="1:1">
      <c r="A7836" s="1"/>
    </row>
    <row r="7837" spans="1:1">
      <c r="A7837" s="1"/>
    </row>
    <row r="7838" spans="1:1">
      <c r="A7838" s="1"/>
    </row>
    <row r="7839" spans="1:1">
      <c r="A7839" s="1"/>
    </row>
    <row r="7840" spans="1:1">
      <c r="A7840" s="1"/>
    </row>
    <row r="7841" spans="1:1">
      <c r="A7841" s="1"/>
    </row>
    <row r="7842" spans="1:1">
      <c r="A7842" s="1"/>
    </row>
    <row r="7843" spans="1:1">
      <c r="A7843" s="1"/>
    </row>
    <row r="7844" spans="1:1">
      <c r="A7844" s="1"/>
    </row>
    <row r="7845" spans="1:1">
      <c r="A7845" s="1"/>
    </row>
    <row r="7846" spans="1:1">
      <c r="A7846" s="1"/>
    </row>
    <row r="7847" spans="1:1">
      <c r="A7847" s="1"/>
    </row>
    <row r="7848" spans="1:1">
      <c r="A7848" s="1"/>
    </row>
    <row r="7849" spans="1:1">
      <c r="A7849" s="1"/>
    </row>
    <row r="7850" spans="1:1">
      <c r="A7850" s="1"/>
    </row>
    <row r="7851" spans="1:1">
      <c r="A7851" s="1"/>
    </row>
    <row r="7852" spans="1:1">
      <c r="A7852" s="1"/>
    </row>
    <row r="7853" spans="1:1">
      <c r="A7853" s="1"/>
    </row>
    <row r="7854" spans="1:1">
      <c r="A7854" s="1"/>
    </row>
    <row r="7855" spans="1:1">
      <c r="A7855" s="1"/>
    </row>
    <row r="7856" spans="1:1">
      <c r="A7856" s="1"/>
    </row>
    <row r="7857" spans="1:1">
      <c r="A7857" s="1"/>
    </row>
    <row r="7858" spans="1:1">
      <c r="A7858" s="1"/>
    </row>
    <row r="7859" spans="1:1">
      <c r="A7859" s="1"/>
    </row>
    <row r="7860" spans="1:1">
      <c r="A7860" s="1"/>
    </row>
    <row r="7861" spans="1:1">
      <c r="A7861" s="1"/>
    </row>
    <row r="7862" spans="1:1">
      <c r="A7862" s="1"/>
    </row>
    <row r="7863" spans="1:1">
      <c r="A7863" s="1"/>
    </row>
    <row r="7864" spans="1:1">
      <c r="A7864" s="1"/>
    </row>
    <row r="7865" spans="1:1">
      <c r="A7865" s="1"/>
    </row>
    <row r="7866" spans="1:1">
      <c r="A7866" s="1"/>
    </row>
    <row r="7867" spans="1:1">
      <c r="A7867" s="1"/>
    </row>
    <row r="7868" spans="1:1">
      <c r="A7868" s="1"/>
    </row>
    <row r="7869" spans="1:1">
      <c r="A7869" s="1"/>
    </row>
    <row r="7870" spans="1:1">
      <c r="A7870" s="1"/>
    </row>
    <row r="7871" spans="1:1">
      <c r="A7871" s="1"/>
    </row>
    <row r="7872" spans="1:1">
      <c r="A7872" s="1"/>
    </row>
    <row r="7873" spans="1:1">
      <c r="A7873" s="1"/>
    </row>
    <row r="7874" spans="1:1">
      <c r="A7874" s="1"/>
    </row>
    <row r="7875" spans="1:1">
      <c r="A7875" s="1"/>
    </row>
    <row r="7876" spans="1:1">
      <c r="A7876" s="1"/>
    </row>
    <row r="7877" spans="1:1">
      <c r="A7877" s="1"/>
    </row>
    <row r="7878" spans="1:1">
      <c r="A7878" s="1"/>
    </row>
    <row r="7879" spans="1:1">
      <c r="A7879" s="1"/>
    </row>
    <row r="7880" spans="1:1">
      <c r="A7880" s="1"/>
    </row>
    <row r="7881" spans="1:1">
      <c r="A7881" s="1"/>
    </row>
    <row r="7882" spans="1:1">
      <c r="A7882" s="1"/>
    </row>
    <row r="7883" spans="1:1">
      <c r="A7883" s="1"/>
    </row>
    <row r="7884" spans="1:1">
      <c r="A7884" s="1"/>
    </row>
    <row r="7885" spans="1:1">
      <c r="A7885" s="1"/>
    </row>
    <row r="7886" spans="1:1">
      <c r="A7886" s="1"/>
    </row>
    <row r="7887" spans="1:1">
      <c r="A7887" s="1"/>
    </row>
    <row r="7888" spans="1:1">
      <c r="A7888" s="1"/>
    </row>
    <row r="7889" spans="1:1">
      <c r="A7889" s="1"/>
    </row>
    <row r="7890" spans="1:1">
      <c r="A7890" s="1"/>
    </row>
    <row r="7891" spans="1:1">
      <c r="A7891" s="1"/>
    </row>
    <row r="7892" spans="1:1">
      <c r="A7892" s="1"/>
    </row>
    <row r="7893" spans="1:1">
      <c r="A7893" s="1"/>
    </row>
    <row r="7894" spans="1:1">
      <c r="A7894" s="1"/>
    </row>
    <row r="7895" spans="1:1">
      <c r="A7895" s="1"/>
    </row>
    <row r="7896" spans="1:1">
      <c r="A7896" s="1"/>
    </row>
    <row r="7897" spans="1:1">
      <c r="A7897" s="1"/>
    </row>
    <row r="7898" spans="1:1">
      <c r="A7898" s="1"/>
    </row>
    <row r="7899" spans="1:1">
      <c r="A7899" s="1"/>
    </row>
    <row r="7900" spans="1:1">
      <c r="A7900" s="1"/>
    </row>
    <row r="7901" spans="1:1">
      <c r="A7901" s="1"/>
    </row>
    <row r="7902" spans="1:1">
      <c r="A7902" s="1"/>
    </row>
    <row r="7903" spans="1:1">
      <c r="A7903" s="1"/>
    </row>
    <row r="7904" spans="1:1">
      <c r="A7904" s="1"/>
    </row>
    <row r="7905" spans="1:1">
      <c r="A7905" s="1"/>
    </row>
    <row r="7906" spans="1:1">
      <c r="A7906" s="1"/>
    </row>
    <row r="7907" spans="1:1">
      <c r="A7907" s="1"/>
    </row>
    <row r="7908" spans="1:1">
      <c r="A7908" s="1"/>
    </row>
    <row r="7909" spans="1:1">
      <c r="A7909" s="1"/>
    </row>
    <row r="7910" spans="1:1">
      <c r="A7910" s="1"/>
    </row>
    <row r="7911" spans="1:1">
      <c r="A7911" s="1"/>
    </row>
    <row r="7912" spans="1:1">
      <c r="A7912" s="1"/>
    </row>
    <row r="7913" spans="1:1">
      <c r="A7913" s="1"/>
    </row>
    <row r="7914" spans="1:1">
      <c r="A7914" s="1"/>
    </row>
    <row r="7915" spans="1:1">
      <c r="A7915" s="1"/>
    </row>
    <row r="7916" spans="1:1">
      <c r="A7916" s="1"/>
    </row>
    <row r="7917" spans="1:1">
      <c r="A7917" s="1"/>
    </row>
    <row r="7918" spans="1:1">
      <c r="A7918" s="1"/>
    </row>
    <row r="7919" spans="1:1">
      <c r="A7919" s="1"/>
    </row>
    <row r="7920" spans="1:1">
      <c r="A7920" s="1"/>
    </row>
    <row r="7921" spans="1:1">
      <c r="A7921" s="1"/>
    </row>
    <row r="7922" spans="1:1">
      <c r="A7922" s="1"/>
    </row>
    <row r="7923" spans="1:1">
      <c r="A7923" s="1"/>
    </row>
    <row r="7924" spans="1:1">
      <c r="A7924" s="1"/>
    </row>
    <row r="7925" spans="1:1">
      <c r="A7925" s="1"/>
    </row>
    <row r="7926" spans="1:1">
      <c r="A7926" s="1"/>
    </row>
    <row r="7927" spans="1:1">
      <c r="A7927" s="1"/>
    </row>
    <row r="7928" spans="1:1">
      <c r="A7928" s="1"/>
    </row>
    <row r="7929" spans="1:1">
      <c r="A7929" s="1"/>
    </row>
    <row r="7930" spans="1:1">
      <c r="A7930" s="1"/>
    </row>
    <row r="7931" spans="1:1">
      <c r="A7931" s="1"/>
    </row>
    <row r="7932" spans="1:1">
      <c r="A7932" s="1"/>
    </row>
    <row r="7933" spans="1:1">
      <c r="A7933" s="1"/>
    </row>
    <row r="7934" spans="1:1">
      <c r="A7934" s="1"/>
    </row>
    <row r="7935" spans="1:1">
      <c r="A7935" s="1"/>
    </row>
    <row r="7936" spans="1:1">
      <c r="A7936" s="1"/>
    </row>
    <row r="7937" spans="1:1">
      <c r="A7937" s="1"/>
    </row>
    <row r="7938" spans="1:1">
      <c r="A7938" s="1"/>
    </row>
    <row r="7939" spans="1:1">
      <c r="A7939" s="1"/>
    </row>
    <row r="7940" spans="1:1">
      <c r="A7940" s="1"/>
    </row>
    <row r="7941" spans="1:1">
      <c r="A7941" s="1"/>
    </row>
    <row r="7942" spans="1:1">
      <c r="A7942" s="1"/>
    </row>
    <row r="7943" spans="1:1">
      <c r="A7943" s="1"/>
    </row>
    <row r="7944" spans="1:1">
      <c r="A7944" s="1"/>
    </row>
    <row r="7945" spans="1:1">
      <c r="A7945" s="1"/>
    </row>
    <row r="7946" spans="1:1">
      <c r="A7946" s="1"/>
    </row>
    <row r="7947" spans="1:1">
      <c r="A7947" s="1"/>
    </row>
    <row r="7948" spans="1:1">
      <c r="A7948" s="1"/>
    </row>
    <row r="7949" spans="1:1">
      <c r="A7949" s="1"/>
    </row>
    <row r="7950" spans="1:1">
      <c r="A7950" s="1"/>
    </row>
    <row r="7951" spans="1:1">
      <c r="A7951" s="1"/>
    </row>
    <row r="7952" spans="1:1">
      <c r="A7952" s="1"/>
    </row>
    <row r="7953" spans="1:1">
      <c r="A7953" s="1"/>
    </row>
    <row r="7954" spans="1:1">
      <c r="A7954" s="1"/>
    </row>
    <row r="7955" spans="1:1">
      <c r="A7955" s="1"/>
    </row>
    <row r="7956" spans="1:1">
      <c r="A7956" s="1"/>
    </row>
    <row r="7957" spans="1:1">
      <c r="A7957" s="1"/>
    </row>
    <row r="7958" spans="1:1">
      <c r="A7958" s="1"/>
    </row>
    <row r="7959" spans="1:1">
      <c r="A7959" s="1"/>
    </row>
    <row r="7960" spans="1:1">
      <c r="A7960" s="1"/>
    </row>
    <row r="7961" spans="1:1">
      <c r="A7961" s="1"/>
    </row>
    <row r="7962" spans="1:1">
      <c r="A7962" s="1"/>
    </row>
    <row r="7963" spans="1:1">
      <c r="A7963" s="1"/>
    </row>
    <row r="7964" spans="1:1">
      <c r="A7964" s="1"/>
    </row>
    <row r="7965" spans="1:1">
      <c r="A7965" s="1"/>
    </row>
    <row r="7966" spans="1:1">
      <c r="A7966" s="1"/>
    </row>
    <row r="7967" spans="1:1">
      <c r="A7967" s="1"/>
    </row>
    <row r="7968" spans="1:1">
      <c r="A7968" s="1"/>
    </row>
    <row r="7969" spans="1:1">
      <c r="A7969" s="1"/>
    </row>
    <row r="7970" spans="1:1">
      <c r="A7970" s="1"/>
    </row>
    <row r="7971" spans="1:1">
      <c r="A7971" s="1"/>
    </row>
    <row r="7972" spans="1:1">
      <c r="A7972" s="1"/>
    </row>
    <row r="7973" spans="1:1">
      <c r="A7973" s="1"/>
    </row>
    <row r="7974" spans="1:1">
      <c r="A7974" s="1"/>
    </row>
    <row r="7975" spans="1:1">
      <c r="A7975" s="1"/>
    </row>
    <row r="7976" spans="1:1">
      <c r="A7976" s="1"/>
    </row>
    <row r="7977" spans="1:1">
      <c r="A7977" s="1"/>
    </row>
    <row r="7978" spans="1:1">
      <c r="A7978" s="1"/>
    </row>
    <row r="7979" spans="1:1">
      <c r="A7979" s="1"/>
    </row>
    <row r="7980" spans="1:1">
      <c r="A7980" s="1"/>
    </row>
    <row r="7981" spans="1:1">
      <c r="A7981" s="1"/>
    </row>
    <row r="7982" spans="1:1">
      <c r="A7982" s="1"/>
    </row>
    <row r="7983" spans="1:1">
      <c r="A7983" s="1"/>
    </row>
    <row r="7984" spans="1:1">
      <c r="A7984" s="1"/>
    </row>
    <row r="7985" spans="1:1">
      <c r="A7985" s="1"/>
    </row>
    <row r="7986" spans="1:1">
      <c r="A7986" s="1"/>
    </row>
    <row r="7987" spans="1:1">
      <c r="A7987" s="1"/>
    </row>
    <row r="7988" spans="1:1">
      <c r="A7988" s="1"/>
    </row>
    <row r="7989" spans="1:1">
      <c r="A7989" s="1"/>
    </row>
    <row r="7990" spans="1:1">
      <c r="A7990" s="1"/>
    </row>
    <row r="7991" spans="1:1">
      <c r="A7991" s="1"/>
    </row>
    <row r="7992" spans="1:1">
      <c r="A7992" s="1"/>
    </row>
    <row r="7993" spans="1:1">
      <c r="A7993" s="1"/>
    </row>
    <row r="7994" spans="1:1">
      <c r="A7994" s="1"/>
    </row>
    <row r="7995" spans="1:1">
      <c r="A7995" s="1"/>
    </row>
    <row r="7996" spans="1:1">
      <c r="A7996" s="1"/>
    </row>
    <row r="7997" spans="1:1">
      <c r="A7997" s="1"/>
    </row>
    <row r="7998" spans="1:1">
      <c r="A7998" s="1"/>
    </row>
    <row r="7999" spans="1:1">
      <c r="A7999" s="1"/>
    </row>
    <row r="8000" spans="1:1">
      <c r="A8000" s="1"/>
    </row>
    <row r="8001" spans="1:1">
      <c r="A8001" s="1"/>
    </row>
    <row r="8002" spans="1:1">
      <c r="A8002" s="1"/>
    </row>
    <row r="8003" spans="1:1">
      <c r="A8003" s="1"/>
    </row>
    <row r="8004" spans="1:1">
      <c r="A8004" s="1"/>
    </row>
    <row r="8005" spans="1:1">
      <c r="A8005" s="1"/>
    </row>
    <row r="8006" spans="1:1">
      <c r="A8006" s="1"/>
    </row>
    <row r="8007" spans="1:1">
      <c r="A8007" s="1"/>
    </row>
    <row r="8008" spans="1:1">
      <c r="A8008" s="1"/>
    </row>
    <row r="8009" spans="1:1">
      <c r="A8009" s="1"/>
    </row>
    <row r="8010" spans="1:1">
      <c r="A8010" s="1"/>
    </row>
    <row r="8011" spans="1:1">
      <c r="A8011" s="1"/>
    </row>
    <row r="8012" spans="1:1">
      <c r="A8012" s="1"/>
    </row>
    <row r="8013" spans="1:1">
      <c r="A8013" s="1"/>
    </row>
    <row r="8014" spans="1:1">
      <c r="A8014" s="1"/>
    </row>
    <row r="8015" spans="1:1">
      <c r="A8015" s="1"/>
    </row>
    <row r="8016" spans="1:1">
      <c r="A8016" s="1"/>
    </row>
    <row r="8017" spans="1:1">
      <c r="A8017" s="1"/>
    </row>
    <row r="8018" spans="1:1">
      <c r="A8018" s="1"/>
    </row>
    <row r="8019" spans="1:1">
      <c r="A8019" s="1"/>
    </row>
    <row r="8020" spans="1:1">
      <c r="A8020" s="1"/>
    </row>
    <row r="8021" spans="1:1">
      <c r="A8021" s="1"/>
    </row>
    <row r="8022" spans="1:1">
      <c r="A8022" s="1"/>
    </row>
    <row r="8023" spans="1:1">
      <c r="A8023" s="1"/>
    </row>
    <row r="8024" spans="1:1">
      <c r="A8024" s="1"/>
    </row>
    <row r="8025" spans="1:1">
      <c r="A8025" s="1"/>
    </row>
    <row r="8026" spans="1:1">
      <c r="A8026" s="1"/>
    </row>
    <row r="8027" spans="1:1">
      <c r="A8027" s="1"/>
    </row>
    <row r="8028" spans="1:1">
      <c r="A8028" s="1"/>
    </row>
    <row r="8029" spans="1:1">
      <c r="A8029" s="1"/>
    </row>
    <row r="8030" spans="1:1">
      <c r="A8030" s="1"/>
    </row>
    <row r="8031" spans="1:1">
      <c r="A8031" s="1"/>
    </row>
    <row r="8032" spans="1:1">
      <c r="A8032" s="1"/>
    </row>
    <row r="8033" spans="1:1">
      <c r="A8033" s="1"/>
    </row>
    <row r="8034" spans="1:1">
      <c r="A8034" s="1"/>
    </row>
    <row r="8035" spans="1:1">
      <c r="A8035" s="1"/>
    </row>
    <row r="8036" spans="1:1">
      <c r="A8036" s="1"/>
    </row>
    <row r="8037" spans="1:1">
      <c r="A8037" s="1"/>
    </row>
    <row r="8038" spans="1:1">
      <c r="A8038" s="1"/>
    </row>
    <row r="8039" spans="1:1">
      <c r="A8039" s="1"/>
    </row>
    <row r="8040" spans="1:1">
      <c r="A8040" s="1"/>
    </row>
    <row r="8041" spans="1:1">
      <c r="A8041" s="1"/>
    </row>
    <row r="8042" spans="1:1">
      <c r="A8042" s="1"/>
    </row>
    <row r="8043" spans="1:1">
      <c r="A8043" s="1"/>
    </row>
    <row r="8044" spans="1:1">
      <c r="A8044" s="1"/>
    </row>
    <row r="8045" spans="1:1">
      <c r="A8045" s="1"/>
    </row>
    <row r="8046" spans="1:1">
      <c r="A8046" s="1"/>
    </row>
    <row r="8047" spans="1:1">
      <c r="A8047" s="1"/>
    </row>
    <row r="8048" spans="1:1">
      <c r="A8048" s="1"/>
    </row>
    <row r="8049" spans="1:1">
      <c r="A8049" s="1"/>
    </row>
    <row r="8050" spans="1:1">
      <c r="A8050" s="1"/>
    </row>
    <row r="8051" spans="1:1">
      <c r="A8051" s="1"/>
    </row>
    <row r="8052" spans="1:1">
      <c r="A8052" s="1"/>
    </row>
    <row r="8053" spans="1:1">
      <c r="A8053" s="1"/>
    </row>
    <row r="8054" spans="1:1">
      <c r="A8054" s="1"/>
    </row>
    <row r="8055" spans="1:1">
      <c r="A8055" s="1"/>
    </row>
    <row r="8056" spans="1:1">
      <c r="A8056" s="1"/>
    </row>
    <row r="8057" spans="1:1">
      <c r="A8057" s="1"/>
    </row>
    <row r="8058" spans="1:1">
      <c r="A8058" s="1"/>
    </row>
    <row r="8059" spans="1:1">
      <c r="A8059" s="1"/>
    </row>
    <row r="8060" spans="1:1">
      <c r="A8060" s="1"/>
    </row>
    <row r="8061" spans="1:1">
      <c r="A8061" s="1"/>
    </row>
    <row r="8062" spans="1:1">
      <c r="A8062" s="1"/>
    </row>
    <row r="8063" spans="1:1">
      <c r="A8063" s="1"/>
    </row>
    <row r="8064" spans="1:1">
      <c r="A8064" s="1"/>
    </row>
    <row r="8065" spans="1:1">
      <c r="A8065" s="1"/>
    </row>
    <row r="8066" spans="1:1">
      <c r="A8066" s="1"/>
    </row>
    <row r="8067" spans="1:1">
      <c r="A8067" s="1"/>
    </row>
    <row r="8068" spans="1:1">
      <c r="A8068" s="1"/>
    </row>
    <row r="8069" spans="1:1">
      <c r="A8069" s="1"/>
    </row>
    <row r="8070" spans="1:1">
      <c r="A8070" s="1"/>
    </row>
    <row r="8071" spans="1:1">
      <c r="A8071" s="1"/>
    </row>
    <row r="8072" spans="1:1">
      <c r="A8072" s="1"/>
    </row>
    <row r="8073" spans="1:1">
      <c r="A8073" s="1"/>
    </row>
    <row r="8074" spans="1:1">
      <c r="A8074" s="1"/>
    </row>
    <row r="8075" spans="1:1">
      <c r="A8075" s="1"/>
    </row>
    <row r="8076" spans="1:1">
      <c r="A8076" s="1"/>
    </row>
    <row r="8077" spans="1:1">
      <c r="A8077" s="1"/>
    </row>
    <row r="8078" spans="1:1">
      <c r="A8078" s="1"/>
    </row>
    <row r="8079" spans="1:1">
      <c r="A8079" s="1"/>
    </row>
    <row r="8080" spans="1:1">
      <c r="A8080" s="1"/>
    </row>
    <row r="8081" spans="1:1">
      <c r="A8081" s="1"/>
    </row>
    <row r="8082" spans="1:1">
      <c r="A8082" s="1"/>
    </row>
    <row r="8083" spans="1:1">
      <c r="A8083" s="1"/>
    </row>
    <row r="8084" spans="1:1">
      <c r="A8084" s="1"/>
    </row>
    <row r="8085" spans="1:1">
      <c r="A8085" s="1"/>
    </row>
    <row r="8086" spans="1:1">
      <c r="A8086" s="1"/>
    </row>
    <row r="8087" spans="1:1">
      <c r="A8087" s="1"/>
    </row>
    <row r="8088" spans="1:1">
      <c r="A8088" s="1"/>
    </row>
    <row r="8089" spans="1:1">
      <c r="A8089" s="1"/>
    </row>
    <row r="8090" spans="1:1">
      <c r="A8090" s="1"/>
    </row>
    <row r="8091" spans="1:1">
      <c r="A8091" s="1"/>
    </row>
    <row r="8092" spans="1:1">
      <c r="A8092" s="1"/>
    </row>
    <row r="8093" spans="1:1">
      <c r="A8093" s="1"/>
    </row>
    <row r="8094" spans="1:1">
      <c r="A8094" s="1"/>
    </row>
    <row r="8095" spans="1:1">
      <c r="A8095" s="1"/>
    </row>
    <row r="8096" spans="1:1">
      <c r="A8096" s="1"/>
    </row>
    <row r="8097" spans="1:1">
      <c r="A8097" s="1"/>
    </row>
    <row r="8098" spans="1:1">
      <c r="A8098" s="1"/>
    </row>
    <row r="8099" spans="1:1">
      <c r="A8099" s="1"/>
    </row>
    <row r="8100" spans="1:1">
      <c r="A8100" s="1"/>
    </row>
    <row r="8101" spans="1:1">
      <c r="A8101" s="1"/>
    </row>
    <row r="8102" spans="1:1">
      <c r="A8102" s="1"/>
    </row>
    <row r="8103" spans="1:1">
      <c r="A8103" s="1"/>
    </row>
    <row r="8104" spans="1:1">
      <c r="A8104" s="1"/>
    </row>
    <row r="8105" spans="1:1">
      <c r="A8105" s="1"/>
    </row>
    <row r="8106" spans="1:1">
      <c r="A8106" s="1"/>
    </row>
    <row r="8107" spans="1:1">
      <c r="A8107" s="1"/>
    </row>
    <row r="8108" spans="1:1">
      <c r="A8108" s="1"/>
    </row>
    <row r="8109" spans="1:1">
      <c r="A8109" s="1"/>
    </row>
    <row r="8110" spans="1:1">
      <c r="A8110" s="1"/>
    </row>
    <row r="8111" spans="1:1">
      <c r="A8111" s="1"/>
    </row>
    <row r="8112" spans="1:1">
      <c r="A8112" s="1"/>
    </row>
    <row r="8113" spans="1:1">
      <c r="A8113" s="1"/>
    </row>
    <row r="8114" spans="1:1">
      <c r="A8114" s="1"/>
    </row>
    <row r="8115" spans="1:1">
      <c r="A8115" s="1"/>
    </row>
    <row r="8116" spans="1:1">
      <c r="A8116" s="1"/>
    </row>
    <row r="8117" spans="1:1">
      <c r="A8117" s="1"/>
    </row>
    <row r="8118" spans="1:1">
      <c r="A8118" s="1"/>
    </row>
    <row r="8119" spans="1:1">
      <c r="A8119" s="1"/>
    </row>
    <row r="8120" spans="1:1">
      <c r="A8120" s="1"/>
    </row>
    <row r="8121" spans="1:1">
      <c r="A8121" s="1"/>
    </row>
    <row r="8122" spans="1:1">
      <c r="A8122" s="1"/>
    </row>
    <row r="8123" spans="1:1">
      <c r="A8123" s="1"/>
    </row>
    <row r="8124" spans="1:1">
      <c r="A8124" s="1"/>
    </row>
    <row r="8125" spans="1:1">
      <c r="A8125" s="1"/>
    </row>
    <row r="8126" spans="1:1">
      <c r="A8126" s="1"/>
    </row>
    <row r="8127" spans="1:1">
      <c r="A8127" s="1"/>
    </row>
    <row r="8128" spans="1:1">
      <c r="A8128" s="1"/>
    </row>
    <row r="8129" spans="1:1">
      <c r="A8129" s="1"/>
    </row>
    <row r="8130" spans="1:1">
      <c r="A8130" s="1"/>
    </row>
    <row r="8131" spans="1:1">
      <c r="A8131" s="1"/>
    </row>
    <row r="8132" spans="1:1">
      <c r="A8132" s="1"/>
    </row>
    <row r="8133" spans="1:1">
      <c r="A8133" s="1"/>
    </row>
    <row r="8134" spans="1:1">
      <c r="A8134" s="1"/>
    </row>
    <row r="8135" spans="1:1">
      <c r="A8135" s="1"/>
    </row>
    <row r="8136" spans="1:1">
      <c r="A8136" s="1"/>
    </row>
    <row r="8137" spans="1:1">
      <c r="A8137" s="1"/>
    </row>
    <row r="8138" spans="1:1">
      <c r="A8138" s="1"/>
    </row>
    <row r="8139" spans="1:1">
      <c r="A8139" s="1"/>
    </row>
    <row r="8140" spans="1:1">
      <c r="A8140" s="1"/>
    </row>
    <row r="8141" spans="1:1">
      <c r="A8141" s="1"/>
    </row>
    <row r="8142" spans="1:1">
      <c r="A8142" s="1"/>
    </row>
    <row r="8143" spans="1:1">
      <c r="A8143" s="1"/>
    </row>
    <row r="8144" spans="1:1">
      <c r="A8144" s="1"/>
    </row>
    <row r="8145" spans="1:1">
      <c r="A8145" s="1"/>
    </row>
    <row r="8146" spans="1:1">
      <c r="A8146" s="1"/>
    </row>
    <row r="8147" spans="1:1">
      <c r="A8147" s="1"/>
    </row>
    <row r="8148" spans="1:1">
      <c r="A8148" s="1"/>
    </row>
    <row r="8149" spans="1:1">
      <c r="A8149" s="1"/>
    </row>
    <row r="8150" spans="1:1">
      <c r="A8150" s="1"/>
    </row>
    <row r="8151" spans="1:1">
      <c r="A8151" s="1"/>
    </row>
    <row r="8152" spans="1:1">
      <c r="A8152" s="1"/>
    </row>
    <row r="8153" spans="1:1">
      <c r="A8153" s="1"/>
    </row>
    <row r="8154" spans="1:1">
      <c r="A8154" s="1"/>
    </row>
    <row r="8155" spans="1:1">
      <c r="A8155" s="1"/>
    </row>
    <row r="8156" spans="1:1">
      <c r="A8156" s="1"/>
    </row>
    <row r="8157" spans="1:1">
      <c r="A8157" s="1"/>
    </row>
    <row r="8158" spans="1:1">
      <c r="A8158" s="1"/>
    </row>
    <row r="8159" spans="1:1">
      <c r="A8159" s="1"/>
    </row>
    <row r="8160" spans="1:1">
      <c r="A8160" s="1"/>
    </row>
    <row r="8161" spans="1:1">
      <c r="A8161" s="1"/>
    </row>
    <row r="8162" spans="1:1">
      <c r="A8162" s="1"/>
    </row>
    <row r="8163" spans="1:1">
      <c r="A8163" s="1"/>
    </row>
    <row r="8164" spans="1:1">
      <c r="A8164" s="1"/>
    </row>
    <row r="8165" spans="1:1">
      <c r="A8165" s="1"/>
    </row>
    <row r="8166" spans="1:1">
      <c r="A8166" s="1"/>
    </row>
    <row r="8167" spans="1:1">
      <c r="A8167" s="1"/>
    </row>
    <row r="8168" spans="1:1">
      <c r="A8168" s="1"/>
    </row>
    <row r="8169" spans="1:1">
      <c r="A8169" s="1"/>
    </row>
    <row r="8170" spans="1:1">
      <c r="A8170" s="1"/>
    </row>
    <row r="8171" spans="1:1">
      <c r="A8171" s="1"/>
    </row>
    <row r="8172" spans="1:1">
      <c r="A8172" s="1"/>
    </row>
    <row r="8173" spans="1:1">
      <c r="A8173" s="1"/>
    </row>
    <row r="8174" spans="1:1">
      <c r="A8174" s="1"/>
    </row>
    <row r="8175" spans="1:1">
      <c r="A8175" s="1"/>
    </row>
    <row r="8176" spans="1:1">
      <c r="A8176" s="1"/>
    </row>
    <row r="8177" spans="1:1">
      <c r="A8177" s="1"/>
    </row>
    <row r="8178" spans="1:1">
      <c r="A8178" s="1"/>
    </row>
    <row r="8179" spans="1:1">
      <c r="A8179" s="1"/>
    </row>
    <row r="8180" spans="1:1">
      <c r="A8180" s="1"/>
    </row>
    <row r="8181" spans="1:1">
      <c r="A8181" s="1"/>
    </row>
    <row r="8182" spans="1:1">
      <c r="A8182" s="1"/>
    </row>
    <row r="8183" spans="1:1">
      <c r="A8183" s="1"/>
    </row>
    <row r="8184" spans="1:1">
      <c r="A8184" s="1"/>
    </row>
    <row r="8185" spans="1:1">
      <c r="A8185" s="1"/>
    </row>
    <row r="8186" spans="1:1">
      <c r="A8186" s="1"/>
    </row>
    <row r="8187" spans="1:1">
      <c r="A8187" s="1"/>
    </row>
    <row r="8188" spans="1:1">
      <c r="A8188" s="1"/>
    </row>
    <row r="8189" spans="1:1">
      <c r="A8189" s="1"/>
    </row>
    <row r="8190" spans="1:1">
      <c r="A8190" s="1"/>
    </row>
    <row r="8191" spans="1:1">
      <c r="A8191" s="1"/>
    </row>
    <row r="8192" spans="1:1">
      <c r="A8192" s="1"/>
    </row>
    <row r="8193" spans="1:1">
      <c r="A8193" s="1"/>
    </row>
    <row r="8194" spans="1:1">
      <c r="A8194" s="1"/>
    </row>
    <row r="8195" spans="1:1">
      <c r="A8195" s="1"/>
    </row>
    <row r="8196" spans="1:1">
      <c r="A8196" s="1"/>
    </row>
    <row r="8197" spans="1:1">
      <c r="A8197" s="1"/>
    </row>
    <row r="8198" spans="1:1">
      <c r="A8198" s="1"/>
    </row>
    <row r="8199" spans="1:1">
      <c r="A8199" s="1"/>
    </row>
    <row r="8200" spans="1:1">
      <c r="A8200" s="1"/>
    </row>
    <row r="8201" spans="1:1">
      <c r="A8201" s="1"/>
    </row>
    <row r="8202" spans="1:1">
      <c r="A8202" s="1"/>
    </row>
    <row r="8203" spans="1:1">
      <c r="A8203" s="1"/>
    </row>
    <row r="8204" spans="1:1">
      <c r="A8204" s="1"/>
    </row>
    <row r="8205" spans="1:1">
      <c r="A8205" s="1"/>
    </row>
    <row r="8206" spans="1:1">
      <c r="A8206" s="1"/>
    </row>
    <row r="8207" spans="1:1">
      <c r="A8207" s="1"/>
    </row>
    <row r="8208" spans="1:1">
      <c r="A8208" s="1"/>
    </row>
    <row r="8209" spans="1:1">
      <c r="A8209" s="1"/>
    </row>
    <row r="8210" spans="1:1">
      <c r="A8210" s="1"/>
    </row>
    <row r="8211" spans="1:1">
      <c r="A8211" s="1"/>
    </row>
    <row r="8212" spans="1:1">
      <c r="A8212" s="1"/>
    </row>
    <row r="8213" spans="1:1">
      <c r="A8213" s="1"/>
    </row>
    <row r="8214" spans="1:1">
      <c r="A8214" s="1"/>
    </row>
    <row r="8215" spans="1:1">
      <c r="A8215" s="1"/>
    </row>
    <row r="8216" spans="1:1">
      <c r="A8216" s="1"/>
    </row>
    <row r="8217" spans="1:1">
      <c r="A8217" s="1"/>
    </row>
    <row r="8218" spans="1:1">
      <c r="A8218" s="1"/>
    </row>
    <row r="8219" spans="1:1">
      <c r="A8219" s="1"/>
    </row>
    <row r="8220" spans="1:1">
      <c r="A8220" s="1"/>
    </row>
    <row r="8221" spans="1:1">
      <c r="A8221" s="1"/>
    </row>
    <row r="8222" spans="1:1">
      <c r="A8222" s="1"/>
    </row>
    <row r="8223" spans="1:1">
      <c r="A8223" s="1"/>
    </row>
    <row r="8224" spans="1:1">
      <c r="A8224" s="1"/>
    </row>
    <row r="8225" spans="1:1">
      <c r="A8225" s="1"/>
    </row>
    <row r="8226" spans="1:1">
      <c r="A8226" s="1"/>
    </row>
    <row r="8227" spans="1:1">
      <c r="A8227" s="1"/>
    </row>
    <row r="8228" spans="1:1">
      <c r="A8228" s="1"/>
    </row>
    <row r="8229" spans="1:1">
      <c r="A8229" s="1"/>
    </row>
    <row r="8230" spans="1:1">
      <c r="A8230" s="1"/>
    </row>
    <row r="8231" spans="1:1">
      <c r="A8231" s="1"/>
    </row>
    <row r="8232" spans="1:1">
      <c r="A8232" s="1"/>
    </row>
    <row r="8233" spans="1:1">
      <c r="A8233" s="1"/>
    </row>
    <row r="8234" spans="1:1">
      <c r="A8234" s="1"/>
    </row>
    <row r="8235" spans="1:1">
      <c r="A8235" s="1"/>
    </row>
    <row r="8236" spans="1:1">
      <c r="A8236" s="1"/>
    </row>
    <row r="8237" spans="1:1">
      <c r="A8237" s="1"/>
    </row>
    <row r="8238" spans="1:1">
      <c r="A8238" s="1"/>
    </row>
    <row r="8239" spans="1:1">
      <c r="A8239" s="1"/>
    </row>
    <row r="8240" spans="1:1">
      <c r="A8240" s="1"/>
    </row>
    <row r="8241" spans="1:1">
      <c r="A8241" s="1"/>
    </row>
    <row r="8242" spans="1:1">
      <c r="A8242" s="1"/>
    </row>
    <row r="8243" spans="1:1">
      <c r="A8243" s="1"/>
    </row>
    <row r="8244" spans="1:1">
      <c r="A8244" s="1"/>
    </row>
    <row r="8245" spans="1:1">
      <c r="A8245" s="1"/>
    </row>
    <row r="8246" spans="1:1">
      <c r="A8246" s="1"/>
    </row>
    <row r="8247" spans="1:1">
      <c r="A8247" s="1"/>
    </row>
    <row r="8248" spans="1:1">
      <c r="A8248" s="1"/>
    </row>
    <row r="8249" spans="1:1">
      <c r="A8249" s="1"/>
    </row>
    <row r="8250" spans="1:1">
      <c r="A8250" s="1"/>
    </row>
    <row r="8251" spans="1:1">
      <c r="A8251" s="1"/>
    </row>
    <row r="8252" spans="1:1">
      <c r="A8252" s="1"/>
    </row>
    <row r="8253" spans="1:1">
      <c r="A8253" s="1"/>
    </row>
    <row r="8254" spans="1:1">
      <c r="A8254" s="1"/>
    </row>
    <row r="8255" spans="1:1">
      <c r="A8255" s="1"/>
    </row>
    <row r="8256" spans="1:1">
      <c r="A8256" s="1"/>
    </row>
    <row r="8257" spans="1:1">
      <c r="A8257" s="1"/>
    </row>
    <row r="8258" spans="1:1">
      <c r="A8258" s="1"/>
    </row>
    <row r="8259" spans="1:1">
      <c r="A8259" s="1"/>
    </row>
    <row r="8260" spans="1:1">
      <c r="A8260" s="1"/>
    </row>
    <row r="8261" spans="1:1">
      <c r="A8261" s="1"/>
    </row>
    <row r="8262" spans="1:1">
      <c r="A8262" s="1"/>
    </row>
    <row r="8263" spans="1:1">
      <c r="A8263" s="1"/>
    </row>
    <row r="8264" spans="1:1">
      <c r="A8264" s="1"/>
    </row>
    <row r="8265" spans="1:1">
      <c r="A8265" s="1"/>
    </row>
    <row r="8266" spans="1:1">
      <c r="A8266" s="1"/>
    </row>
    <row r="8267" spans="1:1">
      <c r="A8267" s="1"/>
    </row>
    <row r="8268" spans="1:1">
      <c r="A8268" s="1"/>
    </row>
    <row r="8269" spans="1:1">
      <c r="A8269" s="1"/>
    </row>
    <row r="8270" spans="1:1">
      <c r="A8270" s="1"/>
    </row>
    <row r="8271" spans="1:1">
      <c r="A8271" s="1"/>
    </row>
    <row r="8272" spans="1:1">
      <c r="A8272" s="1"/>
    </row>
    <row r="8273" spans="1:1">
      <c r="A8273" s="1"/>
    </row>
    <row r="8274" spans="1:1">
      <c r="A8274" s="1"/>
    </row>
    <row r="8275" spans="1:1">
      <c r="A8275" s="1"/>
    </row>
    <row r="8276" spans="1:1">
      <c r="A8276" s="1"/>
    </row>
    <row r="8277" spans="1:1">
      <c r="A8277" s="1"/>
    </row>
    <row r="8278" spans="1:1">
      <c r="A8278" s="1"/>
    </row>
    <row r="8279" spans="1:1">
      <c r="A8279" s="1"/>
    </row>
    <row r="8280" spans="1:1">
      <c r="A8280" s="1"/>
    </row>
    <row r="8281" spans="1:1">
      <c r="A8281" s="1"/>
    </row>
    <row r="8282" spans="1:1">
      <c r="A8282" s="1"/>
    </row>
    <row r="8283" spans="1:1">
      <c r="A8283" s="1"/>
    </row>
    <row r="8284" spans="1:1">
      <c r="A8284" s="1"/>
    </row>
    <row r="8285" spans="1:1">
      <c r="A8285" s="1"/>
    </row>
    <row r="8286" spans="1:1">
      <c r="A8286" s="1"/>
    </row>
    <row r="8287" spans="1:1">
      <c r="A8287" s="1"/>
    </row>
    <row r="8288" spans="1:1">
      <c r="A8288" s="1"/>
    </row>
    <row r="8289" spans="1:1">
      <c r="A8289" s="1"/>
    </row>
    <row r="8290" spans="1:1">
      <c r="A8290" s="1"/>
    </row>
    <row r="8291" spans="1:1">
      <c r="A8291" s="1"/>
    </row>
    <row r="8292" spans="1:1">
      <c r="A8292" s="1"/>
    </row>
    <row r="8293" spans="1:1">
      <c r="A8293" s="1"/>
    </row>
    <row r="8294" spans="1:1">
      <c r="A8294" s="1"/>
    </row>
    <row r="8295" spans="1:1">
      <c r="A8295" s="1"/>
    </row>
    <row r="8296" spans="1:1">
      <c r="A8296" s="1"/>
    </row>
    <row r="8297" spans="1:1">
      <c r="A8297" s="1"/>
    </row>
    <row r="8298" spans="1:1">
      <c r="A8298" s="1"/>
    </row>
    <row r="8299" spans="1:1">
      <c r="A8299" s="1"/>
    </row>
    <row r="8300" spans="1:1">
      <c r="A8300" s="1"/>
    </row>
    <row r="8301" spans="1:1">
      <c r="A8301" s="1"/>
    </row>
    <row r="8302" spans="1:1">
      <c r="A8302" s="1"/>
    </row>
    <row r="8303" spans="1:1">
      <c r="A8303" s="1"/>
    </row>
    <row r="8304" spans="1:1">
      <c r="A8304" s="1"/>
    </row>
    <row r="8305" spans="1:1">
      <c r="A8305" s="1"/>
    </row>
    <row r="8306" spans="1:1">
      <c r="A8306" s="1"/>
    </row>
    <row r="8307" spans="1:1">
      <c r="A8307" s="1"/>
    </row>
    <row r="8308" spans="1:1">
      <c r="A8308" s="1"/>
    </row>
    <row r="8309" spans="1:1">
      <c r="A8309" s="1"/>
    </row>
    <row r="8310" spans="1:1">
      <c r="A8310" s="1"/>
    </row>
    <row r="8311" spans="1:1">
      <c r="A8311" s="1"/>
    </row>
    <row r="8312" spans="1:1">
      <c r="A8312" s="1"/>
    </row>
    <row r="8313" spans="1:1">
      <c r="A8313" s="1"/>
    </row>
    <row r="8314" spans="1:1">
      <c r="A8314" s="1"/>
    </row>
    <row r="8315" spans="1:1">
      <c r="A8315" s="1"/>
    </row>
    <row r="8316" spans="1:1">
      <c r="A8316" s="1"/>
    </row>
    <row r="8317" spans="1:1">
      <c r="A8317" s="1"/>
    </row>
    <row r="8318" spans="1:1">
      <c r="A8318" s="1"/>
    </row>
    <row r="8319" spans="1:1">
      <c r="A8319" s="1"/>
    </row>
    <row r="8320" spans="1:1">
      <c r="A8320" s="1"/>
    </row>
    <row r="8321" spans="1:1">
      <c r="A8321" s="1"/>
    </row>
    <row r="8322" spans="1:1">
      <c r="A8322" s="1"/>
    </row>
    <row r="8323" spans="1:1">
      <c r="A8323" s="1"/>
    </row>
    <row r="8324" spans="1:1">
      <c r="A8324" s="1"/>
    </row>
    <row r="8325" spans="1:1">
      <c r="A8325" s="1"/>
    </row>
    <row r="8326" spans="1:1">
      <c r="A8326" s="1"/>
    </row>
    <row r="8327" spans="1:1">
      <c r="A8327" s="1"/>
    </row>
    <row r="8328" spans="1:1">
      <c r="A8328" s="1"/>
    </row>
    <row r="8329" spans="1:1">
      <c r="A8329" s="1"/>
    </row>
    <row r="8330" spans="1:1">
      <c r="A8330" s="1"/>
    </row>
    <row r="8331" spans="1:1">
      <c r="A8331" s="1"/>
    </row>
    <row r="8332" spans="1:1">
      <c r="A8332" s="1"/>
    </row>
    <row r="8333" spans="1:1">
      <c r="A8333" s="1"/>
    </row>
    <row r="8334" spans="1:1">
      <c r="A8334" s="1"/>
    </row>
    <row r="8335" spans="1:1">
      <c r="A8335" s="1"/>
    </row>
    <row r="8336" spans="1:1">
      <c r="A8336" s="1"/>
    </row>
    <row r="8337" spans="1:1">
      <c r="A8337" s="1"/>
    </row>
    <row r="8338" spans="1:1">
      <c r="A8338" s="1"/>
    </row>
    <row r="8339" spans="1:1">
      <c r="A8339" s="1"/>
    </row>
    <row r="8340" spans="1:1">
      <c r="A8340" s="1"/>
    </row>
    <row r="8341" spans="1:1">
      <c r="A8341" s="1"/>
    </row>
    <row r="8342" spans="1:1">
      <c r="A8342" s="1"/>
    </row>
    <row r="8343" spans="1:1">
      <c r="A8343" s="1"/>
    </row>
    <row r="8344" spans="1:1">
      <c r="A8344" s="1"/>
    </row>
    <row r="8345" spans="1:1">
      <c r="A8345" s="1"/>
    </row>
    <row r="8346" spans="1:1">
      <c r="A8346" s="1"/>
    </row>
    <row r="8347" spans="1:1">
      <c r="A8347" s="1"/>
    </row>
    <row r="8348" spans="1:1">
      <c r="A8348" s="1"/>
    </row>
    <row r="8349" spans="1:1">
      <c r="A8349" s="1"/>
    </row>
    <row r="8350" spans="1:1">
      <c r="A8350" s="1"/>
    </row>
    <row r="8351" spans="1:1">
      <c r="A8351" s="1"/>
    </row>
    <row r="8352" spans="1:1">
      <c r="A8352" s="1"/>
    </row>
    <row r="8353" spans="1:1">
      <c r="A8353" s="1"/>
    </row>
    <row r="8354" spans="1:1">
      <c r="A8354" s="1"/>
    </row>
    <row r="8355" spans="1:1">
      <c r="A8355" s="1"/>
    </row>
    <row r="8356" spans="1:1">
      <c r="A8356" s="1"/>
    </row>
    <row r="8357" spans="1:1">
      <c r="A8357" s="1"/>
    </row>
    <row r="8358" spans="1:1">
      <c r="A8358" s="1"/>
    </row>
    <row r="8359" spans="1:1">
      <c r="A8359" s="1"/>
    </row>
    <row r="8360" spans="1:1">
      <c r="A8360" s="1"/>
    </row>
    <row r="8361" spans="1:1">
      <c r="A8361" s="1"/>
    </row>
    <row r="8362" spans="1:1">
      <c r="A8362" s="1"/>
    </row>
    <row r="8363" spans="1:1">
      <c r="A8363" s="1"/>
    </row>
    <row r="8364" spans="1:1">
      <c r="A8364" s="1"/>
    </row>
    <row r="8365" spans="1:1">
      <c r="A8365" s="1"/>
    </row>
    <row r="8366" spans="1:1">
      <c r="A8366" s="1"/>
    </row>
    <row r="8367" spans="1:1">
      <c r="A8367" s="1"/>
    </row>
    <row r="8368" spans="1:1">
      <c r="A8368" s="1"/>
    </row>
    <row r="8369" spans="1:1">
      <c r="A8369" s="1"/>
    </row>
    <row r="8370" spans="1:1">
      <c r="A8370" s="1"/>
    </row>
    <row r="8371" spans="1:1">
      <c r="A8371" s="1"/>
    </row>
    <row r="8372" spans="1:1">
      <c r="A8372" s="1"/>
    </row>
    <row r="8373" spans="1:1">
      <c r="A8373" s="1"/>
    </row>
    <row r="8374" spans="1:1">
      <c r="A8374" s="1"/>
    </row>
    <row r="8375" spans="1:1">
      <c r="A8375" s="1"/>
    </row>
    <row r="8376" spans="1:1">
      <c r="A8376" s="1"/>
    </row>
    <row r="8377" spans="1:1">
      <c r="A8377" s="1"/>
    </row>
    <row r="8378" spans="1:1">
      <c r="A8378" s="1"/>
    </row>
    <row r="8379" spans="1:1">
      <c r="A8379" s="1"/>
    </row>
    <row r="8380" spans="1:1">
      <c r="A8380" s="1"/>
    </row>
    <row r="8381" spans="1:1">
      <c r="A8381" s="1"/>
    </row>
    <row r="8382" spans="1:1">
      <c r="A8382" s="1"/>
    </row>
    <row r="8383" spans="1:1">
      <c r="A8383" s="1"/>
    </row>
    <row r="8384" spans="1:1">
      <c r="A8384" s="1"/>
    </row>
    <row r="8385" spans="1:1">
      <c r="A8385" s="1"/>
    </row>
    <row r="8386" spans="1:1">
      <c r="A8386" s="1"/>
    </row>
    <row r="8387" spans="1:1">
      <c r="A8387" s="1"/>
    </row>
    <row r="8388" spans="1:1">
      <c r="A8388" s="1"/>
    </row>
    <row r="8389" spans="1:1">
      <c r="A8389" s="1"/>
    </row>
    <row r="8390" spans="1:1">
      <c r="A8390" s="1"/>
    </row>
    <row r="8391" spans="1:1">
      <c r="A8391" s="1"/>
    </row>
    <row r="8392" spans="1:1">
      <c r="A8392" s="1"/>
    </row>
    <row r="8393" spans="1:1">
      <c r="A8393" s="1"/>
    </row>
    <row r="8394" spans="1:1">
      <c r="A8394" s="1"/>
    </row>
    <row r="8395" spans="1:1">
      <c r="A8395" s="1"/>
    </row>
    <row r="8396" spans="1:1">
      <c r="A8396" s="1"/>
    </row>
    <row r="8397" spans="1:1">
      <c r="A8397" s="1"/>
    </row>
    <row r="8398" spans="1:1">
      <c r="A8398" s="1"/>
    </row>
    <row r="8399" spans="1:1">
      <c r="A8399" s="1"/>
    </row>
    <row r="8400" spans="1:1">
      <c r="A8400" s="1"/>
    </row>
    <row r="8401" spans="1:1">
      <c r="A8401" s="1"/>
    </row>
    <row r="8402" spans="1:1">
      <c r="A8402" s="1"/>
    </row>
    <row r="8403" spans="1:1">
      <c r="A8403" s="1"/>
    </row>
    <row r="8404" spans="1:1">
      <c r="A8404" s="1"/>
    </row>
    <row r="8405" spans="1:1">
      <c r="A8405" s="1"/>
    </row>
    <row r="8406" spans="1:1">
      <c r="A8406" s="1"/>
    </row>
    <row r="8407" spans="1:1">
      <c r="A8407" s="1"/>
    </row>
    <row r="8408" spans="1:1">
      <c r="A8408" s="1"/>
    </row>
    <row r="8409" spans="1:1">
      <c r="A8409" s="1"/>
    </row>
    <row r="8410" spans="1:1">
      <c r="A8410" s="1"/>
    </row>
    <row r="8411" spans="1:1">
      <c r="A8411" s="1"/>
    </row>
    <row r="8412" spans="1:1">
      <c r="A8412" s="1"/>
    </row>
    <row r="8413" spans="1:1">
      <c r="A8413" s="1"/>
    </row>
    <row r="8414" spans="1:1">
      <c r="A8414" s="1"/>
    </row>
    <row r="8415" spans="1:1">
      <c r="A8415" s="1"/>
    </row>
    <row r="8416" spans="1:1">
      <c r="A8416" s="1"/>
    </row>
    <row r="8417" spans="1:1">
      <c r="A8417" s="1"/>
    </row>
    <row r="8418" spans="1:1">
      <c r="A8418" s="1"/>
    </row>
    <row r="8419" spans="1:1">
      <c r="A8419" s="1"/>
    </row>
    <row r="8420" spans="1:1">
      <c r="A8420" s="1"/>
    </row>
    <row r="8421" spans="1:1">
      <c r="A8421" s="1"/>
    </row>
    <row r="8422" spans="1:1">
      <c r="A8422" s="1"/>
    </row>
    <row r="8423" spans="1:1">
      <c r="A8423" s="1"/>
    </row>
    <row r="8424" spans="1:1">
      <c r="A8424" s="1"/>
    </row>
    <row r="8425" spans="1:1">
      <c r="A8425" s="1"/>
    </row>
    <row r="8426" spans="1:1">
      <c r="A8426" s="1"/>
    </row>
    <row r="8427" spans="1:1">
      <c r="A8427" s="1"/>
    </row>
    <row r="8428" spans="1:1">
      <c r="A8428" s="1"/>
    </row>
    <row r="8429" spans="1:1">
      <c r="A8429" s="1"/>
    </row>
    <row r="8430" spans="1:1">
      <c r="A8430" s="1"/>
    </row>
    <row r="8431" spans="1:1">
      <c r="A8431" s="1"/>
    </row>
    <row r="8432" spans="1:1">
      <c r="A8432" s="1"/>
    </row>
    <row r="8433" spans="1:1">
      <c r="A8433" s="1"/>
    </row>
    <row r="8434" spans="1:1">
      <c r="A8434" s="1"/>
    </row>
    <row r="8435" spans="1:1">
      <c r="A8435" s="1"/>
    </row>
    <row r="8436" spans="1:1">
      <c r="A8436" s="1"/>
    </row>
    <row r="8437" spans="1:1">
      <c r="A8437" s="1"/>
    </row>
    <row r="8438" spans="1:1">
      <c r="A8438" s="1"/>
    </row>
    <row r="8439" spans="1:1">
      <c r="A8439" s="1"/>
    </row>
    <row r="8440" spans="1:1">
      <c r="A8440" s="1"/>
    </row>
    <row r="8441" spans="1:1">
      <c r="A8441" s="1"/>
    </row>
    <row r="8442" spans="1:1">
      <c r="A8442" s="1"/>
    </row>
    <row r="8443" spans="1:1">
      <c r="A8443" s="1"/>
    </row>
    <row r="8444" spans="1:1">
      <c r="A8444" s="1"/>
    </row>
    <row r="8445" spans="1:1">
      <c r="A8445" s="1"/>
    </row>
    <row r="8446" spans="1:1">
      <c r="A8446" s="1"/>
    </row>
    <row r="8447" spans="1:1">
      <c r="A8447" s="1"/>
    </row>
    <row r="8448" spans="1:1">
      <c r="A8448" s="1"/>
    </row>
    <row r="8449" spans="1:1">
      <c r="A8449" s="1"/>
    </row>
    <row r="8450" spans="1:1">
      <c r="A8450" s="1"/>
    </row>
    <row r="8451" spans="1:1">
      <c r="A8451" s="1"/>
    </row>
    <row r="8452" spans="1:1">
      <c r="A8452" s="1"/>
    </row>
    <row r="8453" spans="1:1">
      <c r="A8453" s="1"/>
    </row>
    <row r="8454" spans="1:1">
      <c r="A8454" s="1"/>
    </row>
    <row r="8455" spans="1:1">
      <c r="A8455" s="1"/>
    </row>
    <row r="8456" spans="1:1">
      <c r="A8456" s="1"/>
    </row>
    <row r="8457" spans="1:1">
      <c r="A8457" s="1"/>
    </row>
    <row r="8458" spans="1:1">
      <c r="A8458" s="1"/>
    </row>
    <row r="8459" spans="1:1">
      <c r="A8459" s="1"/>
    </row>
    <row r="8460" spans="1:1">
      <c r="A8460" s="1"/>
    </row>
    <row r="8461" spans="1:1">
      <c r="A8461" s="1"/>
    </row>
    <row r="8462" spans="1:1">
      <c r="A8462" s="1"/>
    </row>
    <row r="8463" spans="1:1">
      <c r="A8463" s="1"/>
    </row>
    <row r="8464" spans="1:1">
      <c r="A8464" s="1"/>
    </row>
    <row r="8465" spans="1:1">
      <c r="A8465" s="1"/>
    </row>
    <row r="8466" spans="1:1">
      <c r="A8466" s="1"/>
    </row>
    <row r="8467" spans="1:1">
      <c r="A8467" s="1"/>
    </row>
    <row r="8468" spans="1:1">
      <c r="A8468" s="1"/>
    </row>
    <row r="8469" spans="1:1">
      <c r="A8469" s="1"/>
    </row>
    <row r="8470" spans="1:1">
      <c r="A8470" s="1"/>
    </row>
    <row r="8471" spans="1:1">
      <c r="A8471" s="1"/>
    </row>
    <row r="8472" spans="1:1">
      <c r="A8472" s="1"/>
    </row>
    <row r="8473" spans="1:1">
      <c r="A8473" s="1"/>
    </row>
    <row r="8474" spans="1:1">
      <c r="A8474" s="1"/>
    </row>
    <row r="8475" spans="1:1">
      <c r="A8475" s="1"/>
    </row>
    <row r="8476" spans="1:1">
      <c r="A8476" s="1"/>
    </row>
    <row r="8477" spans="1:1">
      <c r="A8477" s="1"/>
    </row>
    <row r="8478" spans="1:1">
      <c r="A8478" s="1"/>
    </row>
    <row r="8479" spans="1:1">
      <c r="A8479" s="1"/>
    </row>
    <row r="8480" spans="1:1">
      <c r="A8480" s="1"/>
    </row>
    <row r="8481" spans="1:1">
      <c r="A8481" s="1"/>
    </row>
    <row r="8482" spans="1:1">
      <c r="A8482" s="1"/>
    </row>
    <row r="8483" spans="1:1">
      <c r="A8483" s="1"/>
    </row>
    <row r="8484" spans="1:1">
      <c r="A8484" s="1"/>
    </row>
    <row r="8485" spans="1:1">
      <c r="A8485" s="1"/>
    </row>
    <row r="8486" spans="1:1">
      <c r="A8486" s="1"/>
    </row>
    <row r="8487" spans="1:1">
      <c r="A8487" s="1"/>
    </row>
    <row r="8488" spans="1:1">
      <c r="A8488" s="1"/>
    </row>
    <row r="8489" spans="1:1">
      <c r="A8489" s="1"/>
    </row>
    <row r="8490" spans="1:1">
      <c r="A8490" s="1"/>
    </row>
    <row r="8491" spans="1:1">
      <c r="A8491" s="1"/>
    </row>
    <row r="8492" spans="1:1">
      <c r="A8492" s="1"/>
    </row>
    <row r="8493" spans="1:1">
      <c r="A8493" s="1"/>
    </row>
    <row r="8494" spans="1:1">
      <c r="A8494" s="1"/>
    </row>
    <row r="8495" spans="1:1">
      <c r="A8495" s="1"/>
    </row>
    <row r="8496" spans="1:1">
      <c r="A8496" s="1"/>
    </row>
    <row r="8497" spans="1:1">
      <c r="A8497" s="1"/>
    </row>
    <row r="8498" spans="1:1">
      <c r="A8498" s="1"/>
    </row>
    <row r="8499" spans="1:1">
      <c r="A8499" s="1"/>
    </row>
    <row r="8500" spans="1:1">
      <c r="A8500" s="1"/>
    </row>
    <row r="8501" spans="1:1">
      <c r="A8501" s="1"/>
    </row>
    <row r="8502" spans="1:1">
      <c r="A8502" s="1"/>
    </row>
    <row r="8503" spans="1:1">
      <c r="A8503" s="1"/>
    </row>
    <row r="8504" spans="1:1">
      <c r="A8504" s="1"/>
    </row>
    <row r="8505" spans="1:1">
      <c r="A8505" s="1"/>
    </row>
    <row r="8506" spans="1:1">
      <c r="A8506" s="1"/>
    </row>
    <row r="8507" spans="1:1">
      <c r="A8507" s="1"/>
    </row>
    <row r="8508" spans="1:1">
      <c r="A8508" s="1"/>
    </row>
    <row r="8509" spans="1:1">
      <c r="A8509" s="1"/>
    </row>
    <row r="8510" spans="1:1">
      <c r="A8510" s="1"/>
    </row>
    <row r="8511" spans="1:1">
      <c r="A8511" s="1"/>
    </row>
    <row r="8512" spans="1:1">
      <c r="A8512" s="1"/>
    </row>
    <row r="8513" spans="1:1">
      <c r="A8513" s="1"/>
    </row>
    <row r="8514" spans="1:1">
      <c r="A8514" s="1"/>
    </row>
    <row r="8515" spans="1:1">
      <c r="A8515" s="1"/>
    </row>
    <row r="8516" spans="1:1">
      <c r="A8516" s="1"/>
    </row>
    <row r="8517" spans="1:1">
      <c r="A8517" s="1"/>
    </row>
    <row r="8518" spans="1:1">
      <c r="A8518" s="1"/>
    </row>
    <row r="8519" spans="1:1">
      <c r="A8519" s="1"/>
    </row>
    <row r="8520" spans="1:1">
      <c r="A8520" s="1"/>
    </row>
    <row r="8521" spans="1:1">
      <c r="A8521" s="1"/>
    </row>
    <row r="8522" spans="1:1">
      <c r="A8522" s="1"/>
    </row>
    <row r="8523" spans="1:1">
      <c r="A8523" s="1"/>
    </row>
    <row r="8524" spans="1:1">
      <c r="A8524" s="1"/>
    </row>
    <row r="8525" spans="1:1">
      <c r="A8525" s="1"/>
    </row>
    <row r="8526" spans="1:1">
      <c r="A8526" s="1"/>
    </row>
    <row r="8527" spans="1:1">
      <c r="A8527" s="1"/>
    </row>
    <row r="8528" spans="1:1">
      <c r="A8528" s="1"/>
    </row>
    <row r="8529" spans="1:1">
      <c r="A8529" s="1"/>
    </row>
    <row r="8530" spans="1:1">
      <c r="A8530" s="1"/>
    </row>
    <row r="8531" spans="1:1">
      <c r="A8531" s="1"/>
    </row>
    <row r="8532" spans="1:1">
      <c r="A8532" s="1"/>
    </row>
    <row r="8533" spans="1:1">
      <c r="A8533" s="1"/>
    </row>
    <row r="8534" spans="1:1">
      <c r="A8534" s="1"/>
    </row>
    <row r="8535" spans="1:1">
      <c r="A8535" s="1"/>
    </row>
    <row r="8536" spans="1:1">
      <c r="A8536" s="1"/>
    </row>
    <row r="8537" spans="1:1">
      <c r="A8537" s="1"/>
    </row>
    <row r="8538" spans="1:1">
      <c r="A8538" s="1"/>
    </row>
    <row r="8539" spans="1:1">
      <c r="A8539" s="1"/>
    </row>
    <row r="8540" spans="1:1">
      <c r="A8540" s="1"/>
    </row>
    <row r="8541" spans="1:1">
      <c r="A8541" s="1"/>
    </row>
    <row r="8542" spans="1:1">
      <c r="A8542" s="1"/>
    </row>
    <row r="8543" spans="1:1">
      <c r="A8543" s="1"/>
    </row>
    <row r="8544" spans="1:1">
      <c r="A8544" s="1"/>
    </row>
    <row r="8545" spans="1:1">
      <c r="A8545" s="1"/>
    </row>
    <row r="8546" spans="1:1">
      <c r="A8546" s="1"/>
    </row>
    <row r="8547" spans="1:1">
      <c r="A8547" s="1"/>
    </row>
    <row r="8548" spans="1:1">
      <c r="A8548" s="1"/>
    </row>
    <row r="8549" spans="1:1">
      <c r="A8549" s="1"/>
    </row>
    <row r="8550" spans="1:1">
      <c r="A8550" s="1"/>
    </row>
    <row r="8551" spans="1:1">
      <c r="A8551" s="1"/>
    </row>
    <row r="8552" spans="1:1">
      <c r="A8552" s="1"/>
    </row>
    <row r="8553" spans="1:1">
      <c r="A8553" s="1"/>
    </row>
    <row r="8554" spans="1:1">
      <c r="A8554" s="1"/>
    </row>
    <row r="8555" spans="1:1">
      <c r="A8555" s="1"/>
    </row>
    <row r="8556" spans="1:1">
      <c r="A8556" s="1"/>
    </row>
    <row r="8557" spans="1:1">
      <c r="A8557" s="1"/>
    </row>
    <row r="8558" spans="1:1">
      <c r="A8558" s="1"/>
    </row>
    <row r="8559" spans="1:1">
      <c r="A8559" s="1"/>
    </row>
    <row r="8560" spans="1:1">
      <c r="A8560" s="1"/>
    </row>
    <row r="8561" spans="1:1">
      <c r="A8561" s="1"/>
    </row>
    <row r="8562" spans="1:1">
      <c r="A8562" s="1"/>
    </row>
    <row r="8563" spans="1:1">
      <c r="A8563" s="1"/>
    </row>
    <row r="8564" spans="1:1">
      <c r="A8564" s="1"/>
    </row>
    <row r="8565" spans="1:1">
      <c r="A8565" s="1"/>
    </row>
    <row r="8566" spans="1:1">
      <c r="A8566" s="1"/>
    </row>
    <row r="8567" spans="1:1">
      <c r="A8567" s="1"/>
    </row>
    <row r="8568" spans="1:1">
      <c r="A8568" s="1"/>
    </row>
    <row r="8569" spans="1:1">
      <c r="A8569" s="1"/>
    </row>
    <row r="8570" spans="1:1">
      <c r="A8570" s="1"/>
    </row>
    <row r="8571" spans="1:1">
      <c r="A8571" s="1"/>
    </row>
    <row r="8572" spans="1:1">
      <c r="A8572" s="1"/>
    </row>
    <row r="8573" spans="1:1">
      <c r="A8573" s="1"/>
    </row>
    <row r="8574" spans="1:1">
      <c r="A8574" s="1"/>
    </row>
    <row r="8575" spans="1:1">
      <c r="A8575" s="1"/>
    </row>
    <row r="8576" spans="1:1">
      <c r="A8576" s="1"/>
    </row>
    <row r="8577" spans="1:1">
      <c r="A8577" s="1"/>
    </row>
    <row r="8578" spans="1:1">
      <c r="A8578" s="1"/>
    </row>
    <row r="8579" spans="1:1">
      <c r="A8579" s="1"/>
    </row>
    <row r="8580" spans="1:1">
      <c r="A8580" s="1"/>
    </row>
    <row r="8581" spans="1:1">
      <c r="A8581" s="1"/>
    </row>
    <row r="8582" spans="1:1">
      <c r="A8582" s="1"/>
    </row>
    <row r="8583" spans="1:1">
      <c r="A8583" s="1"/>
    </row>
    <row r="8584" spans="1:1">
      <c r="A8584" s="1"/>
    </row>
    <row r="8585" spans="1:1">
      <c r="A8585" s="1"/>
    </row>
    <row r="8586" spans="1:1">
      <c r="A8586" s="1"/>
    </row>
    <row r="8587" spans="1:1">
      <c r="A8587" s="1"/>
    </row>
    <row r="8588" spans="1:1">
      <c r="A8588" s="1"/>
    </row>
    <row r="8589" spans="1:1">
      <c r="A8589" s="1"/>
    </row>
    <row r="8590" spans="1:1">
      <c r="A8590" s="1"/>
    </row>
    <row r="8591" spans="1:1">
      <c r="A8591" s="1"/>
    </row>
    <row r="8592" spans="1:1">
      <c r="A8592" s="1"/>
    </row>
    <row r="8593" spans="1:1">
      <c r="A8593" s="1"/>
    </row>
    <row r="8594" spans="1:1">
      <c r="A8594" s="1"/>
    </row>
    <row r="8595" spans="1:1">
      <c r="A8595" s="1"/>
    </row>
    <row r="8596" spans="1:1">
      <c r="A8596" s="1"/>
    </row>
    <row r="8597" spans="1:1">
      <c r="A8597" s="1"/>
    </row>
    <row r="8598" spans="1:1">
      <c r="A8598" s="1"/>
    </row>
    <row r="8599" spans="1:1">
      <c r="A8599" s="1"/>
    </row>
    <row r="8600" spans="1:1">
      <c r="A8600" s="1"/>
    </row>
    <row r="8601" spans="1:1">
      <c r="A8601" s="1"/>
    </row>
    <row r="8602" spans="1:1">
      <c r="A8602" s="1"/>
    </row>
    <row r="8603" spans="1:1">
      <c r="A8603" s="1"/>
    </row>
    <row r="8604" spans="1:1">
      <c r="A8604" s="1"/>
    </row>
    <row r="8605" spans="1:1">
      <c r="A8605" s="1"/>
    </row>
    <row r="8606" spans="1:1">
      <c r="A8606" s="1"/>
    </row>
    <row r="8607" spans="1:1">
      <c r="A8607" s="1"/>
    </row>
    <row r="8608" spans="1:1">
      <c r="A8608" s="1"/>
    </row>
    <row r="8609" spans="1:1">
      <c r="A8609" s="1"/>
    </row>
    <row r="8610" spans="1:1">
      <c r="A8610" s="1"/>
    </row>
    <row r="8611" spans="1:1">
      <c r="A8611" s="1"/>
    </row>
    <row r="8612" spans="1:1">
      <c r="A8612" s="1"/>
    </row>
    <row r="8613" spans="1:1">
      <c r="A8613" s="1"/>
    </row>
    <row r="8614" spans="1:1">
      <c r="A8614" s="1"/>
    </row>
    <row r="8615" spans="1:1">
      <c r="A8615" s="1"/>
    </row>
    <row r="8616" spans="1:1">
      <c r="A8616" s="1"/>
    </row>
    <row r="8617" spans="1:1">
      <c r="A8617" s="1"/>
    </row>
    <row r="8618" spans="1:1">
      <c r="A8618" s="1"/>
    </row>
    <row r="8619" spans="1:1">
      <c r="A8619" s="1"/>
    </row>
    <row r="8620" spans="1:1">
      <c r="A8620" s="1"/>
    </row>
    <row r="8621" spans="1:1">
      <c r="A8621" s="1"/>
    </row>
    <row r="8622" spans="1:1">
      <c r="A8622" s="1"/>
    </row>
    <row r="8623" spans="1:1">
      <c r="A8623" s="1"/>
    </row>
    <row r="8624" spans="1:1">
      <c r="A8624" s="1"/>
    </row>
    <row r="8625" spans="1:1">
      <c r="A8625" s="1"/>
    </row>
    <row r="8626" spans="1:1">
      <c r="A8626" s="1"/>
    </row>
    <row r="8627" spans="1:1">
      <c r="A8627" s="1"/>
    </row>
    <row r="8628" spans="1:1">
      <c r="A8628" s="1"/>
    </row>
    <row r="8629" spans="1:1">
      <c r="A8629" s="1"/>
    </row>
    <row r="8630" spans="1:1">
      <c r="A8630" s="1"/>
    </row>
    <row r="8631" spans="1:1">
      <c r="A8631" s="1"/>
    </row>
    <row r="8632" spans="1:1">
      <c r="A8632" s="1"/>
    </row>
    <row r="8633" spans="1:1">
      <c r="A8633" s="1"/>
    </row>
    <row r="8634" spans="1:1">
      <c r="A8634" s="1"/>
    </row>
    <row r="8635" spans="1:1">
      <c r="A8635" s="1"/>
    </row>
    <row r="8636" spans="1:1">
      <c r="A8636" s="1"/>
    </row>
    <row r="8637" spans="1:1">
      <c r="A8637" s="1"/>
    </row>
    <row r="8638" spans="1:1">
      <c r="A8638" s="1"/>
    </row>
    <row r="8639" spans="1:1">
      <c r="A8639" s="1"/>
    </row>
    <row r="8640" spans="1:1">
      <c r="A8640" s="1"/>
    </row>
    <row r="8641" spans="1:1">
      <c r="A8641" s="1"/>
    </row>
    <row r="8642" spans="1:1">
      <c r="A8642" s="1"/>
    </row>
    <row r="8643" spans="1:1">
      <c r="A8643" s="1"/>
    </row>
    <row r="8644" spans="1:1">
      <c r="A8644" s="1"/>
    </row>
    <row r="8645" spans="1:1">
      <c r="A8645" s="1"/>
    </row>
    <row r="8646" spans="1:1">
      <c r="A8646" s="1"/>
    </row>
    <row r="8647" spans="1:1">
      <c r="A8647" s="1"/>
    </row>
    <row r="8648" spans="1:1">
      <c r="A8648" s="1"/>
    </row>
    <row r="8649" spans="1:1">
      <c r="A8649" s="1"/>
    </row>
    <row r="8650" spans="1:1">
      <c r="A8650" s="1"/>
    </row>
    <row r="8651" spans="1:1">
      <c r="A8651" s="1"/>
    </row>
    <row r="8652" spans="1:1">
      <c r="A8652" s="1"/>
    </row>
    <row r="8653" spans="1:1">
      <c r="A8653" s="1"/>
    </row>
    <row r="8654" spans="1:1">
      <c r="A8654" s="1"/>
    </row>
    <row r="8655" spans="1:1">
      <c r="A8655" s="1"/>
    </row>
    <row r="8656" spans="1:1">
      <c r="A8656" s="1"/>
    </row>
    <row r="8657" spans="1:1">
      <c r="A8657" s="1"/>
    </row>
    <row r="8658" spans="1:1">
      <c r="A8658" s="1"/>
    </row>
    <row r="8659" spans="1:1">
      <c r="A8659" s="1"/>
    </row>
    <row r="8660" spans="1:1">
      <c r="A8660" s="1"/>
    </row>
    <row r="8661" spans="1:1">
      <c r="A8661" s="1"/>
    </row>
    <row r="8662" spans="1:1">
      <c r="A8662" s="1"/>
    </row>
    <row r="8663" spans="1:1">
      <c r="A8663" s="1"/>
    </row>
    <row r="8664" spans="1:1">
      <c r="A8664" s="1"/>
    </row>
    <row r="8665" spans="1:1">
      <c r="A8665" s="1"/>
    </row>
    <row r="8666" spans="1:1">
      <c r="A8666" s="1"/>
    </row>
    <row r="8667" spans="1:1">
      <c r="A8667" s="1"/>
    </row>
    <row r="8668" spans="1:1">
      <c r="A8668" s="1"/>
    </row>
    <row r="8669" spans="1:1">
      <c r="A8669" s="1"/>
    </row>
    <row r="8670" spans="1:1">
      <c r="A8670" s="1"/>
    </row>
    <row r="8671" spans="1:1">
      <c r="A8671" s="1"/>
    </row>
    <row r="8672" spans="1:1">
      <c r="A8672" s="1"/>
    </row>
    <row r="8673" spans="1:1">
      <c r="A8673" s="1"/>
    </row>
    <row r="8674" spans="1:1">
      <c r="A8674" s="1"/>
    </row>
    <row r="8675" spans="1:1">
      <c r="A8675" s="1"/>
    </row>
    <row r="8676" spans="1:1">
      <c r="A8676" s="1"/>
    </row>
    <row r="8677" spans="1:1">
      <c r="A8677" s="1"/>
    </row>
    <row r="8678" spans="1:1">
      <c r="A8678" s="1"/>
    </row>
    <row r="8679" spans="1:1">
      <c r="A8679" s="1"/>
    </row>
    <row r="8680" spans="1:1">
      <c r="A8680" s="1"/>
    </row>
    <row r="8681" spans="1:1">
      <c r="A8681" s="1"/>
    </row>
    <row r="8682" spans="1:1">
      <c r="A8682" s="1"/>
    </row>
    <row r="8683" spans="1:1">
      <c r="A8683" s="1"/>
    </row>
    <row r="8684" spans="1:1">
      <c r="A8684" s="1"/>
    </row>
    <row r="8685" spans="1:1">
      <c r="A8685" s="1"/>
    </row>
    <row r="8686" spans="1:1">
      <c r="A8686" s="1"/>
    </row>
    <row r="8687" spans="1:1">
      <c r="A8687" s="1"/>
    </row>
    <row r="8688" spans="1:1">
      <c r="A8688" s="1"/>
    </row>
    <row r="8689" spans="1:1">
      <c r="A8689" s="1"/>
    </row>
    <row r="8690" spans="1:1">
      <c r="A8690" s="1"/>
    </row>
    <row r="8691" spans="1:1">
      <c r="A8691" s="1"/>
    </row>
    <row r="8692" spans="1:1">
      <c r="A8692" s="1"/>
    </row>
    <row r="8693" spans="1:1">
      <c r="A8693" s="1"/>
    </row>
    <row r="8694" spans="1:1">
      <c r="A8694" s="1"/>
    </row>
    <row r="8695" spans="1:1">
      <c r="A8695" s="1"/>
    </row>
    <row r="8696" spans="1:1">
      <c r="A8696" s="1"/>
    </row>
    <row r="8697" spans="1:1">
      <c r="A8697" s="1"/>
    </row>
    <row r="8698" spans="1:1">
      <c r="A8698" s="1"/>
    </row>
    <row r="8699" spans="1:1">
      <c r="A8699" s="1"/>
    </row>
    <row r="8700" spans="1:1">
      <c r="A8700" s="1"/>
    </row>
    <row r="8701" spans="1:1">
      <c r="A8701" s="1"/>
    </row>
    <row r="8702" spans="1:1">
      <c r="A8702" s="1"/>
    </row>
    <row r="8703" spans="1:1">
      <c r="A8703" s="1"/>
    </row>
    <row r="8704" spans="1:1">
      <c r="A8704" s="1"/>
    </row>
    <row r="8705" spans="1:1">
      <c r="A8705" s="1"/>
    </row>
    <row r="8706" spans="1:1">
      <c r="A8706" s="1"/>
    </row>
    <row r="8707" spans="1:1">
      <c r="A8707" s="1"/>
    </row>
    <row r="8708" spans="1:1">
      <c r="A8708" s="1"/>
    </row>
    <row r="8709" spans="1:1">
      <c r="A8709" s="1"/>
    </row>
    <row r="8710" spans="1:1">
      <c r="A8710" s="1"/>
    </row>
    <row r="8711" spans="1:1">
      <c r="A8711" s="1"/>
    </row>
    <row r="8712" spans="1:1">
      <c r="A8712" s="1"/>
    </row>
    <row r="8713" spans="1:1">
      <c r="A8713" s="1"/>
    </row>
    <row r="8714" spans="1:1">
      <c r="A8714" s="1"/>
    </row>
    <row r="8715" spans="1:1">
      <c r="A8715" s="1"/>
    </row>
    <row r="8716" spans="1:1">
      <c r="A8716" s="1"/>
    </row>
    <row r="8717" spans="1:1">
      <c r="A8717" s="1"/>
    </row>
    <row r="8718" spans="1:1">
      <c r="A8718" s="1"/>
    </row>
    <row r="8719" spans="1:1">
      <c r="A8719" s="1"/>
    </row>
    <row r="8720" spans="1:1">
      <c r="A8720" s="1"/>
    </row>
    <row r="8721" spans="1:1">
      <c r="A8721" s="1"/>
    </row>
    <row r="8722" spans="1:1">
      <c r="A8722" s="1"/>
    </row>
    <row r="8723" spans="1:1">
      <c r="A8723" s="1"/>
    </row>
    <row r="8724" spans="1:1">
      <c r="A8724" s="1"/>
    </row>
    <row r="8725" spans="1:1">
      <c r="A8725" s="1"/>
    </row>
    <row r="8726" spans="1:1">
      <c r="A8726" s="1"/>
    </row>
    <row r="8727" spans="1:1">
      <c r="A8727" s="1"/>
    </row>
    <row r="8728" spans="1:1">
      <c r="A8728" s="1"/>
    </row>
    <row r="8729" spans="1:1">
      <c r="A8729" s="1"/>
    </row>
    <row r="8730" spans="1:1">
      <c r="A8730" s="1"/>
    </row>
    <row r="8731" spans="1:1">
      <c r="A8731" s="1"/>
    </row>
    <row r="8732" spans="1:1">
      <c r="A8732" s="1"/>
    </row>
    <row r="8733" spans="1:1">
      <c r="A8733" s="1"/>
    </row>
    <row r="8734" spans="1:1">
      <c r="A8734" s="1"/>
    </row>
    <row r="8735" spans="1:1">
      <c r="A8735" s="1"/>
    </row>
    <row r="8736" spans="1:1">
      <c r="A8736" s="1"/>
    </row>
    <row r="8737" spans="1:1">
      <c r="A8737" s="1"/>
    </row>
    <row r="8738" spans="1:1">
      <c r="A8738" s="1"/>
    </row>
    <row r="8739" spans="1:1">
      <c r="A8739" s="1"/>
    </row>
    <row r="8740" spans="1:1">
      <c r="A8740" s="1"/>
    </row>
    <row r="8741" spans="1:1">
      <c r="A8741" s="1"/>
    </row>
    <row r="8742" spans="1:1">
      <c r="A8742" s="1"/>
    </row>
    <row r="8743" spans="1:1">
      <c r="A8743" s="1"/>
    </row>
    <row r="8744" spans="1:1">
      <c r="A8744" s="1"/>
    </row>
    <row r="8745" spans="1:1">
      <c r="A8745" s="1"/>
    </row>
    <row r="8746" spans="1:1">
      <c r="A8746" s="1"/>
    </row>
    <row r="8747" spans="1:1">
      <c r="A8747" s="1"/>
    </row>
    <row r="8748" spans="1:1">
      <c r="A8748" s="1"/>
    </row>
    <row r="8749" spans="1:1">
      <c r="A8749" s="1"/>
    </row>
    <row r="8750" spans="1:1">
      <c r="A8750" s="1"/>
    </row>
    <row r="8751" spans="1:1">
      <c r="A8751" s="1"/>
    </row>
    <row r="8752" spans="1:1">
      <c r="A8752" s="1"/>
    </row>
    <row r="8753" spans="1:1">
      <c r="A8753" s="1"/>
    </row>
    <row r="8754" spans="1:1">
      <c r="A8754" s="1"/>
    </row>
    <row r="8755" spans="1:1">
      <c r="A8755" s="1"/>
    </row>
    <row r="8756" spans="1:1">
      <c r="A8756" s="1"/>
    </row>
    <row r="8757" spans="1:1">
      <c r="A8757" s="1"/>
    </row>
    <row r="8758" spans="1:1">
      <c r="A8758" s="1"/>
    </row>
    <row r="8759" spans="1:1">
      <c r="A8759" s="1"/>
    </row>
    <row r="8760" spans="1:1">
      <c r="A8760" s="1"/>
    </row>
    <row r="8761" spans="1:1">
      <c r="A8761" s="1"/>
    </row>
    <row r="8762" spans="1:1">
      <c r="A8762" s="1"/>
    </row>
    <row r="8763" spans="1:1">
      <c r="A8763" s="1"/>
    </row>
    <row r="8764" spans="1:1">
      <c r="A8764" s="1"/>
    </row>
    <row r="8765" spans="1:1">
      <c r="A8765" s="1"/>
    </row>
    <row r="8766" spans="1:1">
      <c r="A8766" s="1"/>
    </row>
    <row r="8767" spans="1:1">
      <c r="A8767" s="1"/>
    </row>
    <row r="8768" spans="1:1">
      <c r="A8768" s="1"/>
    </row>
    <row r="8769" spans="1:1">
      <c r="A8769" s="1"/>
    </row>
    <row r="8770" spans="1:1">
      <c r="A8770" s="1"/>
    </row>
    <row r="8771" spans="1:1">
      <c r="A8771" s="1"/>
    </row>
    <row r="8772" spans="1:1">
      <c r="A8772" s="1"/>
    </row>
    <row r="8773" spans="1:1">
      <c r="A8773" s="1"/>
    </row>
    <row r="8774" spans="1:1">
      <c r="A8774" s="1"/>
    </row>
    <row r="8775" spans="1:1">
      <c r="A8775" s="1"/>
    </row>
    <row r="8776" spans="1:1">
      <c r="A8776" s="1"/>
    </row>
    <row r="8777" spans="1:1">
      <c r="A8777" s="1"/>
    </row>
    <row r="8778" spans="1:1">
      <c r="A8778" s="1"/>
    </row>
    <row r="8779" spans="1:1">
      <c r="A8779" s="1"/>
    </row>
    <row r="8780" spans="1:1">
      <c r="A8780" s="1"/>
    </row>
    <row r="8781" spans="1:1">
      <c r="A8781" s="1"/>
    </row>
    <row r="8782" spans="1:1">
      <c r="A8782" s="1"/>
    </row>
    <row r="8783" spans="1:1">
      <c r="A8783" s="1"/>
    </row>
    <row r="8784" spans="1:1">
      <c r="A8784" s="1"/>
    </row>
    <row r="8785" spans="1:1">
      <c r="A8785" s="1"/>
    </row>
    <row r="8786" spans="1:1">
      <c r="A8786" s="1"/>
    </row>
    <row r="8787" spans="1:1">
      <c r="A8787" s="1"/>
    </row>
    <row r="8788" spans="1:1">
      <c r="A8788" s="1"/>
    </row>
    <row r="8789" spans="1:1">
      <c r="A8789" s="1"/>
    </row>
    <row r="8790" spans="1:1">
      <c r="A8790" s="1"/>
    </row>
    <row r="8791" spans="1:1">
      <c r="A8791" s="1"/>
    </row>
    <row r="8792" spans="1:1">
      <c r="A8792" s="1"/>
    </row>
    <row r="8793" spans="1:1">
      <c r="A8793" s="1"/>
    </row>
    <row r="8794" spans="1:1">
      <c r="A8794" s="1"/>
    </row>
    <row r="8795" spans="1:1">
      <c r="A8795" s="1"/>
    </row>
    <row r="8796" spans="1:1">
      <c r="A8796" s="1"/>
    </row>
    <row r="8797" spans="1:1">
      <c r="A8797" s="1"/>
    </row>
    <row r="8798" spans="1:1">
      <c r="A8798" s="1"/>
    </row>
    <row r="8799" spans="1:1">
      <c r="A8799" s="1"/>
    </row>
    <row r="8800" spans="1:1">
      <c r="A8800" s="1"/>
    </row>
    <row r="8801" spans="1:1">
      <c r="A8801" s="1"/>
    </row>
    <row r="8802" spans="1:1">
      <c r="A8802" s="1"/>
    </row>
    <row r="8803" spans="1:1">
      <c r="A8803" s="1"/>
    </row>
    <row r="8804" spans="1:1">
      <c r="A8804" s="1"/>
    </row>
    <row r="8805" spans="1:1">
      <c r="A8805" s="1"/>
    </row>
    <row r="8806" spans="1:1">
      <c r="A8806" s="1"/>
    </row>
    <row r="8807" spans="1:1">
      <c r="A8807" s="1"/>
    </row>
    <row r="8808" spans="1:1">
      <c r="A8808" s="1"/>
    </row>
    <row r="8809" spans="1:1">
      <c r="A8809" s="1"/>
    </row>
    <row r="8810" spans="1:1">
      <c r="A8810" s="1"/>
    </row>
    <row r="8811" spans="1:1">
      <c r="A8811" s="1"/>
    </row>
    <row r="8812" spans="1:1">
      <c r="A8812" s="1"/>
    </row>
    <row r="8813" spans="1:1">
      <c r="A8813" s="1"/>
    </row>
    <row r="8814" spans="1:1">
      <c r="A8814" s="1"/>
    </row>
    <row r="8815" spans="1:1">
      <c r="A8815" s="1"/>
    </row>
    <row r="8816" spans="1:1">
      <c r="A8816" s="1"/>
    </row>
    <row r="8817" spans="1:1">
      <c r="A8817" s="1"/>
    </row>
    <row r="8818" spans="1:1">
      <c r="A8818" s="1"/>
    </row>
    <row r="8819" spans="1:1">
      <c r="A8819" s="1"/>
    </row>
    <row r="8820" spans="1:1">
      <c r="A8820" s="1"/>
    </row>
    <row r="8821" spans="1:1">
      <c r="A8821" s="1"/>
    </row>
    <row r="8822" spans="1:1">
      <c r="A8822" s="1"/>
    </row>
    <row r="8823" spans="1:1">
      <c r="A8823" s="1"/>
    </row>
    <row r="8824" spans="1:1">
      <c r="A8824" s="1"/>
    </row>
    <row r="8825" spans="1:1">
      <c r="A8825" s="1"/>
    </row>
    <row r="8826" spans="1:1">
      <c r="A8826" s="1"/>
    </row>
    <row r="8827" spans="1:1">
      <c r="A8827" s="1"/>
    </row>
    <row r="8828" spans="1:1">
      <c r="A8828" s="1"/>
    </row>
    <row r="8829" spans="1:1">
      <c r="A8829" s="1"/>
    </row>
    <row r="8830" spans="1:1">
      <c r="A8830" s="1"/>
    </row>
    <row r="8831" spans="1:1">
      <c r="A8831" s="1"/>
    </row>
    <row r="8832" spans="1:1">
      <c r="A8832" s="1"/>
    </row>
    <row r="8833" spans="1:1">
      <c r="A8833" s="1"/>
    </row>
    <row r="8834" spans="1:1">
      <c r="A8834" s="1"/>
    </row>
    <row r="8835" spans="1:1">
      <c r="A8835" s="1"/>
    </row>
    <row r="8836" spans="1:1">
      <c r="A8836" s="1"/>
    </row>
    <row r="8837" spans="1:1">
      <c r="A8837" s="1"/>
    </row>
    <row r="8838" spans="1:1">
      <c r="A8838" s="1"/>
    </row>
    <row r="8839" spans="1:1">
      <c r="A8839" s="1"/>
    </row>
    <row r="8840" spans="1:1">
      <c r="A8840" s="1"/>
    </row>
    <row r="8841" spans="1:1">
      <c r="A8841" s="1"/>
    </row>
    <row r="8842" spans="1:1">
      <c r="A8842" s="1"/>
    </row>
    <row r="8843" spans="1:1">
      <c r="A8843" s="1"/>
    </row>
    <row r="8844" spans="1:1">
      <c r="A8844" s="1"/>
    </row>
    <row r="8845" spans="1:1">
      <c r="A8845" s="1"/>
    </row>
    <row r="8846" spans="1:1">
      <c r="A8846" s="1"/>
    </row>
    <row r="8847" spans="1:1">
      <c r="A8847" s="1"/>
    </row>
    <row r="8848" spans="1:1">
      <c r="A8848" s="1"/>
    </row>
    <row r="8849" spans="1:1">
      <c r="A8849" s="1"/>
    </row>
    <row r="8850" spans="1:1">
      <c r="A8850" s="1"/>
    </row>
    <row r="8851" spans="1:1">
      <c r="A8851" s="1"/>
    </row>
    <row r="8852" spans="1:1">
      <c r="A8852" s="1"/>
    </row>
    <row r="8853" spans="1:1">
      <c r="A8853" s="1"/>
    </row>
    <row r="8854" spans="1:1">
      <c r="A8854" s="1"/>
    </row>
    <row r="8855" spans="1:1">
      <c r="A8855" s="1"/>
    </row>
    <row r="8856" spans="1:1">
      <c r="A8856" s="1"/>
    </row>
    <row r="8857" spans="1:1">
      <c r="A8857" s="1"/>
    </row>
    <row r="8858" spans="1:1">
      <c r="A8858" s="1"/>
    </row>
    <row r="8859" spans="1:1">
      <c r="A8859" s="1"/>
    </row>
    <row r="8860" spans="1:1">
      <c r="A8860" s="1"/>
    </row>
    <row r="8861" spans="1:1">
      <c r="A8861" s="1"/>
    </row>
    <row r="8862" spans="1:1">
      <c r="A8862" s="1"/>
    </row>
    <row r="8863" spans="1:1">
      <c r="A8863" s="1"/>
    </row>
    <row r="8864" spans="1:1">
      <c r="A8864" s="1"/>
    </row>
    <row r="8865" spans="1:1">
      <c r="A8865" s="1"/>
    </row>
    <row r="8866" spans="1:1">
      <c r="A8866" s="1"/>
    </row>
    <row r="8867" spans="1:1">
      <c r="A8867" s="1"/>
    </row>
    <row r="8868" spans="1:1">
      <c r="A8868" s="1"/>
    </row>
    <row r="8869" spans="1:1">
      <c r="A8869" s="1"/>
    </row>
    <row r="8870" spans="1:1">
      <c r="A8870" s="1"/>
    </row>
    <row r="8871" spans="1:1">
      <c r="A8871" s="1"/>
    </row>
    <row r="8872" spans="1:1">
      <c r="A8872" s="1"/>
    </row>
    <row r="8873" spans="1:1">
      <c r="A8873" s="1"/>
    </row>
    <row r="8874" spans="1:1">
      <c r="A8874" s="1"/>
    </row>
    <row r="8875" spans="1:1">
      <c r="A8875" s="1"/>
    </row>
    <row r="8876" spans="1:1">
      <c r="A8876" s="1"/>
    </row>
    <row r="8877" spans="1:1">
      <c r="A8877" s="1"/>
    </row>
    <row r="8878" spans="1:1">
      <c r="A8878" s="1"/>
    </row>
    <row r="8879" spans="1:1">
      <c r="A8879" s="1"/>
    </row>
    <row r="8880" spans="1:1">
      <c r="A8880" s="1"/>
    </row>
    <row r="8881" spans="1:1">
      <c r="A8881" s="1"/>
    </row>
    <row r="8882" spans="1:1">
      <c r="A8882" s="1"/>
    </row>
    <row r="8883" spans="1:1">
      <c r="A8883" s="1"/>
    </row>
    <row r="8884" spans="1:1">
      <c r="A8884" s="1"/>
    </row>
    <row r="8885" spans="1:1">
      <c r="A8885" s="1"/>
    </row>
    <row r="8886" spans="1:1">
      <c r="A8886" s="1"/>
    </row>
    <row r="8887" spans="1:1">
      <c r="A8887" s="1"/>
    </row>
    <row r="8888" spans="1:1">
      <c r="A8888" s="1"/>
    </row>
    <row r="8889" spans="1:1">
      <c r="A8889" s="1"/>
    </row>
    <row r="8890" spans="1:1">
      <c r="A8890" s="1"/>
    </row>
    <row r="8891" spans="1:1">
      <c r="A8891" s="1"/>
    </row>
    <row r="8892" spans="1:1">
      <c r="A8892" s="1"/>
    </row>
    <row r="8893" spans="1:1">
      <c r="A8893" s="1"/>
    </row>
    <row r="8894" spans="1:1">
      <c r="A8894" s="1"/>
    </row>
    <row r="8895" spans="1:1">
      <c r="A8895" s="1"/>
    </row>
    <row r="8896" spans="1:1">
      <c r="A8896" s="1"/>
    </row>
    <row r="8897" spans="1:1">
      <c r="A8897" s="1"/>
    </row>
    <row r="8898" spans="1:1">
      <c r="A8898" s="1"/>
    </row>
    <row r="8899" spans="1:1">
      <c r="A8899" s="1"/>
    </row>
    <row r="8900" spans="1:1">
      <c r="A8900" s="1"/>
    </row>
    <row r="8901" spans="1:1">
      <c r="A8901" s="1"/>
    </row>
    <row r="8902" spans="1:1">
      <c r="A8902" s="1"/>
    </row>
    <row r="8903" spans="1:1">
      <c r="A8903" s="1"/>
    </row>
    <row r="8904" spans="1:1">
      <c r="A8904" s="1"/>
    </row>
    <row r="8905" spans="1:1">
      <c r="A8905" s="1"/>
    </row>
    <row r="8906" spans="1:1">
      <c r="A8906" s="1"/>
    </row>
    <row r="8907" spans="1:1">
      <c r="A8907" s="1"/>
    </row>
    <row r="8908" spans="1:1">
      <c r="A8908" s="1"/>
    </row>
    <row r="8909" spans="1:1">
      <c r="A8909" s="1"/>
    </row>
    <row r="8910" spans="1:1">
      <c r="A8910" s="1"/>
    </row>
    <row r="8911" spans="1:1">
      <c r="A8911" s="1"/>
    </row>
    <row r="8912" spans="1:1">
      <c r="A8912" s="1"/>
    </row>
    <row r="8913" spans="1:1">
      <c r="A8913" s="1"/>
    </row>
    <row r="8914" spans="1:1">
      <c r="A8914" s="1"/>
    </row>
    <row r="8915" spans="1:1">
      <c r="A8915" s="1"/>
    </row>
    <row r="8916" spans="1:1">
      <c r="A8916" s="1"/>
    </row>
    <row r="8917" spans="1:1">
      <c r="A8917" s="1"/>
    </row>
    <row r="8918" spans="1:1">
      <c r="A8918" s="1"/>
    </row>
    <row r="8919" spans="1:1">
      <c r="A8919" s="1"/>
    </row>
    <row r="8920" spans="1:1">
      <c r="A8920" s="1"/>
    </row>
    <row r="8921" spans="1:1">
      <c r="A8921" s="1"/>
    </row>
    <row r="8922" spans="1:1">
      <c r="A8922" s="1"/>
    </row>
    <row r="8923" spans="1:1">
      <c r="A8923" s="1"/>
    </row>
    <row r="8924" spans="1:1">
      <c r="A8924" s="1"/>
    </row>
    <row r="8925" spans="1:1">
      <c r="A8925" s="1"/>
    </row>
    <row r="8926" spans="1:1">
      <c r="A8926" s="1"/>
    </row>
    <row r="8927" spans="1:1">
      <c r="A8927" s="1"/>
    </row>
    <row r="8928" spans="1:1">
      <c r="A8928" s="1"/>
    </row>
    <row r="8929" spans="1:1">
      <c r="A8929" s="1"/>
    </row>
    <row r="8930" spans="1:1">
      <c r="A8930" s="1"/>
    </row>
    <row r="8931" spans="1:1">
      <c r="A8931" s="1"/>
    </row>
    <row r="8932" spans="1:1">
      <c r="A8932" s="1"/>
    </row>
    <row r="8933" spans="1:1">
      <c r="A8933" s="1"/>
    </row>
    <row r="8934" spans="1:1">
      <c r="A8934" s="1"/>
    </row>
    <row r="8935" spans="1:1">
      <c r="A8935" s="1"/>
    </row>
    <row r="8936" spans="1:1">
      <c r="A8936" s="1"/>
    </row>
    <row r="8937" spans="1:1">
      <c r="A8937" s="1"/>
    </row>
    <row r="8938" spans="1:1">
      <c r="A8938" s="1"/>
    </row>
    <row r="8939" spans="1:1">
      <c r="A8939" s="1"/>
    </row>
    <row r="8940" spans="1:1">
      <c r="A8940" s="1"/>
    </row>
    <row r="8941" spans="1:1">
      <c r="A8941" s="1"/>
    </row>
    <row r="8942" spans="1:1">
      <c r="A8942" s="1"/>
    </row>
    <row r="8943" spans="1:1">
      <c r="A8943" s="1"/>
    </row>
    <row r="8944" spans="1:1">
      <c r="A8944" s="1"/>
    </row>
    <row r="8945" spans="1:1">
      <c r="A8945" s="1"/>
    </row>
    <row r="8946" spans="1:1">
      <c r="A8946" s="1"/>
    </row>
    <row r="8947" spans="1:1">
      <c r="A8947" s="1"/>
    </row>
    <row r="8948" spans="1:1">
      <c r="A8948" s="1"/>
    </row>
    <row r="8949" spans="1:1">
      <c r="A8949" s="1"/>
    </row>
    <row r="8950" spans="1:1">
      <c r="A8950" s="1"/>
    </row>
    <row r="8951" spans="1:1">
      <c r="A8951" s="1"/>
    </row>
    <row r="8952" spans="1:1">
      <c r="A8952" s="1"/>
    </row>
    <row r="8953" spans="1:1">
      <c r="A8953" s="1"/>
    </row>
    <row r="8954" spans="1:1">
      <c r="A8954" s="1"/>
    </row>
    <row r="8955" spans="1:1">
      <c r="A8955" s="1"/>
    </row>
    <row r="8956" spans="1:1">
      <c r="A8956" s="1"/>
    </row>
    <row r="8957" spans="1:1">
      <c r="A8957" s="1"/>
    </row>
    <row r="8958" spans="1:1">
      <c r="A8958" s="1"/>
    </row>
    <row r="8959" spans="1:1">
      <c r="A8959" s="1"/>
    </row>
    <row r="8960" spans="1:1">
      <c r="A8960" s="1"/>
    </row>
    <row r="8961" spans="1:1">
      <c r="A8961" s="1"/>
    </row>
    <row r="8962" spans="1:1">
      <c r="A8962" s="1"/>
    </row>
    <row r="8963" spans="1:1">
      <c r="A8963" s="1"/>
    </row>
    <row r="8964" spans="1:1">
      <c r="A8964" s="1"/>
    </row>
    <row r="8965" spans="1:1">
      <c r="A8965" s="1"/>
    </row>
    <row r="8966" spans="1:1">
      <c r="A8966" s="1"/>
    </row>
    <row r="8967" spans="1:1">
      <c r="A8967" s="1"/>
    </row>
    <row r="8968" spans="1:1">
      <c r="A8968" s="1"/>
    </row>
    <row r="8969" spans="1:1">
      <c r="A8969" s="1"/>
    </row>
    <row r="8970" spans="1:1">
      <c r="A8970" s="1"/>
    </row>
    <row r="8971" spans="1:1">
      <c r="A8971" s="1"/>
    </row>
    <row r="8972" spans="1:1">
      <c r="A8972" s="1"/>
    </row>
    <row r="8973" spans="1:1">
      <c r="A8973" s="1"/>
    </row>
    <row r="8974" spans="1:1">
      <c r="A8974" s="1"/>
    </row>
    <row r="8975" spans="1:1">
      <c r="A8975" s="1"/>
    </row>
    <row r="8976" spans="1:1">
      <c r="A8976" s="1"/>
    </row>
    <row r="8977" spans="1:1">
      <c r="A8977" s="1"/>
    </row>
    <row r="8978" spans="1:1">
      <c r="A8978" s="1"/>
    </row>
    <row r="8979" spans="1:1">
      <c r="A8979" s="1"/>
    </row>
    <row r="8980" spans="1:1">
      <c r="A8980" s="1"/>
    </row>
    <row r="8981" spans="1:1">
      <c r="A8981" s="1"/>
    </row>
    <row r="8982" spans="1:1">
      <c r="A8982" s="1"/>
    </row>
    <row r="8983" spans="1:1">
      <c r="A8983" s="1"/>
    </row>
    <row r="8984" spans="1:1">
      <c r="A8984" s="1"/>
    </row>
    <row r="8985" spans="1:1">
      <c r="A8985" s="1"/>
    </row>
    <row r="8986" spans="1:1">
      <c r="A8986" s="1"/>
    </row>
    <row r="8987" spans="1:1">
      <c r="A8987" s="1"/>
    </row>
    <row r="8988" spans="1:1">
      <c r="A8988" s="1"/>
    </row>
    <row r="8989" spans="1:1">
      <c r="A8989" s="1"/>
    </row>
    <row r="8990" spans="1:1">
      <c r="A8990" s="1"/>
    </row>
    <row r="8991" spans="1:1">
      <c r="A8991" s="1"/>
    </row>
    <row r="8992" spans="1:1">
      <c r="A8992" s="1"/>
    </row>
    <row r="8993" spans="1:1">
      <c r="A8993" s="1"/>
    </row>
    <row r="8994" spans="1:1">
      <c r="A8994" s="1"/>
    </row>
    <row r="8995" spans="1:1">
      <c r="A8995" s="1"/>
    </row>
    <row r="8996" spans="1:1">
      <c r="A8996" s="1"/>
    </row>
    <row r="8997" spans="1:1">
      <c r="A8997" s="1"/>
    </row>
    <row r="8998" spans="1:1">
      <c r="A8998" s="1"/>
    </row>
    <row r="8999" spans="1:1">
      <c r="A8999" s="1"/>
    </row>
    <row r="9000" spans="1:1">
      <c r="A9000" s="1"/>
    </row>
    <row r="9001" spans="1:1">
      <c r="A9001" s="1"/>
    </row>
    <row r="9002" spans="1:1">
      <c r="A9002" s="1"/>
    </row>
    <row r="9003" spans="1:1">
      <c r="A9003" s="1"/>
    </row>
    <row r="9004" spans="1:1">
      <c r="A9004" s="1"/>
    </row>
    <row r="9005" spans="1:1">
      <c r="A9005" s="1"/>
    </row>
    <row r="9006" spans="1:1">
      <c r="A9006" s="1"/>
    </row>
    <row r="9007" spans="1:1">
      <c r="A9007" s="1"/>
    </row>
    <row r="9008" spans="1:1">
      <c r="A9008" s="1"/>
    </row>
    <row r="9009" spans="1:1">
      <c r="A9009" s="1"/>
    </row>
    <row r="9010" spans="1:1">
      <c r="A9010" s="1"/>
    </row>
    <row r="9011" spans="1:1">
      <c r="A9011" s="1"/>
    </row>
    <row r="9012" spans="1:1">
      <c r="A9012" s="1"/>
    </row>
    <row r="9013" spans="1:1">
      <c r="A9013" s="1"/>
    </row>
    <row r="9014" spans="1:1">
      <c r="A9014" s="1"/>
    </row>
    <row r="9015" spans="1:1">
      <c r="A9015" s="1"/>
    </row>
    <row r="9016" spans="1:1">
      <c r="A9016" s="1"/>
    </row>
    <row r="9017" spans="1:1">
      <c r="A9017" s="1"/>
    </row>
    <row r="9018" spans="1:1">
      <c r="A9018" s="1"/>
    </row>
    <row r="9019" spans="1:1">
      <c r="A9019" s="1"/>
    </row>
    <row r="9020" spans="1:1">
      <c r="A9020" s="1"/>
    </row>
    <row r="9021" spans="1:1">
      <c r="A9021" s="1"/>
    </row>
    <row r="9022" spans="1:1">
      <c r="A9022" s="1"/>
    </row>
    <row r="9023" spans="1:1">
      <c r="A9023" s="1"/>
    </row>
    <row r="9024" spans="1:1">
      <c r="A9024" s="1"/>
    </row>
    <row r="9025" spans="1:1">
      <c r="A9025" s="1"/>
    </row>
    <row r="9026" spans="1:1">
      <c r="A9026" s="1"/>
    </row>
    <row r="9027" spans="1:1">
      <c r="A9027" s="1"/>
    </row>
    <row r="9028" spans="1:1">
      <c r="A9028" s="1"/>
    </row>
    <row r="9029" spans="1:1">
      <c r="A9029" s="1"/>
    </row>
    <row r="9030" spans="1:1">
      <c r="A9030" s="1"/>
    </row>
    <row r="9031" spans="1:1">
      <c r="A9031" s="1"/>
    </row>
    <row r="9032" spans="1:1">
      <c r="A9032" s="1"/>
    </row>
    <row r="9033" spans="1:1">
      <c r="A9033" s="1"/>
    </row>
    <row r="9034" spans="1:1">
      <c r="A9034" s="1"/>
    </row>
    <row r="9035" spans="1:1">
      <c r="A9035" s="1"/>
    </row>
    <row r="9036" spans="1:1">
      <c r="A9036" s="1"/>
    </row>
    <row r="9037" spans="1:1">
      <c r="A9037" s="1"/>
    </row>
    <row r="9038" spans="1:1">
      <c r="A9038" s="1"/>
    </row>
    <row r="9039" spans="1:1">
      <c r="A9039" s="1"/>
    </row>
    <row r="9040" spans="1:1">
      <c r="A9040" s="1"/>
    </row>
    <row r="9041" spans="1:1">
      <c r="A9041" s="1"/>
    </row>
    <row r="9042" spans="1:1">
      <c r="A9042" s="1"/>
    </row>
    <row r="9043" spans="1:1">
      <c r="A9043" s="1"/>
    </row>
    <row r="9044" spans="1:1">
      <c r="A9044" s="1"/>
    </row>
    <row r="9045" spans="1:1">
      <c r="A9045" s="1"/>
    </row>
    <row r="9046" spans="1:1">
      <c r="A9046" s="1"/>
    </row>
    <row r="9047" spans="1:1">
      <c r="A9047" s="1"/>
    </row>
    <row r="9048" spans="1:1">
      <c r="A9048" s="1"/>
    </row>
    <row r="9049" spans="1:1">
      <c r="A9049" s="1"/>
    </row>
    <row r="9050" spans="1:1">
      <c r="A9050" s="1"/>
    </row>
    <row r="9051" spans="1:1">
      <c r="A9051" s="1"/>
    </row>
    <row r="9052" spans="1:1">
      <c r="A9052" s="1"/>
    </row>
    <row r="9053" spans="1:1">
      <c r="A9053" s="1"/>
    </row>
    <row r="9054" spans="1:1">
      <c r="A9054" s="1"/>
    </row>
    <row r="9055" spans="1:1">
      <c r="A9055" s="1"/>
    </row>
    <row r="9056" spans="1:1">
      <c r="A9056" s="1"/>
    </row>
    <row r="9057" spans="1:1">
      <c r="A9057" s="1"/>
    </row>
    <row r="9058" spans="1:1">
      <c r="A9058" s="1"/>
    </row>
    <row r="9059" spans="1:1">
      <c r="A9059" s="1"/>
    </row>
    <row r="9060" spans="1:1">
      <c r="A9060" s="1"/>
    </row>
    <row r="9061" spans="1:1">
      <c r="A9061" s="1"/>
    </row>
    <row r="9062" spans="1:1">
      <c r="A9062" s="1"/>
    </row>
    <row r="9063" spans="1:1">
      <c r="A9063" s="1"/>
    </row>
    <row r="9064" spans="1:1">
      <c r="A9064" s="1"/>
    </row>
    <row r="9065" spans="1:1">
      <c r="A9065" s="1"/>
    </row>
    <row r="9066" spans="1:1">
      <c r="A9066" s="1"/>
    </row>
    <row r="9067" spans="1:1">
      <c r="A9067" s="1"/>
    </row>
    <row r="9068" spans="1:1">
      <c r="A9068" s="1"/>
    </row>
    <row r="9069" spans="1:1">
      <c r="A9069" s="1"/>
    </row>
    <row r="9070" spans="1:1">
      <c r="A9070" s="1"/>
    </row>
    <row r="9071" spans="1:1">
      <c r="A9071" s="1"/>
    </row>
    <row r="9072" spans="1:1">
      <c r="A9072" s="1"/>
    </row>
    <row r="9073" spans="1:1">
      <c r="A9073" s="1"/>
    </row>
    <row r="9074" spans="1:1">
      <c r="A9074" s="1"/>
    </row>
    <row r="9075" spans="1:1">
      <c r="A9075" s="1"/>
    </row>
    <row r="9076" spans="1:1">
      <c r="A9076" s="1"/>
    </row>
    <row r="9077" spans="1:1">
      <c r="A9077" s="1"/>
    </row>
    <row r="9078" spans="1:1">
      <c r="A9078" s="1"/>
    </row>
    <row r="9079" spans="1:1">
      <c r="A9079" s="1"/>
    </row>
    <row r="9080" spans="1:1">
      <c r="A9080" s="1"/>
    </row>
    <row r="9081" spans="1:1">
      <c r="A9081" s="1"/>
    </row>
    <row r="9082" spans="1:1">
      <c r="A9082" s="1"/>
    </row>
    <row r="9083" spans="1:1">
      <c r="A9083" s="1"/>
    </row>
    <row r="9084" spans="1:1">
      <c r="A9084" s="1"/>
    </row>
    <row r="9085" spans="1:1">
      <c r="A9085" s="1"/>
    </row>
    <row r="9086" spans="1:1">
      <c r="A9086" s="1"/>
    </row>
    <row r="9087" spans="1:1">
      <c r="A9087" s="1"/>
    </row>
    <row r="9088" spans="1:1">
      <c r="A9088" s="1"/>
    </row>
    <row r="9089" spans="1:1">
      <c r="A9089" s="1"/>
    </row>
    <row r="9090" spans="1:1">
      <c r="A9090" s="1"/>
    </row>
    <row r="9091" spans="1:1">
      <c r="A9091" s="1"/>
    </row>
    <row r="9092" spans="1:1">
      <c r="A9092" s="1"/>
    </row>
    <row r="9093" spans="1:1">
      <c r="A9093" s="1"/>
    </row>
    <row r="9094" spans="1:1">
      <c r="A9094" s="1"/>
    </row>
    <row r="9095" spans="1:1">
      <c r="A9095" s="1"/>
    </row>
    <row r="9096" spans="1:1">
      <c r="A9096" s="1"/>
    </row>
    <row r="9097" spans="1:1">
      <c r="A9097" s="1"/>
    </row>
    <row r="9098" spans="1:1">
      <c r="A9098" s="1"/>
    </row>
    <row r="9099" spans="1:1">
      <c r="A9099" s="1"/>
    </row>
    <row r="9100" spans="1:1">
      <c r="A9100" s="1"/>
    </row>
    <row r="9101" spans="1:1">
      <c r="A9101" s="1"/>
    </row>
    <row r="9102" spans="1:1">
      <c r="A9102" s="1"/>
    </row>
    <row r="9103" spans="1:1">
      <c r="A9103" s="1"/>
    </row>
    <row r="9104" spans="1:1">
      <c r="A9104" s="1"/>
    </row>
    <row r="9105" spans="1:1">
      <c r="A9105" s="1"/>
    </row>
    <row r="9106" spans="1:1">
      <c r="A9106" s="1"/>
    </row>
    <row r="9107" spans="1:1">
      <c r="A9107" s="1"/>
    </row>
    <row r="9108" spans="1:1">
      <c r="A9108" s="1"/>
    </row>
    <row r="9109" spans="1:1">
      <c r="A9109" s="1"/>
    </row>
    <row r="9110" spans="1:1">
      <c r="A9110" s="1"/>
    </row>
    <row r="9111" spans="1:1">
      <c r="A9111" s="1"/>
    </row>
    <row r="9112" spans="1:1">
      <c r="A9112" s="1"/>
    </row>
    <row r="9113" spans="1:1">
      <c r="A9113" s="1"/>
    </row>
    <row r="9114" spans="1:1">
      <c r="A9114" s="1"/>
    </row>
    <row r="9115" spans="1:1">
      <c r="A9115" s="1"/>
    </row>
    <row r="9116" spans="1:1">
      <c r="A9116" s="1"/>
    </row>
    <row r="9117" spans="1:1">
      <c r="A9117" s="1"/>
    </row>
    <row r="9118" spans="1:1">
      <c r="A9118" s="1"/>
    </row>
    <row r="9119" spans="1:1">
      <c r="A9119" s="1"/>
    </row>
    <row r="9120" spans="1:1">
      <c r="A9120" s="1"/>
    </row>
    <row r="9121" spans="1:1">
      <c r="A9121" s="1"/>
    </row>
    <row r="9122" spans="1:1">
      <c r="A9122" s="1"/>
    </row>
    <row r="9123" spans="1:1">
      <c r="A9123" s="1"/>
    </row>
    <row r="9124" spans="1:1">
      <c r="A9124" s="1"/>
    </row>
    <row r="9125" spans="1:1">
      <c r="A9125" s="1"/>
    </row>
    <row r="9126" spans="1:1">
      <c r="A9126" s="1"/>
    </row>
    <row r="9127" spans="1:1">
      <c r="A9127" s="1"/>
    </row>
    <row r="9128" spans="1:1">
      <c r="A9128" s="1"/>
    </row>
    <row r="9129" spans="1:1">
      <c r="A9129" s="1"/>
    </row>
    <row r="9130" spans="1:1">
      <c r="A9130" s="1"/>
    </row>
    <row r="9131" spans="1:1">
      <c r="A9131" s="1"/>
    </row>
    <row r="9132" spans="1:1">
      <c r="A9132" s="1"/>
    </row>
    <row r="9133" spans="1:1">
      <c r="A9133" s="1"/>
    </row>
    <row r="9134" spans="1:1">
      <c r="A9134" s="1"/>
    </row>
    <row r="9135" spans="1:1">
      <c r="A9135" s="1"/>
    </row>
    <row r="9136" spans="1:1">
      <c r="A9136" s="1"/>
    </row>
    <row r="9137" spans="1:1">
      <c r="A9137" s="1"/>
    </row>
    <row r="9138" spans="1:1">
      <c r="A9138" s="1"/>
    </row>
    <row r="9139" spans="1:1">
      <c r="A9139" s="1"/>
    </row>
    <row r="9140" spans="1:1">
      <c r="A9140" s="1"/>
    </row>
    <row r="9141" spans="1:1">
      <c r="A9141" s="1"/>
    </row>
    <row r="9142" spans="1:1">
      <c r="A9142" s="1"/>
    </row>
    <row r="9143" spans="1:1">
      <c r="A9143" s="1"/>
    </row>
    <row r="9144" spans="1:1">
      <c r="A9144" s="1"/>
    </row>
    <row r="9145" spans="1:1">
      <c r="A9145" s="1"/>
    </row>
    <row r="9146" spans="1:1">
      <c r="A9146" s="1"/>
    </row>
    <row r="9147" spans="1:1">
      <c r="A9147" s="1"/>
    </row>
    <row r="9148" spans="1:1">
      <c r="A9148" s="1"/>
    </row>
    <row r="9149" spans="1:1">
      <c r="A9149" s="1"/>
    </row>
    <row r="9150" spans="1:1">
      <c r="A9150" s="1"/>
    </row>
    <row r="9151" spans="1:1">
      <c r="A9151" s="1"/>
    </row>
    <row r="9152" spans="1:1">
      <c r="A9152" s="1"/>
    </row>
    <row r="9153" spans="1:1">
      <c r="A9153" s="1"/>
    </row>
    <row r="9154" spans="1:1">
      <c r="A9154" s="1"/>
    </row>
    <row r="9155" spans="1:1">
      <c r="A9155" s="1"/>
    </row>
    <row r="9156" spans="1:1">
      <c r="A9156" s="1"/>
    </row>
    <row r="9157" spans="1:1">
      <c r="A9157" s="1"/>
    </row>
    <row r="9158" spans="1:1">
      <c r="A9158" s="1"/>
    </row>
    <row r="9159" spans="1:1">
      <c r="A9159" s="1"/>
    </row>
    <row r="9160" spans="1:1">
      <c r="A9160" s="1"/>
    </row>
    <row r="9161" spans="1:1">
      <c r="A9161" s="1"/>
    </row>
    <row r="9162" spans="1:1">
      <c r="A9162" s="1"/>
    </row>
    <row r="9163" spans="1:1">
      <c r="A9163" s="1"/>
    </row>
    <row r="9164" spans="1:1">
      <c r="A9164" s="1"/>
    </row>
    <row r="9165" spans="1:1">
      <c r="A9165" s="1"/>
    </row>
    <row r="9166" spans="1:1">
      <c r="A9166" s="1"/>
    </row>
    <row r="9167" spans="1:1">
      <c r="A9167" s="1"/>
    </row>
    <row r="9168" spans="1:1">
      <c r="A9168" s="1"/>
    </row>
    <row r="9169" spans="1:1">
      <c r="A9169" s="1"/>
    </row>
    <row r="9170" spans="1:1">
      <c r="A9170" s="1"/>
    </row>
    <row r="9171" spans="1:1">
      <c r="A9171" s="1"/>
    </row>
    <row r="9172" spans="1:1">
      <c r="A9172" s="1"/>
    </row>
    <row r="9173" spans="1:1">
      <c r="A9173" s="1"/>
    </row>
    <row r="9174" spans="1:1">
      <c r="A9174" s="1"/>
    </row>
    <row r="9175" spans="1:1">
      <c r="A9175" s="1"/>
    </row>
    <row r="9176" spans="1:1">
      <c r="A9176" s="1"/>
    </row>
    <row r="9177" spans="1:1">
      <c r="A9177" s="1"/>
    </row>
    <row r="9178" spans="1:1">
      <c r="A9178" s="1"/>
    </row>
    <row r="9179" spans="1:1">
      <c r="A9179" s="1"/>
    </row>
    <row r="9180" spans="1:1">
      <c r="A9180" s="1"/>
    </row>
    <row r="9181" spans="1:1">
      <c r="A9181" s="1"/>
    </row>
    <row r="9182" spans="1:1">
      <c r="A9182" s="1"/>
    </row>
    <row r="9183" spans="1:1">
      <c r="A9183" s="1"/>
    </row>
    <row r="9184" spans="1:1">
      <c r="A9184" s="1"/>
    </row>
    <row r="9185" spans="1:1">
      <c r="A9185" s="1"/>
    </row>
    <row r="9186" spans="1:1">
      <c r="A9186" s="1"/>
    </row>
    <row r="9187" spans="1:1">
      <c r="A9187" s="1"/>
    </row>
    <row r="9188" spans="1:1">
      <c r="A9188" s="1"/>
    </row>
    <row r="9189" spans="1:1">
      <c r="A9189" s="1"/>
    </row>
    <row r="9190" spans="1:1">
      <c r="A9190" s="1"/>
    </row>
    <row r="9191" spans="1:1">
      <c r="A9191" s="1"/>
    </row>
    <row r="9192" spans="1:1">
      <c r="A9192" s="1"/>
    </row>
    <row r="9193" spans="1:1">
      <c r="A9193" s="1"/>
    </row>
    <row r="9194" spans="1:1">
      <c r="A9194" s="1"/>
    </row>
    <row r="9195" spans="1:1">
      <c r="A9195" s="1"/>
    </row>
    <row r="9196" spans="1:1">
      <c r="A9196" s="1"/>
    </row>
    <row r="9197" spans="1:1">
      <c r="A9197" s="1"/>
    </row>
    <row r="9198" spans="1:1">
      <c r="A9198" s="1"/>
    </row>
    <row r="9199" spans="1:1">
      <c r="A9199" s="1"/>
    </row>
    <row r="9200" spans="1:1">
      <c r="A9200" s="1"/>
    </row>
    <row r="9201" spans="1:1">
      <c r="A9201" s="1"/>
    </row>
    <row r="9202" spans="1:1">
      <c r="A9202" s="1"/>
    </row>
    <row r="9203" spans="1:1">
      <c r="A9203" s="1"/>
    </row>
    <row r="9204" spans="1:1">
      <c r="A9204" s="1"/>
    </row>
    <row r="9205" spans="1:1">
      <c r="A9205" s="1"/>
    </row>
    <row r="9206" spans="1:1">
      <c r="A9206" s="1"/>
    </row>
    <row r="9207" spans="1:1">
      <c r="A9207" s="1"/>
    </row>
    <row r="9208" spans="1:1">
      <c r="A9208" s="1"/>
    </row>
    <row r="9209" spans="1:1">
      <c r="A9209" s="1"/>
    </row>
    <row r="9210" spans="1:1">
      <c r="A9210" s="1"/>
    </row>
    <row r="9211" spans="1:1">
      <c r="A9211" s="1"/>
    </row>
    <row r="9212" spans="1:1">
      <c r="A9212" s="1"/>
    </row>
    <row r="9213" spans="1:1">
      <c r="A9213" s="1"/>
    </row>
    <row r="9214" spans="1:1">
      <c r="A9214" s="1"/>
    </row>
    <row r="9215" spans="1:1">
      <c r="A9215" s="1"/>
    </row>
    <row r="9216" spans="1:1">
      <c r="A9216" s="1"/>
    </row>
    <row r="9217" spans="1:1">
      <c r="A9217" s="1"/>
    </row>
    <row r="9218" spans="1:1">
      <c r="A9218" s="1"/>
    </row>
    <row r="9219" spans="1:1">
      <c r="A9219" s="1"/>
    </row>
    <row r="9220" spans="1:1">
      <c r="A9220" s="1"/>
    </row>
    <row r="9221" spans="1:1">
      <c r="A9221" s="1"/>
    </row>
    <row r="9222" spans="1:1">
      <c r="A9222" s="1"/>
    </row>
    <row r="9223" spans="1:1">
      <c r="A9223" s="1"/>
    </row>
    <row r="9224" spans="1:1">
      <c r="A9224" s="1"/>
    </row>
    <row r="9225" spans="1:1">
      <c r="A9225" s="1"/>
    </row>
    <row r="9226" spans="1:1">
      <c r="A9226" s="1"/>
    </row>
    <row r="9227" spans="1:1">
      <c r="A9227" s="1"/>
    </row>
    <row r="9228" spans="1:1">
      <c r="A9228" s="1"/>
    </row>
    <row r="9229" spans="1:1">
      <c r="A9229" s="1"/>
    </row>
    <row r="9230" spans="1:1">
      <c r="A9230" s="1"/>
    </row>
    <row r="9231" spans="1:1">
      <c r="A9231" s="1"/>
    </row>
    <row r="9232" spans="1:1">
      <c r="A9232" s="1"/>
    </row>
    <row r="9233" spans="1:1">
      <c r="A9233" s="1"/>
    </row>
    <row r="9234" spans="1:1">
      <c r="A9234" s="1"/>
    </row>
    <row r="9235" spans="1:1">
      <c r="A9235" s="1"/>
    </row>
    <row r="9236" spans="1:1">
      <c r="A9236" s="1"/>
    </row>
    <row r="9237" spans="1:1">
      <c r="A9237" s="1"/>
    </row>
    <row r="9238" spans="1:1">
      <c r="A9238" s="1"/>
    </row>
    <row r="9239" spans="1:1">
      <c r="A9239" s="1"/>
    </row>
    <row r="9240" spans="1:1">
      <c r="A9240" s="1"/>
    </row>
    <row r="9241" spans="1:1">
      <c r="A9241" s="1"/>
    </row>
    <row r="9242" spans="1:1">
      <c r="A9242" s="1"/>
    </row>
    <row r="9243" spans="1:1">
      <c r="A9243" s="1"/>
    </row>
    <row r="9244" spans="1:1">
      <c r="A9244" s="1"/>
    </row>
    <row r="9245" spans="1:1">
      <c r="A9245" s="1"/>
    </row>
    <row r="9246" spans="1:1">
      <c r="A9246" s="1"/>
    </row>
    <row r="9247" spans="1:1">
      <c r="A9247" s="1"/>
    </row>
    <row r="9248" spans="1:1">
      <c r="A9248" s="1"/>
    </row>
    <row r="9249" spans="1:1">
      <c r="A9249" s="1"/>
    </row>
    <row r="9250" spans="1:1">
      <c r="A9250" s="1"/>
    </row>
    <row r="9251" spans="1:1">
      <c r="A9251" s="1"/>
    </row>
    <row r="9252" spans="1:1">
      <c r="A9252" s="1"/>
    </row>
    <row r="9253" spans="1:1">
      <c r="A9253" s="1"/>
    </row>
    <row r="9254" spans="1:1">
      <c r="A9254" s="1"/>
    </row>
    <row r="9255" spans="1:1">
      <c r="A9255" s="1"/>
    </row>
    <row r="9256" spans="1:1">
      <c r="A9256" s="1"/>
    </row>
    <row r="9257" spans="1:1">
      <c r="A9257" s="1"/>
    </row>
    <row r="9258" spans="1:1">
      <c r="A9258" s="1"/>
    </row>
    <row r="9259" spans="1:1">
      <c r="A9259" s="1"/>
    </row>
    <row r="9260" spans="1:1">
      <c r="A9260" s="1"/>
    </row>
    <row r="9261" spans="1:1">
      <c r="A9261" s="1"/>
    </row>
    <row r="9262" spans="1:1">
      <c r="A9262" s="1"/>
    </row>
    <row r="9263" spans="1:1">
      <c r="A9263" s="1"/>
    </row>
    <row r="9264" spans="1:1">
      <c r="A9264" s="1"/>
    </row>
    <row r="9265" spans="1:1">
      <c r="A9265" s="1"/>
    </row>
    <row r="9266" spans="1:1">
      <c r="A9266" s="1"/>
    </row>
    <row r="9267" spans="1:1">
      <c r="A9267" s="1"/>
    </row>
    <row r="9268" spans="1:1">
      <c r="A9268" s="1"/>
    </row>
    <row r="9269" spans="1:1">
      <c r="A9269" s="1"/>
    </row>
    <row r="9270" spans="1:1">
      <c r="A9270" s="1"/>
    </row>
    <row r="9271" spans="1:1">
      <c r="A9271" s="1"/>
    </row>
    <row r="9272" spans="1:1">
      <c r="A9272" s="1"/>
    </row>
    <row r="9273" spans="1:1">
      <c r="A9273" s="1"/>
    </row>
    <row r="9274" spans="1:1">
      <c r="A9274" s="1"/>
    </row>
    <row r="9275" spans="1:1">
      <c r="A9275" s="1"/>
    </row>
    <row r="9276" spans="1:1">
      <c r="A9276" s="1"/>
    </row>
    <row r="9277" spans="1:1">
      <c r="A9277" s="1"/>
    </row>
    <row r="9278" spans="1:1">
      <c r="A9278" s="1"/>
    </row>
    <row r="9279" spans="1:1">
      <c r="A9279" s="1"/>
    </row>
    <row r="9280" spans="1:1">
      <c r="A9280" s="1"/>
    </row>
    <row r="9281" spans="1:1">
      <c r="A9281" s="1"/>
    </row>
    <row r="9282" spans="1:1">
      <c r="A9282" s="1"/>
    </row>
    <row r="9283" spans="1:1">
      <c r="A9283" s="1"/>
    </row>
    <row r="9284" spans="1:1">
      <c r="A9284" s="1"/>
    </row>
    <row r="9285" spans="1:1">
      <c r="A9285" s="1"/>
    </row>
    <row r="9286" spans="1:1">
      <c r="A9286" s="1"/>
    </row>
    <row r="9287" spans="1:1">
      <c r="A9287" s="1"/>
    </row>
    <row r="9288" spans="1:1">
      <c r="A9288" s="1"/>
    </row>
    <row r="9289" spans="1:1">
      <c r="A9289" s="1"/>
    </row>
    <row r="9290" spans="1:1">
      <c r="A9290" s="1"/>
    </row>
    <row r="9291" spans="1:1">
      <c r="A9291" s="1"/>
    </row>
    <row r="9292" spans="1:1">
      <c r="A9292" s="1"/>
    </row>
    <row r="9293" spans="1:1">
      <c r="A9293" s="1"/>
    </row>
    <row r="9294" spans="1:1">
      <c r="A9294" s="1"/>
    </row>
    <row r="9295" spans="1:1">
      <c r="A9295" s="1"/>
    </row>
    <row r="9296" spans="1:1">
      <c r="A9296" s="1"/>
    </row>
    <row r="9297" spans="1:1">
      <c r="A9297" s="1"/>
    </row>
    <row r="9298" spans="1:1">
      <c r="A9298" s="1"/>
    </row>
    <row r="9299" spans="1:1">
      <c r="A9299" s="1"/>
    </row>
    <row r="9300" spans="1:1">
      <c r="A9300" s="1"/>
    </row>
    <row r="9301" spans="1:1">
      <c r="A9301" s="1"/>
    </row>
    <row r="9302" spans="1:1">
      <c r="A9302" s="1"/>
    </row>
    <row r="9303" spans="1:1">
      <c r="A9303" s="1"/>
    </row>
    <row r="9304" spans="1:1">
      <c r="A9304" s="1"/>
    </row>
    <row r="9305" spans="1:1">
      <c r="A9305" s="1"/>
    </row>
    <row r="9306" spans="1:1">
      <c r="A9306" s="1"/>
    </row>
    <row r="9307" spans="1:1">
      <c r="A9307" s="1"/>
    </row>
    <row r="9308" spans="1:1">
      <c r="A9308" s="1"/>
    </row>
    <row r="9309" spans="1:1">
      <c r="A9309" s="1"/>
    </row>
    <row r="9310" spans="1:1">
      <c r="A9310" s="1"/>
    </row>
    <row r="9311" spans="1:1">
      <c r="A9311" s="1"/>
    </row>
    <row r="9312" spans="1:1">
      <c r="A9312" s="1"/>
    </row>
    <row r="9313" spans="1:1">
      <c r="A9313" s="1"/>
    </row>
    <row r="9314" spans="1:1">
      <c r="A9314" s="1"/>
    </row>
    <row r="9315" spans="1:1">
      <c r="A9315" s="1"/>
    </row>
    <row r="9316" spans="1:1">
      <c r="A9316" s="1"/>
    </row>
    <row r="9317" spans="1:1">
      <c r="A9317" s="1"/>
    </row>
    <row r="9318" spans="1:1">
      <c r="A9318" s="1"/>
    </row>
    <row r="9319" spans="1:1">
      <c r="A9319" s="1"/>
    </row>
    <row r="9320" spans="1:1">
      <c r="A9320" s="1"/>
    </row>
    <row r="9321" spans="1:1">
      <c r="A9321" s="1"/>
    </row>
    <row r="9322" spans="1:1">
      <c r="A9322" s="1"/>
    </row>
    <row r="9323" spans="1:1">
      <c r="A9323" s="1"/>
    </row>
    <row r="9324" spans="1:1">
      <c r="A9324" s="1"/>
    </row>
    <row r="9325" spans="1:1">
      <c r="A9325" s="1"/>
    </row>
    <row r="9326" spans="1:1">
      <c r="A9326" s="1"/>
    </row>
    <row r="9327" spans="1:1">
      <c r="A9327" s="1"/>
    </row>
    <row r="9328" spans="1:1">
      <c r="A9328" s="1"/>
    </row>
    <row r="9329" spans="1:1">
      <c r="A9329" s="1"/>
    </row>
    <row r="9330" spans="1:1">
      <c r="A9330" s="1"/>
    </row>
    <row r="9331" spans="1:1">
      <c r="A9331" s="1"/>
    </row>
    <row r="9332" spans="1:1">
      <c r="A9332" s="1"/>
    </row>
    <row r="9333" spans="1:1">
      <c r="A9333" s="1"/>
    </row>
    <row r="9334" spans="1:1">
      <c r="A9334" s="1"/>
    </row>
    <row r="9335" spans="1:1">
      <c r="A9335" s="1"/>
    </row>
    <row r="9336" spans="1:1">
      <c r="A9336" s="1"/>
    </row>
    <row r="9337" spans="1:1">
      <c r="A9337" s="1"/>
    </row>
    <row r="9338" spans="1:1">
      <c r="A9338" s="1"/>
    </row>
    <row r="9339" spans="1:1">
      <c r="A9339" s="1"/>
    </row>
    <row r="9340" spans="1:1">
      <c r="A9340" s="1"/>
    </row>
    <row r="9341" spans="1:1">
      <c r="A9341" s="1"/>
    </row>
    <row r="9342" spans="1:1">
      <c r="A9342" s="1"/>
    </row>
    <row r="9343" spans="1:1">
      <c r="A9343" s="1"/>
    </row>
    <row r="9344" spans="1:1">
      <c r="A9344" s="1"/>
    </row>
    <row r="9345" spans="1:1">
      <c r="A9345" s="1"/>
    </row>
    <row r="9346" spans="1:1">
      <c r="A9346" s="1"/>
    </row>
    <row r="9347" spans="1:1">
      <c r="A9347" s="1"/>
    </row>
    <row r="9348" spans="1:1">
      <c r="A9348" s="1"/>
    </row>
    <row r="9349" spans="1:1">
      <c r="A9349" s="1"/>
    </row>
    <row r="9350" spans="1:1">
      <c r="A9350" s="1"/>
    </row>
    <row r="9351" spans="1:1">
      <c r="A9351" s="1"/>
    </row>
    <row r="9352" spans="1:1">
      <c r="A9352" s="1"/>
    </row>
    <row r="9353" spans="1:1">
      <c r="A9353" s="1"/>
    </row>
    <row r="9354" spans="1:1">
      <c r="A9354" s="1"/>
    </row>
    <row r="9355" spans="1:1">
      <c r="A9355" s="1"/>
    </row>
    <row r="9356" spans="1:1">
      <c r="A9356" s="1"/>
    </row>
    <row r="9357" spans="1:1">
      <c r="A9357" s="1"/>
    </row>
    <row r="9358" spans="1:1">
      <c r="A9358" s="1"/>
    </row>
    <row r="9359" spans="1:1">
      <c r="A9359" s="1"/>
    </row>
    <row r="9360" spans="1:1">
      <c r="A9360" s="1"/>
    </row>
    <row r="9361" spans="1:1">
      <c r="A9361" s="1"/>
    </row>
    <row r="9362" spans="1:1">
      <c r="A9362" s="1"/>
    </row>
    <row r="9363" spans="1:1">
      <c r="A9363" s="1"/>
    </row>
    <row r="9364" spans="1:1">
      <c r="A9364" s="1"/>
    </row>
    <row r="9365" spans="1:1">
      <c r="A9365" s="1"/>
    </row>
    <row r="9366" spans="1:1">
      <c r="A9366" s="1"/>
    </row>
    <row r="9367" spans="1:1">
      <c r="A9367" s="1"/>
    </row>
    <row r="9368" spans="1:1">
      <c r="A9368" s="1"/>
    </row>
    <row r="9369" spans="1:1">
      <c r="A9369" s="1"/>
    </row>
    <row r="9370" spans="1:1">
      <c r="A9370" s="1"/>
    </row>
    <row r="9371" spans="1:1">
      <c r="A9371" s="1"/>
    </row>
    <row r="9372" spans="1:1">
      <c r="A9372" s="1"/>
    </row>
    <row r="9373" spans="1:1">
      <c r="A9373" s="1"/>
    </row>
    <row r="9374" spans="1:1">
      <c r="A9374" s="1"/>
    </row>
    <row r="9375" spans="1:1">
      <c r="A9375" s="1"/>
    </row>
    <row r="9376" spans="1:1">
      <c r="A9376" s="1"/>
    </row>
    <row r="9377" spans="1:1">
      <c r="A9377" s="1"/>
    </row>
    <row r="9378" spans="1:1">
      <c r="A9378" s="1"/>
    </row>
    <row r="9379" spans="1:1">
      <c r="A9379" s="1"/>
    </row>
    <row r="9380" spans="1:1">
      <c r="A9380" s="1"/>
    </row>
    <row r="9381" spans="1:1">
      <c r="A9381" s="1"/>
    </row>
    <row r="9382" spans="1:1">
      <c r="A9382" s="1"/>
    </row>
    <row r="9383" spans="1:1">
      <c r="A9383" s="1"/>
    </row>
    <row r="9384" spans="1:1">
      <c r="A9384" s="1"/>
    </row>
    <row r="9385" spans="1:1">
      <c r="A9385" s="1"/>
    </row>
    <row r="9386" spans="1:1">
      <c r="A9386" s="1"/>
    </row>
    <row r="9387" spans="1:1">
      <c r="A9387" s="1"/>
    </row>
    <row r="9388" spans="1:1">
      <c r="A9388" s="1"/>
    </row>
    <row r="9389" spans="1:1">
      <c r="A9389" s="1"/>
    </row>
    <row r="9390" spans="1:1">
      <c r="A9390" s="1"/>
    </row>
    <row r="9391" spans="1:1">
      <c r="A9391" s="1"/>
    </row>
    <row r="9392" spans="1:1">
      <c r="A9392" s="1"/>
    </row>
    <row r="9393" spans="1:1">
      <c r="A9393" s="1"/>
    </row>
    <row r="9394" spans="1:1">
      <c r="A9394" s="1"/>
    </row>
    <row r="9395" spans="1:1">
      <c r="A9395" s="1"/>
    </row>
    <row r="9396" spans="1:1">
      <c r="A9396" s="1"/>
    </row>
    <row r="9397" spans="1:1">
      <c r="A9397" s="1"/>
    </row>
    <row r="9398" spans="1:1">
      <c r="A9398" s="1"/>
    </row>
    <row r="9399" spans="1:1">
      <c r="A9399" s="1"/>
    </row>
    <row r="9400" spans="1:1">
      <c r="A9400" s="1"/>
    </row>
    <row r="9401" spans="1:1">
      <c r="A9401" s="1"/>
    </row>
    <row r="9402" spans="1:1">
      <c r="A9402" s="1"/>
    </row>
    <row r="9403" spans="1:1">
      <c r="A9403" s="1"/>
    </row>
    <row r="9404" spans="1:1">
      <c r="A9404" s="1"/>
    </row>
    <row r="9405" spans="1:1">
      <c r="A9405" s="1"/>
    </row>
    <row r="9406" spans="1:1">
      <c r="A9406" s="1"/>
    </row>
    <row r="9407" spans="1:1">
      <c r="A9407" s="1"/>
    </row>
    <row r="9408" spans="1:1">
      <c r="A9408" s="1"/>
    </row>
    <row r="9409" spans="1:1">
      <c r="A9409" s="1"/>
    </row>
    <row r="9410" spans="1:1">
      <c r="A9410" s="1"/>
    </row>
    <row r="9411" spans="1:1">
      <c r="A9411" s="1"/>
    </row>
    <row r="9412" spans="1:1">
      <c r="A9412" s="1"/>
    </row>
    <row r="9413" spans="1:1">
      <c r="A9413" s="1"/>
    </row>
    <row r="9414" spans="1:1">
      <c r="A9414" s="1"/>
    </row>
    <row r="9415" spans="1:1">
      <c r="A9415" s="1"/>
    </row>
    <row r="9416" spans="1:1">
      <c r="A9416" s="1"/>
    </row>
    <row r="9417" spans="1:1">
      <c r="A9417" s="1"/>
    </row>
    <row r="9418" spans="1:1">
      <c r="A9418" s="1"/>
    </row>
    <row r="9419" spans="1:1">
      <c r="A9419" s="1"/>
    </row>
    <row r="9420" spans="1:1">
      <c r="A9420" s="1"/>
    </row>
    <row r="9421" spans="1:1">
      <c r="A9421" s="1"/>
    </row>
    <row r="9422" spans="1:1">
      <c r="A9422" s="1"/>
    </row>
    <row r="9423" spans="1:1">
      <c r="A9423" s="1"/>
    </row>
    <row r="9424" spans="1:1">
      <c r="A9424" s="1"/>
    </row>
    <row r="9425" spans="1:1">
      <c r="A9425" s="1"/>
    </row>
    <row r="9426" spans="1:1">
      <c r="A9426" s="1"/>
    </row>
    <row r="9427" spans="1:1">
      <c r="A9427" s="1"/>
    </row>
    <row r="9428" spans="1:1">
      <c r="A9428" s="1"/>
    </row>
    <row r="9429" spans="1:1">
      <c r="A9429" s="1"/>
    </row>
    <row r="9430" spans="1:1">
      <c r="A9430" s="1"/>
    </row>
    <row r="9431" spans="1:1">
      <c r="A9431" s="1"/>
    </row>
    <row r="9432" spans="1:1">
      <c r="A9432" s="1"/>
    </row>
    <row r="9433" spans="1:1">
      <c r="A9433" s="1"/>
    </row>
    <row r="9434" spans="1:1">
      <c r="A9434" s="1"/>
    </row>
    <row r="9435" spans="1:1">
      <c r="A9435" s="1"/>
    </row>
    <row r="9436" spans="1:1">
      <c r="A9436" s="1"/>
    </row>
    <row r="9437" spans="1:1">
      <c r="A9437" s="1"/>
    </row>
    <row r="9438" spans="1:1">
      <c r="A9438" s="1"/>
    </row>
    <row r="9439" spans="1:1">
      <c r="A9439" s="1"/>
    </row>
    <row r="9440" spans="1:1">
      <c r="A9440" s="1"/>
    </row>
    <row r="9441" spans="1:1">
      <c r="A9441" s="1"/>
    </row>
    <row r="9442" spans="1:1">
      <c r="A9442" s="1"/>
    </row>
    <row r="9443" spans="1:1">
      <c r="A9443" s="1"/>
    </row>
    <row r="9444" spans="1:1">
      <c r="A9444" s="1"/>
    </row>
    <row r="9445" spans="1:1">
      <c r="A9445" s="1"/>
    </row>
    <row r="9446" spans="1:1">
      <c r="A9446" s="1"/>
    </row>
    <row r="9447" spans="1:1">
      <c r="A9447" s="1"/>
    </row>
    <row r="9448" spans="1:1">
      <c r="A9448" s="1"/>
    </row>
    <row r="9449" spans="1:1">
      <c r="A9449" s="1"/>
    </row>
    <row r="9450" spans="1:1">
      <c r="A9450" s="1"/>
    </row>
    <row r="9451" spans="1:1">
      <c r="A9451" s="1"/>
    </row>
    <row r="9452" spans="1:1">
      <c r="A9452" s="1"/>
    </row>
    <row r="9453" spans="1:1">
      <c r="A9453" s="1"/>
    </row>
    <row r="9454" spans="1:1">
      <c r="A9454" s="1"/>
    </row>
    <row r="9455" spans="1:1">
      <c r="A9455" s="1"/>
    </row>
    <row r="9456" spans="1:1">
      <c r="A9456" s="1"/>
    </row>
    <row r="9457" spans="1:1">
      <c r="A9457" s="1"/>
    </row>
    <row r="9458" spans="1:1">
      <c r="A9458" s="1"/>
    </row>
    <row r="9459" spans="1:1">
      <c r="A9459" s="1"/>
    </row>
    <row r="9460" spans="1:1">
      <c r="A9460" s="1"/>
    </row>
    <row r="9461" spans="1:1">
      <c r="A9461" s="1"/>
    </row>
    <row r="9462" spans="1:1">
      <c r="A9462" s="1"/>
    </row>
    <row r="9463" spans="1:1">
      <c r="A9463" s="1"/>
    </row>
    <row r="9464" spans="1:1">
      <c r="A9464" s="1"/>
    </row>
    <row r="9465" spans="1:1">
      <c r="A9465" s="1"/>
    </row>
    <row r="9466" spans="1:1">
      <c r="A9466" s="1"/>
    </row>
    <row r="9467" spans="1:1">
      <c r="A9467" s="1"/>
    </row>
    <row r="9468" spans="1:1">
      <c r="A9468" s="1"/>
    </row>
    <row r="9469" spans="1:1">
      <c r="A9469" s="1"/>
    </row>
    <row r="9470" spans="1:1">
      <c r="A9470" s="1"/>
    </row>
    <row r="9471" spans="1:1">
      <c r="A9471" s="1"/>
    </row>
    <row r="9472" spans="1:1">
      <c r="A9472" s="1"/>
    </row>
    <row r="9473" spans="1:1">
      <c r="A9473" s="1"/>
    </row>
    <row r="9474" spans="1:1">
      <c r="A9474" s="1"/>
    </row>
    <row r="9475" spans="1:1">
      <c r="A9475" s="1"/>
    </row>
    <row r="9476" spans="1:1">
      <c r="A9476" s="1"/>
    </row>
    <row r="9477" spans="1:1">
      <c r="A9477" s="1"/>
    </row>
    <row r="9478" spans="1:1">
      <c r="A9478" s="1"/>
    </row>
    <row r="9479" spans="1:1">
      <c r="A9479" s="1"/>
    </row>
    <row r="9480" spans="1:1">
      <c r="A9480" s="1"/>
    </row>
    <row r="9481" spans="1:1">
      <c r="A9481" s="1"/>
    </row>
    <row r="9482" spans="1:1">
      <c r="A9482" s="1"/>
    </row>
    <row r="9483" spans="1:1">
      <c r="A9483" s="1"/>
    </row>
    <row r="9484" spans="1:1">
      <c r="A9484" s="1"/>
    </row>
    <row r="9485" spans="1:1">
      <c r="A9485" s="1"/>
    </row>
    <row r="9486" spans="1:1">
      <c r="A9486" s="1"/>
    </row>
    <row r="9487" spans="1:1">
      <c r="A9487" s="1"/>
    </row>
    <row r="9488" spans="1:1">
      <c r="A9488" s="1"/>
    </row>
    <row r="9489" spans="1:1">
      <c r="A9489" s="1"/>
    </row>
    <row r="9490" spans="1:1">
      <c r="A9490" s="1"/>
    </row>
    <row r="9491" spans="1:1">
      <c r="A9491" s="1"/>
    </row>
    <row r="9492" spans="1:1">
      <c r="A9492" s="1"/>
    </row>
    <row r="9493" spans="1:1">
      <c r="A9493" s="1"/>
    </row>
    <row r="9494" spans="1:1">
      <c r="A9494" s="1"/>
    </row>
    <row r="9495" spans="1:1">
      <c r="A9495" s="1"/>
    </row>
    <row r="9496" spans="1:1">
      <c r="A9496" s="1"/>
    </row>
    <row r="9497" spans="1:1">
      <c r="A9497" s="1"/>
    </row>
    <row r="9498" spans="1:1">
      <c r="A9498" s="1"/>
    </row>
    <row r="9499" spans="1:1">
      <c r="A9499" s="1"/>
    </row>
    <row r="9500" spans="1:1">
      <c r="A9500" s="1"/>
    </row>
    <row r="9501" spans="1:1">
      <c r="A9501" s="1"/>
    </row>
    <row r="9502" spans="1:1">
      <c r="A9502" s="1"/>
    </row>
    <row r="9503" spans="1:1">
      <c r="A9503" s="1"/>
    </row>
    <row r="9504" spans="1:1">
      <c r="A9504" s="1"/>
    </row>
    <row r="9505" spans="1:1">
      <c r="A9505" s="1"/>
    </row>
    <row r="9506" spans="1:1">
      <c r="A9506" s="1"/>
    </row>
    <row r="9507" spans="1:1">
      <c r="A9507" s="1"/>
    </row>
    <row r="9508" spans="1:1">
      <c r="A9508" s="1"/>
    </row>
    <row r="9509" spans="1:1">
      <c r="A9509" s="1"/>
    </row>
    <row r="9510" spans="1:1">
      <c r="A9510" s="1"/>
    </row>
    <row r="9511" spans="1:1">
      <c r="A9511" s="1"/>
    </row>
    <row r="9512" spans="1:1">
      <c r="A9512" s="1"/>
    </row>
    <row r="9513" spans="1:1">
      <c r="A9513" s="1"/>
    </row>
    <row r="9514" spans="1:1">
      <c r="A9514" s="1"/>
    </row>
    <row r="9515" spans="1:1">
      <c r="A9515" s="1"/>
    </row>
    <row r="9516" spans="1:1">
      <c r="A9516" s="1"/>
    </row>
    <row r="9517" spans="1:1">
      <c r="A9517" s="1"/>
    </row>
    <row r="9518" spans="1:1">
      <c r="A9518" s="1"/>
    </row>
    <row r="9519" spans="1:1">
      <c r="A9519" s="1"/>
    </row>
    <row r="9520" spans="1:1">
      <c r="A9520" s="1"/>
    </row>
    <row r="9521" spans="1:1">
      <c r="A9521" s="1"/>
    </row>
    <row r="9522" spans="1:1">
      <c r="A9522" s="1"/>
    </row>
    <row r="9523" spans="1:1">
      <c r="A9523" s="1"/>
    </row>
    <row r="9524" spans="1:1">
      <c r="A9524" s="1"/>
    </row>
    <row r="9525" spans="1:1">
      <c r="A9525" s="1"/>
    </row>
    <row r="9526" spans="1:1">
      <c r="A9526" s="1"/>
    </row>
    <row r="9527" spans="1:1">
      <c r="A9527" s="1"/>
    </row>
    <row r="9528" spans="1:1">
      <c r="A9528" s="1"/>
    </row>
    <row r="9529" spans="1:1">
      <c r="A9529" s="1"/>
    </row>
    <row r="9530" spans="1:1">
      <c r="A9530" s="1"/>
    </row>
    <row r="9531" spans="1:1">
      <c r="A9531" s="1"/>
    </row>
    <row r="9532" spans="1:1">
      <c r="A9532" s="1"/>
    </row>
    <row r="9533" spans="1:1">
      <c r="A9533" s="1"/>
    </row>
    <row r="9534" spans="1:1">
      <c r="A9534" s="1"/>
    </row>
    <row r="9535" spans="1:1">
      <c r="A9535" s="1"/>
    </row>
    <row r="9536" spans="1:1">
      <c r="A9536" s="1"/>
    </row>
    <row r="9537" spans="1:1">
      <c r="A9537" s="1"/>
    </row>
    <row r="9538" spans="1:1">
      <c r="A9538" s="1"/>
    </row>
    <row r="9539" spans="1:1">
      <c r="A9539" s="1"/>
    </row>
    <row r="9540" spans="1:1">
      <c r="A9540" s="1"/>
    </row>
    <row r="9541" spans="1:1">
      <c r="A9541" s="1"/>
    </row>
    <row r="9542" spans="1:1">
      <c r="A9542" s="1"/>
    </row>
    <row r="9543" spans="1:1">
      <c r="A9543" s="1"/>
    </row>
    <row r="9544" spans="1:1">
      <c r="A9544" s="1"/>
    </row>
    <row r="9545" spans="1:1">
      <c r="A9545" s="1"/>
    </row>
    <row r="9546" spans="1:1">
      <c r="A9546" s="1"/>
    </row>
    <row r="9547" spans="1:1">
      <c r="A9547" s="1"/>
    </row>
    <row r="9548" spans="1:1">
      <c r="A9548" s="1"/>
    </row>
    <row r="9549" spans="1:1">
      <c r="A9549" s="1"/>
    </row>
    <row r="9550" spans="1:1">
      <c r="A9550" s="1"/>
    </row>
    <row r="9551" spans="1:1">
      <c r="A9551" s="1"/>
    </row>
    <row r="9552" spans="1:1">
      <c r="A9552" s="1"/>
    </row>
    <row r="9553" spans="1:1">
      <c r="A9553" s="1"/>
    </row>
    <row r="9554" spans="1:1">
      <c r="A9554" s="1"/>
    </row>
    <row r="9555" spans="1:1">
      <c r="A9555" s="1"/>
    </row>
    <row r="9556" spans="1:1">
      <c r="A9556" s="1"/>
    </row>
    <row r="9557" spans="1:1">
      <c r="A9557" s="1"/>
    </row>
    <row r="9558" spans="1:1">
      <c r="A9558" s="1"/>
    </row>
    <row r="9559" spans="1:1">
      <c r="A9559" s="1"/>
    </row>
    <row r="9560" spans="1:1">
      <c r="A9560" s="1"/>
    </row>
    <row r="9561" spans="1:1">
      <c r="A9561" s="1"/>
    </row>
    <row r="9562" spans="1:1">
      <c r="A9562" s="1"/>
    </row>
    <row r="9563" spans="1:1">
      <c r="A9563" s="1"/>
    </row>
    <row r="9564" spans="1:1">
      <c r="A9564" s="1"/>
    </row>
    <row r="9565" spans="1:1">
      <c r="A9565" s="1"/>
    </row>
    <row r="9566" spans="1:1">
      <c r="A9566" s="1"/>
    </row>
    <row r="9567" spans="1:1">
      <c r="A9567" s="1"/>
    </row>
    <row r="9568" spans="1:1">
      <c r="A9568" s="1"/>
    </row>
    <row r="9569" spans="1:1">
      <c r="A9569" s="1"/>
    </row>
    <row r="9570" spans="1:1">
      <c r="A9570" s="1"/>
    </row>
    <row r="9571" spans="1:1">
      <c r="A9571" s="1"/>
    </row>
    <row r="9572" spans="1:1">
      <c r="A9572" s="1"/>
    </row>
    <row r="9573" spans="1:1">
      <c r="A9573" s="1"/>
    </row>
    <row r="9574" spans="1:1">
      <c r="A9574" s="1"/>
    </row>
    <row r="9575" spans="1:1">
      <c r="A9575" s="1"/>
    </row>
    <row r="9576" spans="1:1">
      <c r="A9576" s="1"/>
    </row>
    <row r="9577" spans="1:1">
      <c r="A9577" s="1"/>
    </row>
    <row r="9578" spans="1:1">
      <c r="A9578" s="1"/>
    </row>
    <row r="9579" spans="1:1">
      <c r="A9579" s="1"/>
    </row>
    <row r="9580" spans="1:1">
      <c r="A9580" s="1"/>
    </row>
    <row r="9581" spans="1:1">
      <c r="A9581" s="1"/>
    </row>
    <row r="9582" spans="1:1">
      <c r="A9582" s="1"/>
    </row>
    <row r="9583" spans="1:1">
      <c r="A9583" s="1"/>
    </row>
    <row r="9584" spans="1:1">
      <c r="A9584" s="1"/>
    </row>
    <row r="9585" spans="1:1">
      <c r="A9585" s="1"/>
    </row>
    <row r="9586" spans="1:1">
      <c r="A9586" s="1"/>
    </row>
    <row r="9587" spans="1:1">
      <c r="A9587" s="1"/>
    </row>
    <row r="9588" spans="1:1">
      <c r="A9588" s="1"/>
    </row>
    <row r="9589" spans="1:1">
      <c r="A9589" s="1"/>
    </row>
    <row r="9590" spans="1:1">
      <c r="A9590" s="1"/>
    </row>
    <row r="9591" spans="1:1">
      <c r="A9591" s="1"/>
    </row>
    <row r="9592" spans="1:1">
      <c r="A9592" s="1"/>
    </row>
    <row r="9593" spans="1:1">
      <c r="A9593" s="1"/>
    </row>
    <row r="9594" spans="1:1">
      <c r="A9594" s="1"/>
    </row>
    <row r="9595" spans="1:1">
      <c r="A9595" s="1"/>
    </row>
    <row r="9596" spans="1:1">
      <c r="A9596" s="1"/>
    </row>
    <row r="9597" spans="1:1">
      <c r="A9597" s="1"/>
    </row>
    <row r="9598" spans="1:1">
      <c r="A9598" s="1"/>
    </row>
    <row r="9599" spans="1:1">
      <c r="A9599" s="1"/>
    </row>
    <row r="9600" spans="1:1">
      <c r="A9600" s="1"/>
    </row>
    <row r="9601" spans="1:1">
      <c r="A9601" s="1"/>
    </row>
    <row r="9602" spans="1:1">
      <c r="A9602" s="1"/>
    </row>
    <row r="9603" spans="1:1">
      <c r="A9603" s="1"/>
    </row>
    <row r="9604" spans="1:1">
      <c r="A9604" s="1"/>
    </row>
    <row r="9605" spans="1:1">
      <c r="A9605" s="1"/>
    </row>
    <row r="9606" spans="1:1">
      <c r="A9606" s="1"/>
    </row>
    <row r="9607" spans="1:1">
      <c r="A9607" s="1"/>
    </row>
    <row r="9608" spans="1:1">
      <c r="A9608" s="1"/>
    </row>
    <row r="9609" spans="1:1">
      <c r="A9609" s="1"/>
    </row>
    <row r="9610" spans="1:1">
      <c r="A9610" s="1"/>
    </row>
    <row r="9611" spans="1:1">
      <c r="A9611" s="1"/>
    </row>
    <row r="9612" spans="1:1">
      <c r="A9612" s="1"/>
    </row>
    <row r="9613" spans="1:1">
      <c r="A9613" s="1"/>
    </row>
    <row r="9614" spans="1:1">
      <c r="A9614" s="1"/>
    </row>
    <row r="9615" spans="1:1">
      <c r="A9615" s="1"/>
    </row>
    <row r="9616" spans="1:1">
      <c r="A9616" s="1"/>
    </row>
    <row r="9617" spans="1:1">
      <c r="A9617" s="1"/>
    </row>
    <row r="9618" spans="1:1">
      <c r="A9618" s="1"/>
    </row>
    <row r="9619" spans="1:1">
      <c r="A9619" s="1"/>
    </row>
    <row r="9620" spans="1:1">
      <c r="A9620" s="1"/>
    </row>
    <row r="9621" spans="1:1">
      <c r="A9621" s="1"/>
    </row>
    <row r="9622" spans="1:1">
      <c r="A9622" s="1"/>
    </row>
    <row r="9623" spans="1:1">
      <c r="A9623" s="1"/>
    </row>
    <row r="9624" spans="1:1">
      <c r="A9624" s="1"/>
    </row>
    <row r="9625" spans="1:1">
      <c r="A9625" s="1"/>
    </row>
    <row r="9626" spans="1:1">
      <c r="A9626" s="1"/>
    </row>
    <row r="9627" spans="1:1">
      <c r="A9627" s="1"/>
    </row>
    <row r="9628" spans="1:1">
      <c r="A9628" s="1"/>
    </row>
    <row r="9629" spans="1:1">
      <c r="A9629" s="1"/>
    </row>
    <row r="9630" spans="1:1">
      <c r="A9630" s="1"/>
    </row>
    <row r="9631" spans="1:1">
      <c r="A9631" s="1"/>
    </row>
    <row r="9632" spans="1:1">
      <c r="A9632" s="1"/>
    </row>
    <row r="9633" spans="1:1">
      <c r="A9633" s="1"/>
    </row>
    <row r="9634" spans="1:1">
      <c r="A9634" s="1"/>
    </row>
    <row r="9635" spans="1:1">
      <c r="A9635" s="1"/>
    </row>
    <row r="9636" spans="1:1">
      <c r="A9636" s="1"/>
    </row>
    <row r="9637" spans="1:1">
      <c r="A9637" s="1"/>
    </row>
    <row r="9638" spans="1:1">
      <c r="A9638" s="1"/>
    </row>
    <row r="9639" spans="1:1">
      <c r="A9639" s="1"/>
    </row>
    <row r="9640" spans="1:1">
      <c r="A9640" s="1"/>
    </row>
    <row r="9641" spans="1:1">
      <c r="A9641" s="1"/>
    </row>
    <row r="9642" spans="1:1">
      <c r="A9642" s="1"/>
    </row>
    <row r="9643" spans="1:1">
      <c r="A9643" s="1"/>
    </row>
    <row r="9644" spans="1:1">
      <c r="A9644" s="1"/>
    </row>
    <row r="9645" spans="1:1">
      <c r="A9645" s="1"/>
    </row>
    <row r="9646" spans="1:1">
      <c r="A9646" s="1"/>
    </row>
    <row r="9647" spans="1:1">
      <c r="A9647" s="1"/>
    </row>
    <row r="9648" spans="1:1">
      <c r="A9648" s="1"/>
    </row>
    <row r="9649" spans="1:1">
      <c r="A9649" s="1"/>
    </row>
    <row r="9650" spans="1:1">
      <c r="A9650" s="1"/>
    </row>
    <row r="9651" spans="1:1">
      <c r="A9651" s="1"/>
    </row>
    <row r="9652" spans="1:1">
      <c r="A9652" s="1"/>
    </row>
    <row r="9653" spans="1:1">
      <c r="A9653" s="1"/>
    </row>
    <row r="9654" spans="1:1">
      <c r="A9654" s="1"/>
    </row>
    <row r="9655" spans="1:1">
      <c r="A9655" s="1"/>
    </row>
    <row r="9656" spans="1:1">
      <c r="A9656" s="1"/>
    </row>
    <row r="9657" spans="1:1">
      <c r="A9657" s="1"/>
    </row>
    <row r="9658" spans="1:1">
      <c r="A9658" s="1"/>
    </row>
    <row r="9659" spans="1:1">
      <c r="A9659" s="1"/>
    </row>
    <row r="9660" spans="1:1">
      <c r="A9660" s="1"/>
    </row>
    <row r="9661" spans="1:1">
      <c r="A9661" s="1"/>
    </row>
    <row r="9662" spans="1:1">
      <c r="A9662" s="1"/>
    </row>
    <row r="9663" spans="1:1">
      <c r="A9663" s="1"/>
    </row>
    <row r="9664" spans="1:1">
      <c r="A9664" s="1"/>
    </row>
    <row r="9665" spans="1:1">
      <c r="A9665" s="1"/>
    </row>
    <row r="9666" spans="1:1">
      <c r="A9666" s="1"/>
    </row>
    <row r="9667" spans="1:1">
      <c r="A9667" s="1"/>
    </row>
    <row r="9668" spans="1:1">
      <c r="A9668" s="1"/>
    </row>
    <row r="9669" spans="1:1">
      <c r="A9669" s="1"/>
    </row>
    <row r="9670" spans="1:1">
      <c r="A9670" s="1"/>
    </row>
    <row r="9671" spans="1:1">
      <c r="A9671" s="1"/>
    </row>
    <row r="9672" spans="1:1">
      <c r="A9672" s="1"/>
    </row>
    <row r="9673" spans="1:1">
      <c r="A9673" s="1"/>
    </row>
    <row r="9674" spans="1:1">
      <c r="A9674" s="1"/>
    </row>
    <row r="9675" spans="1:1">
      <c r="A9675" s="1"/>
    </row>
    <row r="9676" spans="1:1">
      <c r="A9676" s="1"/>
    </row>
    <row r="9677" spans="1:1">
      <c r="A9677" s="1"/>
    </row>
    <row r="9678" spans="1:1">
      <c r="A9678" s="1"/>
    </row>
    <row r="9679" spans="1:1">
      <c r="A9679" s="1"/>
    </row>
    <row r="9680" spans="1:1">
      <c r="A9680" s="1"/>
    </row>
    <row r="9681" spans="1:1">
      <c r="A9681" s="1"/>
    </row>
    <row r="9682" spans="1:1">
      <c r="A9682" s="1"/>
    </row>
    <row r="9683" spans="1:1">
      <c r="A9683" s="1"/>
    </row>
    <row r="9684" spans="1:1">
      <c r="A9684" s="1"/>
    </row>
    <row r="9685" spans="1:1">
      <c r="A9685" s="1"/>
    </row>
    <row r="9686" spans="1:1">
      <c r="A9686" s="1"/>
    </row>
    <row r="9687" spans="1:1">
      <c r="A9687" s="1"/>
    </row>
    <row r="9688" spans="1:1">
      <c r="A9688" s="1"/>
    </row>
    <row r="9689" spans="1:1">
      <c r="A9689" s="1"/>
    </row>
    <row r="9690" spans="1:1">
      <c r="A9690" s="1"/>
    </row>
    <row r="9691" spans="1:1">
      <c r="A9691" s="1"/>
    </row>
    <row r="9692" spans="1:1">
      <c r="A9692" s="1"/>
    </row>
    <row r="9693" spans="1:1">
      <c r="A9693" s="1"/>
    </row>
    <row r="9694" spans="1:1">
      <c r="A9694" s="1"/>
    </row>
    <row r="9695" spans="1:1">
      <c r="A9695" s="1"/>
    </row>
    <row r="9696" spans="1:1">
      <c r="A9696" s="1"/>
    </row>
    <row r="9697" spans="1:1">
      <c r="A9697" s="1"/>
    </row>
    <row r="9698" spans="1:1">
      <c r="A9698" s="1"/>
    </row>
    <row r="9699" spans="1:1">
      <c r="A9699" s="1"/>
    </row>
    <row r="9700" spans="1:1">
      <c r="A9700" s="1"/>
    </row>
    <row r="9701" spans="1:1">
      <c r="A9701" s="1"/>
    </row>
    <row r="9702" spans="1:1">
      <c r="A9702" s="1"/>
    </row>
    <row r="9703" spans="1:1">
      <c r="A9703" s="1"/>
    </row>
    <row r="9704" spans="1:1">
      <c r="A9704" s="1"/>
    </row>
    <row r="9705" spans="1:1">
      <c r="A9705" s="1"/>
    </row>
    <row r="9706" spans="1:1">
      <c r="A9706" s="1"/>
    </row>
    <row r="9707" spans="1:1">
      <c r="A9707" s="1"/>
    </row>
    <row r="9708" spans="1:1">
      <c r="A9708" s="1"/>
    </row>
    <row r="9709" spans="1:1">
      <c r="A9709" s="1"/>
    </row>
    <row r="9710" spans="1:1">
      <c r="A9710" s="1"/>
    </row>
    <row r="9711" spans="1:1">
      <c r="A9711" s="1"/>
    </row>
    <row r="9712" spans="1:1">
      <c r="A9712" s="1"/>
    </row>
    <row r="9713" spans="1:1">
      <c r="A9713" s="1"/>
    </row>
    <row r="9714" spans="1:1">
      <c r="A9714" s="1"/>
    </row>
    <row r="9715" spans="1:1">
      <c r="A9715" s="1"/>
    </row>
    <row r="9716" spans="1:1">
      <c r="A9716" s="1"/>
    </row>
    <row r="9717" spans="1:1">
      <c r="A9717" s="1"/>
    </row>
    <row r="9718" spans="1:1">
      <c r="A9718" s="1"/>
    </row>
    <row r="9719" spans="1:1">
      <c r="A9719" s="1"/>
    </row>
    <row r="9720" spans="1:1">
      <c r="A9720" s="1"/>
    </row>
    <row r="9721" spans="1:1">
      <c r="A9721" s="1"/>
    </row>
    <row r="9722" spans="1:1">
      <c r="A9722" s="1"/>
    </row>
    <row r="9723" spans="1:1">
      <c r="A9723" s="1"/>
    </row>
    <row r="9724" spans="1:1">
      <c r="A9724" s="1"/>
    </row>
    <row r="9725" spans="1:1">
      <c r="A9725" s="1"/>
    </row>
    <row r="9726" spans="1:1">
      <c r="A9726" s="1"/>
    </row>
    <row r="9727" spans="1:1">
      <c r="A9727" s="1"/>
    </row>
    <row r="9728" spans="1:1">
      <c r="A9728" s="1"/>
    </row>
    <row r="9729" spans="1:1">
      <c r="A9729" s="1"/>
    </row>
    <row r="9730" spans="1:1">
      <c r="A9730" s="1"/>
    </row>
    <row r="9731" spans="1:1">
      <c r="A9731" s="1"/>
    </row>
    <row r="9732" spans="1:1">
      <c r="A9732" s="1"/>
    </row>
    <row r="9733" spans="1:1">
      <c r="A9733" s="1"/>
    </row>
    <row r="9734" spans="1:1">
      <c r="A9734" s="1"/>
    </row>
    <row r="9735" spans="1:1">
      <c r="A9735" s="1"/>
    </row>
    <row r="9736" spans="1:1">
      <c r="A9736" s="1"/>
    </row>
    <row r="9737" spans="1:1">
      <c r="A9737" s="1"/>
    </row>
    <row r="9738" spans="1:1">
      <c r="A9738" s="1"/>
    </row>
    <row r="9739" spans="1:1">
      <c r="A9739" s="1"/>
    </row>
    <row r="9740" spans="1:1">
      <c r="A9740" s="1"/>
    </row>
    <row r="9741" spans="1:1">
      <c r="A9741" s="1"/>
    </row>
    <row r="9742" spans="1:1">
      <c r="A9742" s="1"/>
    </row>
    <row r="9743" spans="1:1">
      <c r="A9743" s="1"/>
    </row>
    <row r="9744" spans="1:1">
      <c r="A9744" s="1"/>
    </row>
    <row r="9745" spans="1:1">
      <c r="A9745" s="1"/>
    </row>
    <row r="9746" spans="1:1">
      <c r="A9746" s="1"/>
    </row>
    <row r="9747" spans="1:1">
      <c r="A9747" s="1"/>
    </row>
    <row r="9748" spans="1:1">
      <c r="A9748" s="1"/>
    </row>
    <row r="9749" spans="1:1">
      <c r="A9749" s="1"/>
    </row>
    <row r="9750" spans="1:1">
      <c r="A9750" s="1"/>
    </row>
    <row r="9751" spans="1:1">
      <c r="A9751" s="1"/>
    </row>
    <row r="9752" spans="1:1">
      <c r="A9752" s="1"/>
    </row>
    <row r="9753" spans="1:1">
      <c r="A9753" s="1"/>
    </row>
    <row r="9754" spans="1:1">
      <c r="A9754" s="1"/>
    </row>
    <row r="9755" spans="1:1">
      <c r="A9755" s="1"/>
    </row>
    <row r="9756" spans="1:1">
      <c r="A9756" s="1"/>
    </row>
    <row r="9757" spans="1:1">
      <c r="A9757" s="1"/>
    </row>
    <row r="9758" spans="1:1">
      <c r="A9758" s="1"/>
    </row>
    <row r="9759" spans="1:1">
      <c r="A9759" s="1"/>
    </row>
    <row r="9760" spans="1:1">
      <c r="A9760" s="1"/>
    </row>
    <row r="9761" spans="1:1">
      <c r="A9761" s="1"/>
    </row>
    <row r="9762" spans="1:1">
      <c r="A9762" s="1"/>
    </row>
    <row r="9763" spans="1:1">
      <c r="A9763" s="1"/>
    </row>
    <row r="9764" spans="1:1">
      <c r="A9764" s="1"/>
    </row>
    <row r="9765" spans="1:1">
      <c r="A9765" s="1"/>
    </row>
    <row r="9766" spans="1:1">
      <c r="A9766" s="1"/>
    </row>
    <row r="9767" spans="1:1">
      <c r="A9767" s="1"/>
    </row>
    <row r="9768" spans="1:1">
      <c r="A9768" s="1"/>
    </row>
    <row r="9769" spans="1:1">
      <c r="A9769" s="1"/>
    </row>
    <row r="9770" spans="1:1">
      <c r="A9770" s="1"/>
    </row>
    <row r="9771" spans="1:1">
      <c r="A9771" s="1"/>
    </row>
    <row r="9772" spans="1:1">
      <c r="A9772" s="1"/>
    </row>
    <row r="9773" spans="1:1">
      <c r="A9773" s="1"/>
    </row>
    <row r="9774" spans="1:1">
      <c r="A9774" s="1"/>
    </row>
    <row r="9775" spans="1:1">
      <c r="A9775" s="1"/>
    </row>
    <row r="9776" spans="1:1">
      <c r="A9776" s="1"/>
    </row>
    <row r="9777" spans="1:1">
      <c r="A9777" s="1"/>
    </row>
    <row r="9778" spans="1:1">
      <c r="A9778" s="1"/>
    </row>
    <row r="9779" spans="1:1">
      <c r="A9779" s="1"/>
    </row>
    <row r="9780" spans="1:1">
      <c r="A9780" s="1"/>
    </row>
    <row r="9781" spans="1:1">
      <c r="A9781" s="1"/>
    </row>
    <row r="9782" spans="1:1">
      <c r="A9782" s="1"/>
    </row>
    <row r="9783" spans="1:1">
      <c r="A9783" s="1"/>
    </row>
    <row r="9784" spans="1:1">
      <c r="A9784" s="1"/>
    </row>
    <row r="9785" spans="1:1">
      <c r="A9785" s="1"/>
    </row>
    <row r="9786" spans="1:1">
      <c r="A9786" s="1"/>
    </row>
    <row r="9787" spans="1:1">
      <c r="A9787" s="1"/>
    </row>
    <row r="9788" spans="1:1">
      <c r="A9788" s="1"/>
    </row>
    <row r="9789" spans="1:1">
      <c r="A9789" s="1"/>
    </row>
    <row r="9790" spans="1:1">
      <c r="A9790" s="1"/>
    </row>
    <row r="9791" spans="1:1">
      <c r="A9791" s="1"/>
    </row>
    <row r="9792" spans="1:1">
      <c r="A9792" s="1"/>
    </row>
    <row r="9793" spans="1:1">
      <c r="A9793" s="1"/>
    </row>
    <row r="9794" spans="1:1">
      <c r="A9794" s="1"/>
    </row>
    <row r="9795" spans="1:1">
      <c r="A9795" s="1"/>
    </row>
    <row r="9796" spans="1:1">
      <c r="A9796" s="1"/>
    </row>
    <row r="9797" spans="1:1">
      <c r="A9797" s="1"/>
    </row>
    <row r="9798" spans="1:1">
      <c r="A9798" s="1"/>
    </row>
    <row r="9799" spans="1:1">
      <c r="A9799" s="1"/>
    </row>
    <row r="9800" spans="1:1">
      <c r="A9800" s="1"/>
    </row>
    <row r="9801" spans="1:1">
      <c r="A9801" s="1"/>
    </row>
    <row r="9802" spans="1:1">
      <c r="A9802" s="1"/>
    </row>
    <row r="9803" spans="1:1">
      <c r="A9803" s="1"/>
    </row>
    <row r="9804" spans="1:1">
      <c r="A9804" s="1"/>
    </row>
    <row r="9805" spans="1:1">
      <c r="A9805" s="1"/>
    </row>
    <row r="9806" spans="1:1">
      <c r="A9806" s="1"/>
    </row>
    <row r="9807" spans="1:1">
      <c r="A9807" s="1"/>
    </row>
    <row r="9808" spans="1:1">
      <c r="A9808" s="1"/>
    </row>
    <row r="9809" spans="1:1">
      <c r="A9809" s="1"/>
    </row>
    <row r="9810" spans="1:1">
      <c r="A9810" s="1"/>
    </row>
    <row r="9811" spans="1:1">
      <c r="A9811" s="1"/>
    </row>
    <row r="9812" spans="1:1">
      <c r="A9812" s="1"/>
    </row>
    <row r="9813" spans="1:1">
      <c r="A9813" s="1"/>
    </row>
    <row r="9814" spans="1:1">
      <c r="A9814" s="1"/>
    </row>
    <row r="9815" spans="1:1">
      <c r="A9815" s="1"/>
    </row>
    <row r="9816" spans="1:1">
      <c r="A9816" s="1"/>
    </row>
    <row r="9817" spans="1:1">
      <c r="A9817" s="1"/>
    </row>
    <row r="9818" spans="1:1">
      <c r="A9818" s="1"/>
    </row>
    <row r="9819" spans="1:1">
      <c r="A9819" s="1"/>
    </row>
    <row r="9820" spans="1:1">
      <c r="A9820" s="1"/>
    </row>
    <row r="9821" spans="1:1">
      <c r="A9821" s="1"/>
    </row>
    <row r="9822" spans="1:1">
      <c r="A9822" s="1"/>
    </row>
    <row r="9823" spans="1:1">
      <c r="A9823" s="1"/>
    </row>
    <row r="9824" spans="1:1">
      <c r="A9824" s="1"/>
    </row>
    <row r="9825" spans="1:1">
      <c r="A9825" s="1"/>
    </row>
    <row r="9826" spans="1:1">
      <c r="A9826" s="1"/>
    </row>
    <row r="9827" spans="1:1">
      <c r="A9827" s="1"/>
    </row>
    <row r="9828" spans="1:1">
      <c r="A9828" s="1"/>
    </row>
    <row r="9829" spans="1:1">
      <c r="A9829" s="1"/>
    </row>
    <row r="9830" spans="1:1">
      <c r="A9830" s="1"/>
    </row>
    <row r="9831" spans="1:1">
      <c r="A9831" s="1"/>
    </row>
    <row r="9832" spans="1:1">
      <c r="A9832" s="1"/>
    </row>
    <row r="9833" spans="1:1">
      <c r="A9833" s="1"/>
    </row>
    <row r="9834" spans="1:1">
      <c r="A9834" s="1"/>
    </row>
    <row r="9835" spans="1:1">
      <c r="A9835" s="1"/>
    </row>
    <row r="9836" spans="1:1">
      <c r="A9836" s="1"/>
    </row>
    <row r="9837" spans="1:1">
      <c r="A9837" s="1"/>
    </row>
    <row r="9838" spans="1:1">
      <c r="A9838" s="1"/>
    </row>
    <row r="9839" spans="1:1">
      <c r="A9839" s="1"/>
    </row>
    <row r="9840" spans="1:1">
      <c r="A9840" s="1"/>
    </row>
    <row r="9841" spans="1:1">
      <c r="A9841" s="1"/>
    </row>
    <row r="9842" spans="1:1">
      <c r="A9842" s="1"/>
    </row>
    <row r="9843" spans="1:1">
      <c r="A9843" s="1"/>
    </row>
    <row r="9844" spans="1:1">
      <c r="A9844" s="1"/>
    </row>
    <row r="9845" spans="1:1">
      <c r="A9845" s="1"/>
    </row>
    <row r="9846" spans="1:1">
      <c r="A9846" s="1"/>
    </row>
    <row r="9847" spans="1:1">
      <c r="A9847" s="1"/>
    </row>
    <row r="9848" spans="1:1">
      <c r="A9848" s="1"/>
    </row>
    <row r="9849" spans="1:1">
      <c r="A9849" s="1"/>
    </row>
    <row r="9850" spans="1:1">
      <c r="A9850" s="1"/>
    </row>
    <row r="9851" spans="1:1">
      <c r="A9851" s="1"/>
    </row>
    <row r="9852" spans="1:1">
      <c r="A9852" s="1"/>
    </row>
    <row r="9853" spans="1:1">
      <c r="A9853" s="1"/>
    </row>
    <row r="9854" spans="1:1">
      <c r="A9854" s="1"/>
    </row>
    <row r="9855" spans="1:1">
      <c r="A9855" s="1"/>
    </row>
    <row r="9856" spans="1:1">
      <c r="A9856" s="1"/>
    </row>
    <row r="9857" spans="1:1">
      <c r="A9857" s="1"/>
    </row>
    <row r="9858" spans="1:1">
      <c r="A9858" s="1"/>
    </row>
    <row r="9859" spans="1:1">
      <c r="A9859" s="1"/>
    </row>
    <row r="9860" spans="1:1">
      <c r="A9860" s="1"/>
    </row>
    <row r="9861" spans="1:1">
      <c r="A9861" s="1"/>
    </row>
    <row r="9862" spans="1:1">
      <c r="A9862" s="1"/>
    </row>
    <row r="9863" spans="1:1">
      <c r="A9863" s="1"/>
    </row>
    <row r="9864" spans="1:1">
      <c r="A9864" s="1"/>
    </row>
    <row r="9865" spans="1:1">
      <c r="A9865" s="1"/>
    </row>
    <row r="9866" spans="1:1">
      <c r="A9866" s="1"/>
    </row>
    <row r="9867" spans="1:1">
      <c r="A9867" s="1"/>
    </row>
    <row r="9868" spans="1:1">
      <c r="A9868" s="1"/>
    </row>
    <row r="9869" spans="1:1">
      <c r="A9869" s="1"/>
    </row>
    <row r="9870" spans="1:1">
      <c r="A9870" s="1"/>
    </row>
    <row r="9871" spans="1:1">
      <c r="A9871" s="1"/>
    </row>
    <row r="9872" spans="1:1">
      <c r="A9872" s="1"/>
    </row>
    <row r="9873" spans="1:1">
      <c r="A9873" s="1"/>
    </row>
    <row r="9874" spans="1:1">
      <c r="A9874" s="1"/>
    </row>
    <row r="9875" spans="1:1">
      <c r="A9875" s="1"/>
    </row>
    <row r="9876" spans="1:1">
      <c r="A9876" s="1"/>
    </row>
    <row r="9877" spans="1:1">
      <c r="A9877" s="1"/>
    </row>
    <row r="9878" spans="1:1">
      <c r="A9878" s="1"/>
    </row>
    <row r="9879" spans="1:1">
      <c r="A9879" s="1"/>
    </row>
    <row r="9880" spans="1:1">
      <c r="A9880" s="1"/>
    </row>
    <row r="9881" spans="1:1">
      <c r="A9881" s="1"/>
    </row>
    <row r="9882" spans="1:1">
      <c r="A9882" s="1"/>
    </row>
    <row r="9883" spans="1:1">
      <c r="A9883" s="1"/>
    </row>
    <row r="9884" spans="1:1">
      <c r="A9884" s="1"/>
    </row>
    <row r="9885" spans="1:1">
      <c r="A9885" s="1"/>
    </row>
    <row r="9886" spans="1:1">
      <c r="A9886" s="1"/>
    </row>
    <row r="9887" spans="1:1">
      <c r="A9887" s="1"/>
    </row>
    <row r="9888" spans="1:1">
      <c r="A9888" s="1"/>
    </row>
    <row r="9889" spans="1:1">
      <c r="A9889" s="1"/>
    </row>
    <row r="9890" spans="1:1">
      <c r="A9890" s="1"/>
    </row>
    <row r="9891" spans="1:1">
      <c r="A9891" s="1"/>
    </row>
    <row r="9892" spans="1:1">
      <c r="A9892" s="1"/>
    </row>
    <row r="9893" spans="1:1">
      <c r="A9893" s="1"/>
    </row>
    <row r="9894" spans="1:1">
      <c r="A9894" s="1"/>
    </row>
    <row r="9895" spans="1:1">
      <c r="A9895" s="1"/>
    </row>
    <row r="9896" spans="1:1">
      <c r="A9896" s="1"/>
    </row>
    <row r="9897" spans="1:1">
      <c r="A9897" s="1"/>
    </row>
    <row r="9898" spans="1:1">
      <c r="A9898" s="1"/>
    </row>
    <row r="9899" spans="1:1">
      <c r="A9899" s="1"/>
    </row>
    <row r="9900" spans="1:1">
      <c r="A9900" s="1"/>
    </row>
    <row r="9901" spans="1:1">
      <c r="A9901" s="1"/>
    </row>
    <row r="9902" spans="1:1">
      <c r="A9902" s="1"/>
    </row>
    <row r="9903" spans="1:1">
      <c r="A9903" s="1"/>
    </row>
    <row r="9904" spans="1:1">
      <c r="A9904" s="1"/>
    </row>
    <row r="9905" spans="1:1">
      <c r="A9905" s="1"/>
    </row>
    <row r="9906" spans="1:1">
      <c r="A9906" s="1"/>
    </row>
    <row r="9907" spans="1:1">
      <c r="A9907" s="1"/>
    </row>
    <row r="9908" spans="1:1">
      <c r="A9908" s="1"/>
    </row>
    <row r="9909" spans="1:1">
      <c r="A9909" s="1"/>
    </row>
    <row r="9910" spans="1:1">
      <c r="A9910" s="1"/>
    </row>
    <row r="9911" spans="1:1">
      <c r="A9911" s="1"/>
    </row>
    <row r="9912" spans="1:1">
      <c r="A9912" s="1"/>
    </row>
    <row r="9913" spans="1:1">
      <c r="A9913" s="1"/>
    </row>
    <row r="9914" spans="1:1">
      <c r="A9914" s="1"/>
    </row>
    <row r="9915" spans="1:1">
      <c r="A9915" s="1"/>
    </row>
    <row r="9916" spans="1:1">
      <c r="A9916" s="1"/>
    </row>
    <row r="9917" spans="1:1">
      <c r="A9917" s="1"/>
    </row>
    <row r="9918" spans="1:1">
      <c r="A9918" s="1"/>
    </row>
    <row r="9919" spans="1:1">
      <c r="A9919" s="1"/>
    </row>
    <row r="9920" spans="1:1">
      <c r="A9920" s="1"/>
    </row>
    <row r="9921" spans="1:1">
      <c r="A9921" s="1"/>
    </row>
    <row r="9922" spans="1:1">
      <c r="A9922" s="1"/>
    </row>
    <row r="9923" spans="1:1">
      <c r="A9923" s="1"/>
    </row>
    <row r="9924" spans="1:1">
      <c r="A9924" s="1"/>
    </row>
    <row r="9925" spans="1:1">
      <c r="A9925" s="1"/>
    </row>
    <row r="9926" spans="1:1">
      <c r="A9926" s="1"/>
    </row>
    <row r="9927" spans="1:1">
      <c r="A9927" s="1"/>
    </row>
    <row r="9928" spans="1:1">
      <c r="A9928" s="1"/>
    </row>
    <row r="9929" spans="1:1">
      <c r="A9929" s="1"/>
    </row>
    <row r="9930" spans="1:1">
      <c r="A9930" s="1"/>
    </row>
    <row r="9931" spans="1:1">
      <c r="A9931" s="1"/>
    </row>
    <row r="9932" spans="1:1">
      <c r="A9932" s="1"/>
    </row>
    <row r="9933" spans="1:1">
      <c r="A9933" s="1"/>
    </row>
    <row r="9934" spans="1:1">
      <c r="A9934" s="1"/>
    </row>
    <row r="9935" spans="1:1">
      <c r="A9935" s="1"/>
    </row>
    <row r="9936" spans="1:1">
      <c r="A9936" s="1"/>
    </row>
    <row r="9937" spans="1:1">
      <c r="A9937" s="1"/>
    </row>
    <row r="9938" spans="1:1">
      <c r="A9938" s="1"/>
    </row>
    <row r="9939" spans="1:1">
      <c r="A9939" s="1"/>
    </row>
    <row r="9940" spans="1:1">
      <c r="A9940" s="1"/>
    </row>
    <row r="9941" spans="1:1">
      <c r="A9941" s="1"/>
    </row>
    <row r="9942" spans="1:1">
      <c r="A9942" s="1"/>
    </row>
    <row r="9943" spans="1:1">
      <c r="A9943" s="1"/>
    </row>
    <row r="9944" spans="1:1">
      <c r="A9944" s="1"/>
    </row>
    <row r="9945" spans="1:1">
      <c r="A9945" s="1"/>
    </row>
    <row r="9946" spans="1:1">
      <c r="A9946" s="1"/>
    </row>
    <row r="9947" spans="1:1">
      <c r="A9947" s="1"/>
    </row>
    <row r="9948" spans="1:1">
      <c r="A9948" s="1"/>
    </row>
    <row r="9949" spans="1:1">
      <c r="A9949" s="1"/>
    </row>
    <row r="9950" spans="1:1">
      <c r="A9950" s="1"/>
    </row>
    <row r="9951" spans="1:1">
      <c r="A9951" s="1"/>
    </row>
    <row r="9952" spans="1:1">
      <c r="A9952" s="1"/>
    </row>
    <row r="9953" spans="1:1">
      <c r="A9953" s="1"/>
    </row>
    <row r="9954" spans="1:1">
      <c r="A9954" s="1"/>
    </row>
    <row r="9955" spans="1:1">
      <c r="A9955" s="1"/>
    </row>
    <row r="9956" spans="1:1">
      <c r="A9956" s="1"/>
    </row>
    <row r="9957" spans="1:1">
      <c r="A9957" s="1"/>
    </row>
    <row r="9958" spans="1:1">
      <c r="A9958" s="1"/>
    </row>
    <row r="9959" spans="1:1">
      <c r="A9959" s="1"/>
    </row>
    <row r="9960" spans="1:1">
      <c r="A9960" s="1"/>
    </row>
    <row r="9961" spans="1:1">
      <c r="A9961" s="1"/>
    </row>
    <row r="9962" spans="1:1">
      <c r="A9962" s="1"/>
    </row>
    <row r="9963" spans="1:1">
      <c r="A9963" s="1"/>
    </row>
    <row r="9964" spans="1:1">
      <c r="A9964" s="1"/>
    </row>
    <row r="9965" spans="1:1">
      <c r="A9965" s="1"/>
    </row>
    <row r="9966" spans="1:1">
      <c r="A9966" s="1"/>
    </row>
    <row r="9967" spans="1:1">
      <c r="A9967" s="1"/>
    </row>
    <row r="9968" spans="1:1">
      <c r="A9968" s="1"/>
    </row>
    <row r="9969" spans="1:1">
      <c r="A9969" s="1"/>
    </row>
    <row r="9970" spans="1:1">
      <c r="A9970" s="1"/>
    </row>
    <row r="9971" spans="1:1">
      <c r="A9971" s="1"/>
    </row>
    <row r="9972" spans="1:1">
      <c r="A9972" s="1"/>
    </row>
    <row r="9973" spans="1:1">
      <c r="A9973" s="1"/>
    </row>
    <row r="9974" spans="1:1">
      <c r="A9974" s="1"/>
    </row>
    <row r="9975" spans="1:1">
      <c r="A9975" s="1"/>
    </row>
    <row r="9976" spans="1:1">
      <c r="A9976" s="1"/>
    </row>
    <row r="9977" spans="1:1">
      <c r="A9977" s="1"/>
    </row>
    <row r="9978" spans="1:1">
      <c r="A9978" s="1"/>
    </row>
    <row r="9979" spans="1:1">
      <c r="A9979" s="1"/>
    </row>
    <row r="9980" spans="1:1">
      <c r="A9980" s="1"/>
    </row>
    <row r="9981" spans="1:1">
      <c r="A9981" s="1"/>
    </row>
    <row r="9982" spans="1:1">
      <c r="A9982" s="1"/>
    </row>
    <row r="9983" spans="1:1">
      <c r="A9983" s="1"/>
    </row>
    <row r="9984" spans="1:1">
      <c r="A9984" s="1"/>
    </row>
    <row r="9985" spans="1:1">
      <c r="A9985" s="1"/>
    </row>
    <row r="9986" spans="1:1">
      <c r="A9986" s="1"/>
    </row>
    <row r="9987" spans="1:1">
      <c r="A9987" s="1"/>
    </row>
    <row r="9988" spans="1:1">
      <c r="A9988" s="1"/>
    </row>
    <row r="9989" spans="1:1">
      <c r="A9989" s="1"/>
    </row>
    <row r="9990" spans="1:1">
      <c r="A9990" s="1"/>
    </row>
    <row r="9991" spans="1:1">
      <c r="A9991" s="1"/>
    </row>
    <row r="9992" spans="1:1">
      <c r="A9992" s="1"/>
    </row>
    <row r="9993" spans="1:1">
      <c r="A9993" s="1"/>
    </row>
    <row r="9994" spans="1:1">
      <c r="A9994" s="1"/>
    </row>
    <row r="9995" spans="1:1">
      <c r="A9995" s="1"/>
    </row>
    <row r="9996" spans="1:1">
      <c r="A9996" s="1"/>
    </row>
    <row r="9997" spans="1:1">
      <c r="A9997" s="1"/>
    </row>
    <row r="9998" spans="1:1">
      <c r="A9998" s="1"/>
    </row>
    <row r="9999" spans="1:1">
      <c r="A9999" s="1"/>
    </row>
    <row r="10000" spans="1:1">
      <c r="A10000" s="1"/>
    </row>
    <row r="10001" spans="1:1">
      <c r="A10001" s="1"/>
    </row>
    <row r="10002" spans="1:1">
      <c r="A10002" s="1"/>
    </row>
    <row r="10003" spans="1:1">
      <c r="A10003" s="1"/>
    </row>
    <row r="10004" spans="1:1">
      <c r="A10004" s="1"/>
    </row>
    <row r="10005" spans="1:1">
      <c r="A10005" s="1"/>
    </row>
    <row r="10006" spans="1:1">
      <c r="A10006" s="1"/>
    </row>
    <row r="10007" spans="1:1">
      <c r="A10007" s="1"/>
    </row>
    <row r="10008" spans="1:1">
      <c r="A10008" s="1"/>
    </row>
    <row r="10009" spans="1:1">
      <c r="A10009" s="1"/>
    </row>
    <row r="10010" spans="1:1">
      <c r="A10010" s="1"/>
    </row>
    <row r="10011" spans="1:1">
      <c r="A10011" s="1"/>
    </row>
    <row r="10012" spans="1:1">
      <c r="A10012" s="1"/>
    </row>
    <row r="10013" spans="1:1">
      <c r="A10013" s="1"/>
    </row>
    <row r="10014" spans="1:1">
      <c r="A10014" s="1"/>
    </row>
    <row r="10015" spans="1:1">
      <c r="A10015" s="1"/>
    </row>
    <row r="10016" spans="1:1">
      <c r="A10016" s="1"/>
    </row>
    <row r="10017" spans="1:1">
      <c r="A10017" s="1"/>
    </row>
    <row r="10018" spans="1:1">
      <c r="A10018" s="1"/>
    </row>
    <row r="10019" spans="1:1">
      <c r="A10019" s="1"/>
    </row>
    <row r="10020" spans="1:1">
      <c r="A10020" s="1"/>
    </row>
    <row r="10021" spans="1:1">
      <c r="A10021" s="1"/>
    </row>
    <row r="10022" spans="1:1">
      <c r="A10022" s="1"/>
    </row>
    <row r="10023" spans="1:1">
      <c r="A10023" s="1"/>
    </row>
    <row r="10024" spans="1:1">
      <c r="A10024" s="1"/>
    </row>
    <row r="10025" spans="1:1">
      <c r="A10025" s="1"/>
    </row>
    <row r="10026" spans="1:1">
      <c r="A10026" s="1"/>
    </row>
    <row r="10027" spans="1:1">
      <c r="A10027" s="1"/>
    </row>
    <row r="10028" spans="1:1">
      <c r="A10028" s="1"/>
    </row>
    <row r="10029" spans="1:1">
      <c r="A10029" s="1"/>
    </row>
    <row r="10030" spans="1:1">
      <c r="A10030" s="1"/>
    </row>
    <row r="10031" spans="1:1">
      <c r="A10031" s="1"/>
    </row>
    <row r="10032" spans="1:1">
      <c r="A10032" s="1"/>
    </row>
    <row r="10033" spans="1:1">
      <c r="A10033" s="1"/>
    </row>
    <row r="10034" spans="1:1">
      <c r="A10034" s="1"/>
    </row>
    <row r="10035" spans="1:1">
      <c r="A10035" s="1"/>
    </row>
    <row r="10036" spans="1:1">
      <c r="A10036" s="1"/>
    </row>
    <row r="10037" spans="1:1">
      <c r="A10037" s="1"/>
    </row>
    <row r="10038" spans="1:1">
      <c r="A10038" s="1"/>
    </row>
    <row r="10039" spans="1:1">
      <c r="A10039" s="1"/>
    </row>
    <row r="10040" spans="1:1">
      <c r="A10040" s="1"/>
    </row>
    <row r="10041" spans="1:1">
      <c r="A10041" s="1"/>
    </row>
    <row r="10042" spans="1:1">
      <c r="A10042" s="1"/>
    </row>
    <row r="10043" spans="1:1">
      <c r="A10043" s="1"/>
    </row>
    <row r="10044" spans="1:1">
      <c r="A10044" s="1"/>
    </row>
    <row r="10045" spans="1:1">
      <c r="A10045" s="1"/>
    </row>
    <row r="10046" spans="1:1">
      <c r="A10046" s="1"/>
    </row>
    <row r="10047" spans="1:1">
      <c r="A10047" s="1"/>
    </row>
    <row r="10048" spans="1:1">
      <c r="A10048" s="1"/>
    </row>
    <row r="10049" spans="1:1">
      <c r="A10049" s="1"/>
    </row>
    <row r="10050" spans="1:1">
      <c r="A10050" s="1"/>
    </row>
    <row r="10051" spans="1:1">
      <c r="A10051" s="1"/>
    </row>
    <row r="10052" spans="1:1">
      <c r="A10052" s="1"/>
    </row>
    <row r="10053" spans="1:1">
      <c r="A10053" s="1"/>
    </row>
    <row r="10054" spans="1:1">
      <c r="A10054" s="1"/>
    </row>
    <row r="10055" spans="1:1">
      <c r="A10055" s="1"/>
    </row>
    <row r="10056" spans="1:1">
      <c r="A10056" s="1"/>
    </row>
    <row r="10057" spans="1:1">
      <c r="A10057" s="1"/>
    </row>
    <row r="10058" spans="1:1">
      <c r="A10058" s="1"/>
    </row>
    <row r="10059" spans="1:1">
      <c r="A10059" s="1"/>
    </row>
    <row r="10060" spans="1:1">
      <c r="A10060" s="1"/>
    </row>
    <row r="10061" spans="1:1">
      <c r="A10061" s="1"/>
    </row>
    <row r="10062" spans="1:1">
      <c r="A10062" s="1"/>
    </row>
    <row r="10063" spans="1:1">
      <c r="A10063" s="1"/>
    </row>
    <row r="10064" spans="1:1">
      <c r="A10064" s="1"/>
    </row>
    <row r="10065" spans="1:1">
      <c r="A10065" s="1"/>
    </row>
    <row r="10066" spans="1:1">
      <c r="A10066" s="1"/>
    </row>
    <row r="10067" spans="1:1">
      <c r="A10067" s="1"/>
    </row>
    <row r="10068" spans="1:1">
      <c r="A10068" s="1"/>
    </row>
    <row r="10069" spans="1:1">
      <c r="A10069" s="1"/>
    </row>
    <row r="10070" spans="1:1">
      <c r="A10070" s="1"/>
    </row>
    <row r="10071" spans="1:1">
      <c r="A10071" s="1"/>
    </row>
    <row r="10072" spans="1:1">
      <c r="A10072" s="1"/>
    </row>
    <row r="10073" spans="1:1">
      <c r="A10073" s="1"/>
    </row>
    <row r="10074" spans="1:1">
      <c r="A10074" s="1"/>
    </row>
    <row r="10075" spans="1:1">
      <c r="A10075" s="1"/>
    </row>
    <row r="10076" spans="1:1">
      <c r="A10076" s="1"/>
    </row>
    <row r="10077" spans="1:1">
      <c r="A10077" s="1"/>
    </row>
    <row r="10078" spans="1:1">
      <c r="A10078" s="1"/>
    </row>
    <row r="10079" spans="1:1">
      <c r="A10079" s="1"/>
    </row>
    <row r="10080" spans="1:1">
      <c r="A10080" s="1"/>
    </row>
    <row r="10081" spans="1:1">
      <c r="A10081" s="1"/>
    </row>
    <row r="10082" spans="1:1">
      <c r="A10082" s="1"/>
    </row>
    <row r="10083" spans="1:1">
      <c r="A10083" s="1"/>
    </row>
    <row r="10084" spans="1:1">
      <c r="A10084" s="1"/>
    </row>
    <row r="10085" spans="1:1">
      <c r="A10085" s="1"/>
    </row>
    <row r="10086" spans="1:1">
      <c r="A10086" s="1"/>
    </row>
    <row r="10087" spans="1:1">
      <c r="A10087" s="1"/>
    </row>
    <row r="10088" spans="1:1">
      <c r="A10088" s="1"/>
    </row>
    <row r="10089" spans="1:1">
      <c r="A10089" s="1"/>
    </row>
    <row r="10090" spans="1:1">
      <c r="A10090" s="1"/>
    </row>
    <row r="10091" spans="1:1">
      <c r="A10091" s="1"/>
    </row>
    <row r="10092" spans="1:1">
      <c r="A10092" s="1"/>
    </row>
    <row r="10093" spans="1:1">
      <c r="A10093" s="1"/>
    </row>
    <row r="10094" spans="1:1">
      <c r="A10094" s="1"/>
    </row>
    <row r="10095" spans="1:1">
      <c r="A10095" s="1"/>
    </row>
    <row r="10096" spans="1:1">
      <c r="A10096" s="1"/>
    </row>
    <row r="10097" spans="1:1">
      <c r="A10097" s="1"/>
    </row>
    <row r="10098" spans="1:1">
      <c r="A10098" s="1"/>
    </row>
    <row r="10099" spans="1:1">
      <c r="A10099" s="1"/>
    </row>
    <row r="10100" spans="1:1">
      <c r="A10100" s="1"/>
    </row>
    <row r="10101" spans="1:1">
      <c r="A10101" s="1"/>
    </row>
    <row r="10102" spans="1:1">
      <c r="A10102" s="1"/>
    </row>
    <row r="10103" spans="1:1">
      <c r="A10103" s="1"/>
    </row>
    <row r="10104" spans="1:1">
      <c r="A10104" s="1"/>
    </row>
    <row r="10105" spans="1:1">
      <c r="A10105" s="1"/>
    </row>
    <row r="10106" spans="1:1">
      <c r="A10106" s="1"/>
    </row>
    <row r="10107" spans="1:1">
      <c r="A10107" s="1"/>
    </row>
    <row r="10108" spans="1:1">
      <c r="A10108" s="1"/>
    </row>
    <row r="10109" spans="1:1">
      <c r="A10109" s="1"/>
    </row>
    <row r="10110" spans="1:1">
      <c r="A10110" s="1"/>
    </row>
    <row r="10111" spans="1:1">
      <c r="A10111" s="1"/>
    </row>
    <row r="10112" spans="1:1">
      <c r="A10112" s="1"/>
    </row>
    <row r="10113" spans="1:1">
      <c r="A10113" s="1"/>
    </row>
    <row r="10114" spans="1:1">
      <c r="A10114" s="1"/>
    </row>
    <row r="10115" spans="1:1">
      <c r="A10115" s="1"/>
    </row>
    <row r="10116" spans="1:1">
      <c r="A10116" s="1"/>
    </row>
    <row r="10117" spans="1:1">
      <c r="A10117" s="1"/>
    </row>
    <row r="10118" spans="1:1">
      <c r="A10118" s="1"/>
    </row>
    <row r="10119" spans="1:1">
      <c r="A10119" s="1"/>
    </row>
    <row r="10120" spans="1:1">
      <c r="A10120" s="1"/>
    </row>
    <row r="10121" spans="1:1">
      <c r="A10121" s="1"/>
    </row>
    <row r="10122" spans="1:1">
      <c r="A10122" s="1"/>
    </row>
    <row r="10123" spans="1:1">
      <c r="A10123" s="1"/>
    </row>
    <row r="10124" spans="1:1">
      <c r="A10124" s="1"/>
    </row>
    <row r="10125" spans="1:1">
      <c r="A10125" s="1"/>
    </row>
    <row r="10126" spans="1:1">
      <c r="A10126" s="1"/>
    </row>
    <row r="10127" spans="1:1">
      <c r="A10127" s="1"/>
    </row>
    <row r="10128" spans="1:1">
      <c r="A10128" s="1"/>
    </row>
    <row r="10129" spans="1:1">
      <c r="A10129" s="1"/>
    </row>
    <row r="10130" spans="1:1">
      <c r="A10130" s="1"/>
    </row>
    <row r="10131" spans="1:1">
      <c r="A10131" s="1"/>
    </row>
    <row r="10132" spans="1:1">
      <c r="A10132" s="1"/>
    </row>
    <row r="10133" spans="1:1">
      <c r="A10133" s="1"/>
    </row>
    <row r="10134" spans="1:1">
      <c r="A10134" s="1"/>
    </row>
    <row r="10135" spans="1:1">
      <c r="A10135" s="1"/>
    </row>
    <row r="10136" spans="1:1">
      <c r="A10136" s="1"/>
    </row>
    <row r="10137" spans="1:1">
      <c r="A10137" s="1"/>
    </row>
    <row r="10138" spans="1:1">
      <c r="A10138" s="1"/>
    </row>
    <row r="10139" spans="1:1">
      <c r="A10139" s="1"/>
    </row>
    <row r="10140" spans="1:1">
      <c r="A10140" s="1"/>
    </row>
    <row r="10141" spans="1:1">
      <c r="A10141" s="1"/>
    </row>
    <row r="10142" spans="1:1">
      <c r="A10142" s="1"/>
    </row>
    <row r="10143" spans="1:1">
      <c r="A10143" s="1"/>
    </row>
    <row r="10144" spans="1:1">
      <c r="A10144" s="1"/>
    </row>
    <row r="10145" spans="1:1">
      <c r="A10145" s="1"/>
    </row>
    <row r="10146" spans="1:1">
      <c r="A10146" s="1"/>
    </row>
    <row r="10147" spans="1:1">
      <c r="A10147" s="1"/>
    </row>
    <row r="10148" spans="1:1">
      <c r="A10148" s="1"/>
    </row>
    <row r="10149" spans="1:1">
      <c r="A10149" s="1"/>
    </row>
    <row r="10150" spans="1:1">
      <c r="A10150" s="1"/>
    </row>
    <row r="10151" spans="1:1">
      <c r="A10151" s="1"/>
    </row>
    <row r="10152" spans="1:1">
      <c r="A10152" s="1"/>
    </row>
    <row r="10153" spans="1:1">
      <c r="A10153" s="1"/>
    </row>
    <row r="10154" spans="1:1">
      <c r="A10154" s="1"/>
    </row>
    <row r="10155" spans="1:1">
      <c r="A10155" s="1"/>
    </row>
    <row r="10156" spans="1:1">
      <c r="A10156" s="1"/>
    </row>
    <row r="10157" spans="1:1">
      <c r="A10157" s="1"/>
    </row>
    <row r="10158" spans="1:1">
      <c r="A10158" s="1"/>
    </row>
    <row r="10159" spans="1:1">
      <c r="A10159" s="1"/>
    </row>
    <row r="10160" spans="1:1">
      <c r="A10160" s="1"/>
    </row>
    <row r="10161" spans="1:1">
      <c r="A10161" s="1"/>
    </row>
    <row r="10162" spans="1:1">
      <c r="A10162" s="1"/>
    </row>
    <row r="10163" spans="1:1">
      <c r="A10163" s="1"/>
    </row>
    <row r="10164" spans="1:1">
      <c r="A10164" s="1"/>
    </row>
    <row r="10165" spans="1:1">
      <c r="A10165" s="1"/>
    </row>
    <row r="10166" spans="1:1">
      <c r="A10166" s="1"/>
    </row>
    <row r="10167" spans="1:1">
      <c r="A10167" s="1"/>
    </row>
    <row r="10168" spans="1:1">
      <c r="A10168" s="1"/>
    </row>
    <row r="10169" spans="1:1">
      <c r="A10169" s="1"/>
    </row>
    <row r="10170" spans="1:1">
      <c r="A10170" s="1"/>
    </row>
    <row r="10171" spans="1:1">
      <c r="A10171" s="1"/>
    </row>
    <row r="10172" spans="1:1">
      <c r="A10172" s="1"/>
    </row>
    <row r="10173" spans="1:1">
      <c r="A10173" s="1"/>
    </row>
    <row r="10174" spans="1:1">
      <c r="A10174" s="1"/>
    </row>
    <row r="10175" spans="1:1">
      <c r="A10175" s="1"/>
    </row>
    <row r="10176" spans="1:1">
      <c r="A10176" s="1"/>
    </row>
    <row r="10177" spans="1:1">
      <c r="A10177" s="1"/>
    </row>
    <row r="10178" spans="1:1">
      <c r="A10178" s="1"/>
    </row>
    <row r="10179" spans="1:1">
      <c r="A10179" s="1"/>
    </row>
    <row r="10180" spans="1:1">
      <c r="A10180" s="1"/>
    </row>
    <row r="10181" spans="1:1">
      <c r="A10181" s="1"/>
    </row>
    <row r="10182" spans="1:1">
      <c r="A10182" s="1"/>
    </row>
    <row r="10183" spans="1:1">
      <c r="A10183" s="1"/>
    </row>
    <row r="10184" spans="1:1">
      <c r="A10184" s="1"/>
    </row>
    <row r="10185" spans="1:1">
      <c r="A10185" s="1"/>
    </row>
    <row r="10186" spans="1:1">
      <c r="A10186" s="1"/>
    </row>
    <row r="10187" spans="1:1">
      <c r="A10187" s="1"/>
    </row>
    <row r="10188" spans="1:1">
      <c r="A10188" s="1"/>
    </row>
    <row r="10189" spans="1:1">
      <c r="A10189" s="1"/>
    </row>
    <row r="10190" spans="1:1">
      <c r="A10190" s="1"/>
    </row>
    <row r="10191" spans="1:1">
      <c r="A10191" s="1"/>
    </row>
    <row r="10192" spans="1:1">
      <c r="A10192" s="1"/>
    </row>
    <row r="10193" spans="1:1">
      <c r="A10193" s="1"/>
    </row>
    <row r="10194" spans="1:1">
      <c r="A10194" s="1"/>
    </row>
    <row r="10195" spans="1:1">
      <c r="A10195" s="1"/>
    </row>
    <row r="10196" spans="1:1">
      <c r="A10196" s="1"/>
    </row>
    <row r="10197" spans="1:1">
      <c r="A10197" s="1"/>
    </row>
    <row r="10198" spans="1:1">
      <c r="A10198" s="1"/>
    </row>
    <row r="10199" spans="1:1">
      <c r="A10199" s="1"/>
    </row>
    <row r="10200" spans="1:1">
      <c r="A10200" s="1"/>
    </row>
    <row r="10201" spans="1:1">
      <c r="A10201" s="1"/>
    </row>
    <row r="10202" spans="1:1">
      <c r="A10202" s="1"/>
    </row>
    <row r="10203" spans="1:1">
      <c r="A10203" s="1"/>
    </row>
    <row r="10204" spans="1:1">
      <c r="A10204" s="1"/>
    </row>
    <row r="10205" spans="1:1">
      <c r="A10205" s="1"/>
    </row>
    <row r="10206" spans="1:1">
      <c r="A10206" s="1"/>
    </row>
    <row r="10207" spans="1:1">
      <c r="A10207" s="1"/>
    </row>
    <row r="10208" spans="1:1">
      <c r="A10208" s="1"/>
    </row>
    <row r="10209" spans="1:1">
      <c r="A10209" s="1"/>
    </row>
    <row r="10210" spans="1:1">
      <c r="A10210" s="1"/>
    </row>
    <row r="10211" spans="1:1">
      <c r="A10211" s="1"/>
    </row>
    <row r="10212" spans="1:1">
      <c r="A10212" s="1"/>
    </row>
    <row r="10213" spans="1:1">
      <c r="A10213" s="1"/>
    </row>
    <row r="10214" spans="1:1">
      <c r="A10214" s="1"/>
    </row>
    <row r="10215" spans="1:1">
      <c r="A10215" s="1"/>
    </row>
    <row r="10216" spans="1:1">
      <c r="A10216" s="1"/>
    </row>
    <row r="10217" spans="1:1">
      <c r="A10217" s="1"/>
    </row>
    <row r="10218" spans="1:1">
      <c r="A10218" s="1"/>
    </row>
    <row r="10219" spans="1:1">
      <c r="A10219" s="1"/>
    </row>
    <row r="10220" spans="1:1">
      <c r="A10220" s="1"/>
    </row>
    <row r="10221" spans="1:1">
      <c r="A10221" s="1"/>
    </row>
    <row r="10222" spans="1:1">
      <c r="A10222" s="1"/>
    </row>
    <row r="10223" spans="1:1">
      <c r="A10223" s="1"/>
    </row>
    <row r="10224" spans="1:1">
      <c r="A10224" s="1"/>
    </row>
    <row r="10225" spans="1:1">
      <c r="A10225" s="1"/>
    </row>
    <row r="10226" spans="1:1">
      <c r="A10226" s="1"/>
    </row>
    <row r="10227" spans="1:1">
      <c r="A10227" s="1"/>
    </row>
    <row r="10228" spans="1:1">
      <c r="A10228" s="1"/>
    </row>
    <row r="10229" spans="1:1">
      <c r="A10229" s="1"/>
    </row>
    <row r="10230" spans="1:1">
      <c r="A10230" s="1"/>
    </row>
    <row r="10231" spans="1:1">
      <c r="A10231" s="1"/>
    </row>
    <row r="10232" spans="1:1">
      <c r="A10232" s="1"/>
    </row>
    <row r="10233" spans="1:1">
      <c r="A10233" s="1"/>
    </row>
    <row r="10234" spans="1:1">
      <c r="A10234" s="1"/>
    </row>
    <row r="10235" spans="1:1">
      <c r="A10235" s="1"/>
    </row>
    <row r="10236" spans="1:1">
      <c r="A10236" s="1"/>
    </row>
    <row r="10237" spans="1:1">
      <c r="A10237" s="1"/>
    </row>
    <row r="10238" spans="1:1">
      <c r="A10238" s="1"/>
    </row>
    <row r="10239" spans="1:1">
      <c r="A10239" s="1"/>
    </row>
    <row r="10240" spans="1:1">
      <c r="A10240" s="1"/>
    </row>
    <row r="10241" spans="1:1">
      <c r="A10241" s="1"/>
    </row>
    <row r="10242" spans="1:1">
      <c r="A10242" s="1"/>
    </row>
    <row r="10243" spans="1:1">
      <c r="A10243" s="1"/>
    </row>
    <row r="10244" spans="1:1">
      <c r="A10244" s="1"/>
    </row>
    <row r="10245" spans="1:1">
      <c r="A10245" s="1"/>
    </row>
    <row r="10246" spans="1:1">
      <c r="A10246" s="1"/>
    </row>
    <row r="10247" spans="1:1">
      <c r="A10247" s="1"/>
    </row>
    <row r="10248" spans="1:1">
      <c r="A10248" s="1"/>
    </row>
    <row r="10249" spans="1:1">
      <c r="A10249" s="1"/>
    </row>
    <row r="10250" spans="1:1">
      <c r="A10250" s="1"/>
    </row>
    <row r="10251" spans="1:1">
      <c r="A10251" s="1"/>
    </row>
    <row r="10252" spans="1:1">
      <c r="A10252" s="1"/>
    </row>
    <row r="10253" spans="1:1">
      <c r="A10253" s="1"/>
    </row>
    <row r="10254" spans="1:1">
      <c r="A10254" s="1"/>
    </row>
    <row r="10255" spans="1:1">
      <c r="A10255" s="1"/>
    </row>
    <row r="10256" spans="1:1">
      <c r="A10256" s="1"/>
    </row>
    <row r="10257" spans="1:1">
      <c r="A10257" s="1"/>
    </row>
    <row r="10258" spans="1:1">
      <c r="A10258" s="1"/>
    </row>
    <row r="10259" spans="1:1">
      <c r="A10259" s="1"/>
    </row>
    <row r="10260" spans="1:1">
      <c r="A10260" s="1"/>
    </row>
    <row r="10261" spans="1:1">
      <c r="A10261" s="1"/>
    </row>
    <row r="10262" spans="1:1">
      <c r="A10262" s="1"/>
    </row>
    <row r="10263" spans="1:1">
      <c r="A10263" s="1"/>
    </row>
    <row r="10264" spans="1:1">
      <c r="A10264" s="1"/>
    </row>
    <row r="10265" spans="1:1">
      <c r="A10265" s="1"/>
    </row>
    <row r="10266" spans="1:1">
      <c r="A10266" s="1"/>
    </row>
    <row r="10267" spans="1:1">
      <c r="A10267" s="1"/>
    </row>
    <row r="10268" spans="1:1">
      <c r="A10268" s="1"/>
    </row>
    <row r="10269" spans="1:1">
      <c r="A10269" s="1"/>
    </row>
    <row r="10270" spans="1:1">
      <c r="A10270" s="1"/>
    </row>
    <row r="10271" spans="1:1">
      <c r="A10271" s="1"/>
    </row>
    <row r="10272" spans="1:1">
      <c r="A10272" s="1"/>
    </row>
    <row r="10273" spans="1:1">
      <c r="A10273" s="1"/>
    </row>
    <row r="10274" spans="1:1">
      <c r="A10274" s="1"/>
    </row>
    <row r="10275" spans="1:1">
      <c r="A10275" s="1"/>
    </row>
    <row r="10276" spans="1:1">
      <c r="A10276" s="1"/>
    </row>
    <row r="10277" spans="1:1">
      <c r="A10277" s="1"/>
    </row>
    <row r="10278" spans="1:1">
      <c r="A10278" s="1"/>
    </row>
    <row r="10279" spans="1:1">
      <c r="A10279" s="1"/>
    </row>
    <row r="10280" spans="1:1">
      <c r="A10280" s="1"/>
    </row>
    <row r="10281" spans="1:1">
      <c r="A10281" s="1"/>
    </row>
    <row r="10282" spans="1:1">
      <c r="A10282" s="1"/>
    </row>
    <row r="10283" spans="1:1">
      <c r="A10283" s="1"/>
    </row>
    <row r="10284" spans="1:1">
      <c r="A10284" s="1"/>
    </row>
    <row r="10285" spans="1:1">
      <c r="A10285" s="1"/>
    </row>
    <row r="10286" spans="1:1">
      <c r="A10286" s="1"/>
    </row>
    <row r="10287" spans="1:1">
      <c r="A10287" s="1"/>
    </row>
    <row r="10288" spans="1:1">
      <c r="A10288" s="1"/>
    </row>
    <row r="10289" spans="1:1">
      <c r="A10289" s="1"/>
    </row>
    <row r="10290" spans="1:1">
      <c r="A10290" s="1"/>
    </row>
    <row r="10291" spans="1:1">
      <c r="A10291" s="1"/>
    </row>
    <row r="10292" spans="1:1">
      <c r="A10292" s="1"/>
    </row>
    <row r="10293" spans="1:1">
      <c r="A10293" s="1"/>
    </row>
    <row r="10294" spans="1:1">
      <c r="A10294" s="1"/>
    </row>
    <row r="10295" spans="1:1">
      <c r="A10295" s="1"/>
    </row>
    <row r="10296" spans="1:1">
      <c r="A10296" s="1"/>
    </row>
    <row r="10297" spans="1:1">
      <c r="A10297" s="1"/>
    </row>
    <row r="10298" spans="1:1">
      <c r="A10298" s="1"/>
    </row>
    <row r="10299" spans="1:1">
      <c r="A10299" s="1"/>
    </row>
    <row r="10300" spans="1:1">
      <c r="A10300" s="1"/>
    </row>
    <row r="10301" spans="1:1">
      <c r="A10301" s="1"/>
    </row>
    <row r="10302" spans="1:1">
      <c r="A10302" s="1"/>
    </row>
    <row r="10303" spans="1:1">
      <c r="A10303" s="1"/>
    </row>
    <row r="10304" spans="1:1">
      <c r="A10304" s="1"/>
    </row>
    <row r="10305" spans="1:1">
      <c r="A10305" s="1"/>
    </row>
    <row r="10306" spans="1:1">
      <c r="A10306" s="1"/>
    </row>
    <row r="10307" spans="1:1">
      <c r="A10307" s="1"/>
    </row>
    <row r="10308" spans="1:1">
      <c r="A10308" s="1"/>
    </row>
    <row r="10309" spans="1:1">
      <c r="A10309" s="1"/>
    </row>
    <row r="10310" spans="1:1">
      <c r="A10310" s="1"/>
    </row>
    <row r="10311" spans="1:1">
      <c r="A10311" s="1"/>
    </row>
    <row r="10312" spans="1:1">
      <c r="A10312" s="1"/>
    </row>
    <row r="10313" spans="1:1">
      <c r="A10313" s="1"/>
    </row>
    <row r="10314" spans="1:1">
      <c r="A10314" s="1"/>
    </row>
    <row r="10315" spans="1:1">
      <c r="A10315" s="1"/>
    </row>
    <row r="10316" spans="1:1">
      <c r="A10316" s="1"/>
    </row>
    <row r="10317" spans="1:1">
      <c r="A10317" s="1"/>
    </row>
    <row r="10318" spans="1:1">
      <c r="A10318" s="1"/>
    </row>
    <row r="10319" spans="1:1">
      <c r="A10319" s="1"/>
    </row>
    <row r="10320" spans="1:1">
      <c r="A10320" s="1"/>
    </row>
    <row r="10321" spans="1:1">
      <c r="A10321" s="1"/>
    </row>
    <row r="10322" spans="1:1">
      <c r="A10322" s="1"/>
    </row>
    <row r="10323" spans="1:1">
      <c r="A10323" s="1"/>
    </row>
    <row r="10324" spans="1:1">
      <c r="A10324" s="1"/>
    </row>
    <row r="10325" spans="1:1">
      <c r="A10325" s="1"/>
    </row>
    <row r="10326" spans="1:1">
      <c r="A10326" s="1"/>
    </row>
    <row r="10327" spans="1:1">
      <c r="A10327" s="1"/>
    </row>
    <row r="10328" spans="1:1">
      <c r="A10328" s="1"/>
    </row>
    <row r="10329" spans="1:1">
      <c r="A10329" s="1"/>
    </row>
    <row r="10330" spans="1:1">
      <c r="A10330" s="1"/>
    </row>
    <row r="10331" spans="1:1">
      <c r="A10331" s="1"/>
    </row>
    <row r="10332" spans="1:1">
      <c r="A10332" s="1"/>
    </row>
    <row r="10333" spans="1:1">
      <c r="A10333" s="1"/>
    </row>
    <row r="10334" spans="1:1">
      <c r="A10334" s="1"/>
    </row>
    <row r="10335" spans="1:1">
      <c r="A10335" s="1"/>
    </row>
    <row r="10336" spans="1:1">
      <c r="A10336" s="1"/>
    </row>
    <row r="10337" spans="1:1">
      <c r="A10337" s="1"/>
    </row>
    <row r="10338" spans="1:1">
      <c r="A10338" s="1"/>
    </row>
    <row r="10339" spans="1:1">
      <c r="A10339" s="1"/>
    </row>
    <row r="10340" spans="1:1">
      <c r="A10340" s="1"/>
    </row>
    <row r="10341" spans="1:1">
      <c r="A10341" s="1"/>
    </row>
    <row r="10342" spans="1:1">
      <c r="A10342" s="1"/>
    </row>
    <row r="10343" spans="1:1">
      <c r="A10343" s="1"/>
    </row>
    <row r="10344" spans="1:1">
      <c r="A10344" s="1"/>
    </row>
    <row r="10345" spans="1:1">
      <c r="A10345" s="1"/>
    </row>
    <row r="10346" spans="1:1">
      <c r="A10346" s="1"/>
    </row>
    <row r="10347" spans="1:1">
      <c r="A10347" s="1"/>
    </row>
    <row r="10348" spans="1:1">
      <c r="A10348" s="1"/>
    </row>
    <row r="10349" spans="1:1">
      <c r="A10349" s="1"/>
    </row>
    <row r="10350" spans="1:1">
      <c r="A10350" s="1"/>
    </row>
    <row r="10351" spans="1:1">
      <c r="A10351" s="1"/>
    </row>
    <row r="10352" spans="1:1">
      <c r="A10352" s="1"/>
    </row>
    <row r="10353" spans="1:1">
      <c r="A10353" s="1"/>
    </row>
    <row r="10354" spans="1:1">
      <c r="A10354" s="1"/>
    </row>
    <row r="10355" spans="1:1">
      <c r="A10355" s="1"/>
    </row>
    <row r="10356" spans="1:1">
      <c r="A10356" s="1"/>
    </row>
    <row r="10357" spans="1:1">
      <c r="A10357" s="1"/>
    </row>
    <row r="10358" spans="1:1">
      <c r="A10358" s="1"/>
    </row>
    <row r="10359" spans="1:1">
      <c r="A10359" s="1"/>
    </row>
    <row r="10360" spans="1:1">
      <c r="A10360" s="1"/>
    </row>
    <row r="10361" spans="1:1">
      <c r="A10361" s="1"/>
    </row>
    <row r="10362" spans="1:1">
      <c r="A10362" s="1"/>
    </row>
    <row r="10363" spans="1:1">
      <c r="A10363" s="1"/>
    </row>
    <row r="10364" spans="1:1">
      <c r="A10364" s="1"/>
    </row>
    <row r="10365" spans="1:1">
      <c r="A10365" s="1"/>
    </row>
    <row r="10366" spans="1:1">
      <c r="A10366" s="1"/>
    </row>
    <row r="10367" spans="1:1">
      <c r="A10367" s="1"/>
    </row>
    <row r="10368" spans="1:1">
      <c r="A10368" s="1"/>
    </row>
    <row r="10369" spans="1:1">
      <c r="A10369" s="1"/>
    </row>
    <row r="10370" spans="1:1">
      <c r="A10370" s="1"/>
    </row>
    <row r="10371" spans="1:1">
      <c r="A10371" s="1"/>
    </row>
    <row r="10372" spans="1:1">
      <c r="A10372" s="1"/>
    </row>
    <row r="10373" spans="1:1">
      <c r="A10373" s="1"/>
    </row>
    <row r="10374" spans="1:1">
      <c r="A10374" s="1"/>
    </row>
    <row r="10375" spans="1:1">
      <c r="A10375" s="1"/>
    </row>
    <row r="10376" spans="1:1">
      <c r="A10376" s="1"/>
    </row>
    <row r="10377" spans="1:1">
      <c r="A10377" s="1"/>
    </row>
    <row r="10378" spans="1:1">
      <c r="A10378" s="1"/>
    </row>
    <row r="10379" spans="1:1">
      <c r="A10379" s="1"/>
    </row>
    <row r="10380" spans="1:1">
      <c r="A10380" s="1"/>
    </row>
    <row r="10381" spans="1:1">
      <c r="A10381" s="1"/>
    </row>
    <row r="10382" spans="1:1">
      <c r="A10382" s="1"/>
    </row>
    <row r="10383" spans="1:1">
      <c r="A10383" s="1"/>
    </row>
    <row r="10384" spans="1:1">
      <c r="A10384" s="1"/>
    </row>
    <row r="10385" spans="1:1">
      <c r="A10385" s="1"/>
    </row>
    <row r="10386" spans="1:1">
      <c r="A10386" s="1"/>
    </row>
    <row r="10387" spans="1:1">
      <c r="A10387" s="1"/>
    </row>
    <row r="10388" spans="1:1">
      <c r="A10388" s="1"/>
    </row>
    <row r="10389" spans="1:1">
      <c r="A10389" s="1"/>
    </row>
    <row r="10390" spans="1:1">
      <c r="A10390" s="1"/>
    </row>
    <row r="10391" spans="1:1">
      <c r="A10391" s="1"/>
    </row>
    <row r="10392" spans="1:1">
      <c r="A10392" s="1"/>
    </row>
    <row r="10393" spans="1:1">
      <c r="A10393" s="1"/>
    </row>
    <row r="10394" spans="1:1">
      <c r="A10394" s="1"/>
    </row>
    <row r="10395" spans="1:1">
      <c r="A10395" s="1"/>
    </row>
    <row r="10396" spans="1:1">
      <c r="A10396" s="1"/>
    </row>
    <row r="10397" spans="1:1">
      <c r="A10397" s="1"/>
    </row>
    <row r="10398" spans="1:1">
      <c r="A10398" s="1"/>
    </row>
    <row r="10399" spans="1:1">
      <c r="A10399" s="1"/>
    </row>
    <row r="10400" spans="1:1">
      <c r="A10400" s="1"/>
    </row>
    <row r="10401" spans="1:1">
      <c r="A10401" s="1"/>
    </row>
    <row r="10402" spans="1:1">
      <c r="A10402" s="1"/>
    </row>
    <row r="10403" spans="1:1">
      <c r="A10403" s="1"/>
    </row>
    <row r="10404" spans="1:1">
      <c r="A10404" s="1"/>
    </row>
    <row r="10405" spans="1:1">
      <c r="A10405" s="1"/>
    </row>
    <row r="10406" spans="1:1">
      <c r="A10406" s="1"/>
    </row>
    <row r="10407" spans="1:1">
      <c r="A10407" s="1"/>
    </row>
    <row r="10408" spans="1:1">
      <c r="A10408" s="1"/>
    </row>
    <row r="10409" spans="1:1">
      <c r="A10409" s="1"/>
    </row>
    <row r="10410" spans="1:1">
      <c r="A10410" s="1"/>
    </row>
    <row r="10411" spans="1:1">
      <c r="A10411" s="1"/>
    </row>
    <row r="10412" spans="1:1">
      <c r="A10412" s="1"/>
    </row>
    <row r="10413" spans="1:1">
      <c r="A10413" s="1"/>
    </row>
    <row r="10414" spans="1:1">
      <c r="A10414" s="1"/>
    </row>
    <row r="10415" spans="1:1">
      <c r="A10415" s="1"/>
    </row>
    <row r="10416" spans="1:1">
      <c r="A10416" s="1"/>
    </row>
    <row r="10417" spans="1:1">
      <c r="A10417" s="1"/>
    </row>
    <row r="10418" spans="1:1">
      <c r="A10418" s="1"/>
    </row>
    <row r="10419" spans="1:1">
      <c r="A10419" s="1"/>
    </row>
    <row r="10420" spans="1:1">
      <c r="A10420" s="1"/>
    </row>
    <row r="10421" spans="1:1">
      <c r="A10421" s="1"/>
    </row>
    <row r="10422" spans="1:1">
      <c r="A10422" s="1"/>
    </row>
    <row r="10423" spans="1:1">
      <c r="A10423" s="1"/>
    </row>
    <row r="10424" spans="1:1">
      <c r="A10424" s="1"/>
    </row>
    <row r="10425" spans="1:1">
      <c r="A10425" s="1"/>
    </row>
    <row r="10426" spans="1:1">
      <c r="A10426" s="1"/>
    </row>
    <row r="10427" spans="1:1">
      <c r="A10427" s="1"/>
    </row>
    <row r="10428" spans="1:1">
      <c r="A10428" s="1"/>
    </row>
    <row r="10429" spans="1:1">
      <c r="A10429" s="1"/>
    </row>
    <row r="10430" spans="1:1">
      <c r="A10430" s="1"/>
    </row>
    <row r="10431" spans="1:1">
      <c r="A10431" s="1"/>
    </row>
    <row r="10432" spans="1:1">
      <c r="A10432" s="1"/>
    </row>
    <row r="10433" spans="1:1">
      <c r="A10433" s="1"/>
    </row>
    <row r="10434" spans="1:1">
      <c r="A10434" s="1"/>
    </row>
    <row r="10435" spans="1:1">
      <c r="A10435" s="1"/>
    </row>
    <row r="10436" spans="1:1">
      <c r="A10436" s="1"/>
    </row>
    <row r="10437" spans="1:1">
      <c r="A10437" s="1"/>
    </row>
    <row r="10438" spans="1:1">
      <c r="A10438" s="1"/>
    </row>
    <row r="10439" spans="1:1">
      <c r="A10439" s="1"/>
    </row>
    <row r="10440" spans="1:1">
      <c r="A10440" s="1"/>
    </row>
    <row r="10441" spans="1:1">
      <c r="A10441" s="1"/>
    </row>
    <row r="10442" spans="1:1">
      <c r="A10442" s="1"/>
    </row>
    <row r="10443" spans="1:1">
      <c r="A10443" s="1"/>
    </row>
    <row r="10444" spans="1:1">
      <c r="A10444" s="1"/>
    </row>
    <row r="10445" spans="1:1">
      <c r="A10445" s="1"/>
    </row>
    <row r="10446" spans="1:1">
      <c r="A10446" s="1"/>
    </row>
    <row r="10447" spans="1:1">
      <c r="A10447" s="1"/>
    </row>
    <row r="10448" spans="1:1">
      <c r="A10448" s="1"/>
    </row>
    <row r="10449" spans="1:1">
      <c r="A10449" s="1"/>
    </row>
    <row r="10450" spans="1:1">
      <c r="A10450" s="1"/>
    </row>
    <row r="10451" spans="1:1">
      <c r="A10451" s="1"/>
    </row>
    <row r="10452" spans="1:1">
      <c r="A10452" s="1"/>
    </row>
    <row r="10453" spans="1:1">
      <c r="A10453" s="1"/>
    </row>
    <row r="10454" spans="1:1">
      <c r="A10454" s="1"/>
    </row>
    <row r="10455" spans="1:1">
      <c r="A10455" s="1"/>
    </row>
    <row r="10456" spans="1:1">
      <c r="A10456" s="1"/>
    </row>
    <row r="10457" spans="1:1">
      <c r="A10457" s="1"/>
    </row>
    <row r="10458" spans="1:1">
      <c r="A10458" s="1"/>
    </row>
    <row r="10459" spans="1:1">
      <c r="A10459" s="1"/>
    </row>
    <row r="10460" spans="1:1">
      <c r="A10460" s="1"/>
    </row>
    <row r="10461" spans="1:1">
      <c r="A10461" s="1"/>
    </row>
    <row r="10462" spans="1:1">
      <c r="A10462" s="1"/>
    </row>
    <row r="10463" spans="1:1">
      <c r="A10463" s="1"/>
    </row>
    <row r="10464" spans="1:1">
      <c r="A10464" s="1"/>
    </row>
    <row r="10465" spans="1:1">
      <c r="A10465" s="1"/>
    </row>
    <row r="10466" spans="1:1">
      <c r="A10466" s="1"/>
    </row>
    <row r="10467" spans="1:1">
      <c r="A10467" s="1"/>
    </row>
    <row r="10468" spans="1:1">
      <c r="A10468" s="1"/>
    </row>
    <row r="10469" spans="1:1">
      <c r="A10469" s="1"/>
    </row>
    <row r="10470" spans="1:1">
      <c r="A10470" s="1"/>
    </row>
    <row r="10471" spans="1:1">
      <c r="A10471" s="1"/>
    </row>
    <row r="10472" spans="1:1">
      <c r="A10472" s="1"/>
    </row>
    <row r="10473" spans="1:1">
      <c r="A10473" s="1"/>
    </row>
    <row r="10474" spans="1:1">
      <c r="A10474" s="1"/>
    </row>
    <row r="10475" spans="1:1">
      <c r="A10475" s="1"/>
    </row>
    <row r="10476" spans="1:1">
      <c r="A10476" s="1"/>
    </row>
    <row r="10477" spans="1:1">
      <c r="A10477" s="1"/>
    </row>
    <row r="10478" spans="1:1">
      <c r="A10478" s="1"/>
    </row>
    <row r="10479" spans="1:1">
      <c r="A10479" s="1"/>
    </row>
    <row r="10480" spans="1:1">
      <c r="A10480" s="1"/>
    </row>
    <row r="10481" spans="1:1">
      <c r="A10481" s="1"/>
    </row>
    <row r="10482" spans="1:1">
      <c r="A10482" s="1"/>
    </row>
    <row r="10483" spans="1:1">
      <c r="A10483" s="1"/>
    </row>
    <row r="10484" spans="1:1">
      <c r="A10484" s="1"/>
    </row>
    <row r="10485" spans="1:1">
      <c r="A10485" s="1"/>
    </row>
    <row r="10486" spans="1:1">
      <c r="A10486" s="1"/>
    </row>
    <row r="10487" spans="1:1">
      <c r="A10487" s="1"/>
    </row>
    <row r="10488" spans="1:1">
      <c r="A10488" s="1"/>
    </row>
    <row r="10489" spans="1:1">
      <c r="A10489" s="1"/>
    </row>
    <row r="10490" spans="1:1">
      <c r="A10490" s="1"/>
    </row>
    <row r="10491" spans="1:1">
      <c r="A10491" s="1"/>
    </row>
    <row r="10492" spans="1:1">
      <c r="A10492" s="1"/>
    </row>
    <row r="10493" spans="1:1">
      <c r="A10493" s="1"/>
    </row>
    <row r="10494" spans="1:1">
      <c r="A10494" s="1"/>
    </row>
    <row r="10495" spans="1:1">
      <c r="A10495" s="1"/>
    </row>
    <row r="10496" spans="1:1">
      <c r="A10496" s="1"/>
    </row>
    <row r="10497" spans="1:1">
      <c r="A10497" s="1"/>
    </row>
    <row r="10498" spans="1:1">
      <c r="A10498" s="1"/>
    </row>
    <row r="10499" spans="1:1">
      <c r="A10499" s="1"/>
    </row>
    <row r="10500" spans="1:1">
      <c r="A10500" s="1"/>
    </row>
    <row r="10501" spans="1:1">
      <c r="A10501" s="1"/>
    </row>
    <row r="10502" spans="1:1">
      <c r="A10502" s="1"/>
    </row>
    <row r="10503" spans="1:1">
      <c r="A10503" s="1"/>
    </row>
    <row r="10504" spans="1:1">
      <c r="A10504" s="1"/>
    </row>
    <row r="10505" spans="1:1">
      <c r="A10505" s="1"/>
    </row>
    <row r="10506" spans="1:1">
      <c r="A10506" s="1"/>
    </row>
    <row r="10507" spans="1:1">
      <c r="A10507" s="1"/>
    </row>
    <row r="10508" spans="1:1">
      <c r="A10508" s="1"/>
    </row>
    <row r="10509" spans="1:1">
      <c r="A10509" s="1"/>
    </row>
    <row r="10510" spans="1:1">
      <c r="A10510" s="1"/>
    </row>
    <row r="10511" spans="1:1">
      <c r="A10511" s="1"/>
    </row>
    <row r="10512" spans="1:1">
      <c r="A10512" s="1"/>
    </row>
    <row r="10513" spans="1:1">
      <c r="A10513" s="1"/>
    </row>
    <row r="10514" spans="1:1">
      <c r="A10514" s="1"/>
    </row>
    <row r="10515" spans="1:1">
      <c r="A10515" s="1"/>
    </row>
    <row r="10516" spans="1:1">
      <c r="A10516" s="1"/>
    </row>
    <row r="10517" spans="1:1">
      <c r="A10517" s="1"/>
    </row>
    <row r="10518" spans="1:1">
      <c r="A10518" s="1"/>
    </row>
    <row r="10519" spans="1:1">
      <c r="A10519" s="1"/>
    </row>
    <row r="10520" spans="1:1">
      <c r="A10520" s="1"/>
    </row>
    <row r="10521" spans="1:1">
      <c r="A10521" s="1"/>
    </row>
    <row r="10522" spans="1:1">
      <c r="A10522" s="1"/>
    </row>
    <row r="10523" spans="1:1">
      <c r="A10523" s="1"/>
    </row>
    <row r="10524" spans="1:1">
      <c r="A10524" s="1"/>
    </row>
    <row r="10525" spans="1:1">
      <c r="A10525" s="1"/>
    </row>
    <row r="10526" spans="1:1">
      <c r="A10526" s="1"/>
    </row>
    <row r="10527" spans="1:1">
      <c r="A10527" s="1"/>
    </row>
    <row r="10528" spans="1:1">
      <c r="A10528" s="1"/>
    </row>
    <row r="10529" spans="1:1">
      <c r="A10529" s="1"/>
    </row>
    <row r="10530" spans="1:1">
      <c r="A10530" s="1"/>
    </row>
    <row r="10531" spans="1:1">
      <c r="A10531" s="1"/>
    </row>
    <row r="10532" spans="1:1">
      <c r="A10532" s="1"/>
    </row>
    <row r="10533" spans="1:1">
      <c r="A10533" s="1"/>
    </row>
    <row r="10534" spans="1:1">
      <c r="A10534" s="1"/>
    </row>
    <row r="10535" spans="1:1">
      <c r="A10535" s="1"/>
    </row>
    <row r="10536" spans="1:1">
      <c r="A10536" s="1"/>
    </row>
    <row r="10537" spans="1:1">
      <c r="A10537" s="1"/>
    </row>
    <row r="10538" spans="1:1">
      <c r="A10538" s="1"/>
    </row>
    <row r="10539" spans="1:1">
      <c r="A10539" s="1"/>
    </row>
    <row r="10540" spans="1:1">
      <c r="A10540" s="1"/>
    </row>
    <row r="10541" spans="1:1">
      <c r="A10541" s="1"/>
    </row>
    <row r="10542" spans="1:1">
      <c r="A10542" s="1"/>
    </row>
    <row r="10543" spans="1:1">
      <c r="A10543" s="1"/>
    </row>
    <row r="10544" spans="1:1">
      <c r="A10544" s="1"/>
    </row>
    <row r="10545" spans="1:1">
      <c r="A10545" s="1"/>
    </row>
    <row r="10546" spans="1:1">
      <c r="A10546" s="1"/>
    </row>
    <row r="10547" spans="1:1">
      <c r="A10547" s="1"/>
    </row>
    <row r="10548" spans="1:1">
      <c r="A10548" s="1"/>
    </row>
    <row r="10549" spans="1:1">
      <c r="A10549" s="1"/>
    </row>
    <row r="10550" spans="1:1">
      <c r="A10550" s="1"/>
    </row>
    <row r="10551" spans="1:1">
      <c r="A10551" s="1"/>
    </row>
    <row r="10552" spans="1:1">
      <c r="A10552" s="1"/>
    </row>
    <row r="10553" spans="1:1">
      <c r="A10553" s="1"/>
    </row>
    <row r="10554" spans="1:1">
      <c r="A10554" s="1"/>
    </row>
    <row r="10555" spans="1:1">
      <c r="A10555" s="1"/>
    </row>
    <row r="10556" spans="1:1">
      <c r="A10556" s="1"/>
    </row>
    <row r="10557" spans="1:1">
      <c r="A10557" s="1"/>
    </row>
    <row r="10558" spans="1:1">
      <c r="A10558" s="1"/>
    </row>
    <row r="10559" spans="1:1">
      <c r="A10559" s="1"/>
    </row>
    <row r="10560" spans="1:1">
      <c r="A10560" s="1"/>
    </row>
    <row r="10561" spans="1:1">
      <c r="A10561" s="1"/>
    </row>
    <row r="10562" spans="1:1">
      <c r="A10562" s="1"/>
    </row>
    <row r="10563" spans="1:1">
      <c r="A10563" s="1"/>
    </row>
    <row r="10564" spans="1:1">
      <c r="A10564" s="1"/>
    </row>
    <row r="10565" spans="1:1">
      <c r="A10565" s="1"/>
    </row>
    <row r="10566" spans="1:1">
      <c r="A10566" s="1"/>
    </row>
    <row r="10567" spans="1:1">
      <c r="A10567" s="1"/>
    </row>
    <row r="10568" spans="1:1">
      <c r="A10568" s="1"/>
    </row>
    <row r="10569" spans="1:1">
      <c r="A10569" s="1"/>
    </row>
    <row r="10570" spans="1:1">
      <c r="A10570" s="1"/>
    </row>
    <row r="10571" spans="1:1">
      <c r="A10571" s="1"/>
    </row>
    <row r="10572" spans="1:1">
      <c r="A10572" s="1"/>
    </row>
    <row r="10573" spans="1:1">
      <c r="A10573" s="1"/>
    </row>
    <row r="10574" spans="1:1">
      <c r="A10574" s="1"/>
    </row>
    <row r="10575" spans="1:1">
      <c r="A10575" s="1"/>
    </row>
    <row r="10576" spans="1:1">
      <c r="A10576" s="1"/>
    </row>
    <row r="10577" spans="1:1">
      <c r="A10577" s="1"/>
    </row>
    <row r="10578" spans="1:1">
      <c r="A10578" s="1"/>
    </row>
    <row r="10579" spans="1:1">
      <c r="A10579" s="1"/>
    </row>
    <row r="10580" spans="1:1">
      <c r="A10580" s="1"/>
    </row>
    <row r="10581" spans="1:1">
      <c r="A10581" s="1"/>
    </row>
    <row r="10582" spans="1:1">
      <c r="A10582" s="1"/>
    </row>
    <row r="10583" spans="1:1">
      <c r="A10583" s="1"/>
    </row>
    <row r="10584" spans="1:1">
      <c r="A10584" s="1"/>
    </row>
    <row r="10585" spans="1:1">
      <c r="A10585" s="1"/>
    </row>
    <row r="10586" spans="1:1">
      <c r="A10586" s="1"/>
    </row>
    <row r="10587" spans="1:1">
      <c r="A10587" s="1"/>
    </row>
    <row r="10588" spans="1:1">
      <c r="A10588" s="1"/>
    </row>
    <row r="10589" spans="1:1">
      <c r="A10589" s="1"/>
    </row>
    <row r="10590" spans="1:1">
      <c r="A10590" s="1"/>
    </row>
    <row r="10591" spans="1:1">
      <c r="A10591" s="1"/>
    </row>
    <row r="10592" spans="1:1">
      <c r="A10592" s="1"/>
    </row>
    <row r="10593" spans="1:1">
      <c r="A10593" s="1"/>
    </row>
    <row r="10594" spans="1:1">
      <c r="A10594" s="1"/>
    </row>
    <row r="10595" spans="1:1">
      <c r="A10595" s="1"/>
    </row>
    <row r="10596" spans="1:1">
      <c r="A10596" s="1"/>
    </row>
    <row r="10597" spans="1:1">
      <c r="A10597" s="1"/>
    </row>
    <row r="10598" spans="1:1">
      <c r="A10598" s="1"/>
    </row>
    <row r="10599" spans="1:1">
      <c r="A10599" s="1"/>
    </row>
    <row r="10600" spans="1:1">
      <c r="A10600" s="1"/>
    </row>
    <row r="10601" spans="1:1">
      <c r="A10601" s="1"/>
    </row>
    <row r="10602" spans="1:1">
      <c r="A10602" s="1"/>
    </row>
    <row r="10603" spans="1:1">
      <c r="A10603" s="1"/>
    </row>
    <row r="10604" spans="1:1">
      <c r="A10604" s="1"/>
    </row>
    <row r="10605" spans="1:1">
      <c r="A10605" s="1"/>
    </row>
    <row r="10606" spans="1:1">
      <c r="A10606" s="1"/>
    </row>
    <row r="10607" spans="1:1">
      <c r="A10607" s="1"/>
    </row>
    <row r="10608" spans="1:1">
      <c r="A10608" s="1"/>
    </row>
    <row r="10609" spans="1:1">
      <c r="A10609" s="1"/>
    </row>
    <row r="10610" spans="1:1">
      <c r="A10610" s="1"/>
    </row>
    <row r="10611" spans="1:1">
      <c r="A10611" s="1"/>
    </row>
    <row r="10612" spans="1:1">
      <c r="A10612" s="1"/>
    </row>
    <row r="10613" spans="1:1">
      <c r="A10613" s="1"/>
    </row>
    <row r="10614" spans="1:1">
      <c r="A10614" s="1"/>
    </row>
    <row r="10615" spans="1:1">
      <c r="A10615" s="1"/>
    </row>
    <row r="10616" spans="1:1">
      <c r="A10616" s="1"/>
    </row>
    <row r="10617" spans="1:1">
      <c r="A10617" s="1"/>
    </row>
    <row r="10618" spans="1:1">
      <c r="A10618" s="1"/>
    </row>
    <row r="10619" spans="1:1">
      <c r="A10619" s="1"/>
    </row>
    <row r="10620" spans="1:1">
      <c r="A10620" s="1"/>
    </row>
    <row r="10621" spans="1:1">
      <c r="A10621" s="1"/>
    </row>
    <row r="10622" spans="1:1">
      <c r="A10622" s="1"/>
    </row>
    <row r="10623" spans="1:1">
      <c r="A10623" s="1"/>
    </row>
    <row r="10624" spans="1:1">
      <c r="A10624" s="1"/>
    </row>
    <row r="10625" spans="1:1">
      <c r="A10625" s="1"/>
    </row>
    <row r="10626" spans="1:1">
      <c r="A10626" s="1"/>
    </row>
    <row r="10627" spans="1:1">
      <c r="A10627" s="1"/>
    </row>
    <row r="10628" spans="1:1">
      <c r="A10628" s="1"/>
    </row>
    <row r="10629" spans="1:1">
      <c r="A10629" s="1"/>
    </row>
    <row r="10630" spans="1:1">
      <c r="A10630" s="1"/>
    </row>
    <row r="10631" spans="1:1">
      <c r="A10631" s="1"/>
    </row>
    <row r="10632" spans="1:1">
      <c r="A10632" s="1"/>
    </row>
    <row r="10633" spans="1:1">
      <c r="A10633" s="1"/>
    </row>
    <row r="10634" spans="1:1">
      <c r="A10634" s="1"/>
    </row>
    <row r="10635" spans="1:1">
      <c r="A10635" s="1"/>
    </row>
    <row r="10636" spans="1:1">
      <c r="A10636" s="1"/>
    </row>
    <row r="10637" spans="1:1">
      <c r="A10637" s="1"/>
    </row>
    <row r="10638" spans="1:1">
      <c r="A10638" s="1"/>
    </row>
    <row r="10639" spans="1:1">
      <c r="A10639" s="1"/>
    </row>
    <row r="10640" spans="1:1">
      <c r="A10640" s="1"/>
    </row>
    <row r="10641" spans="1:1">
      <c r="A10641" s="1"/>
    </row>
    <row r="10642" spans="1:1">
      <c r="A10642" s="1"/>
    </row>
    <row r="10643" spans="1:1">
      <c r="A10643" s="1"/>
    </row>
    <row r="10644" spans="1:1">
      <c r="A10644" s="1"/>
    </row>
    <row r="10645" spans="1:1">
      <c r="A10645" s="1"/>
    </row>
    <row r="10646" spans="1:1">
      <c r="A10646" s="1"/>
    </row>
    <row r="10647" spans="1:1">
      <c r="A10647" s="1"/>
    </row>
    <row r="10648" spans="1:1">
      <c r="A10648" s="1"/>
    </row>
    <row r="10649" spans="1:1">
      <c r="A10649" s="1"/>
    </row>
    <row r="10650" spans="1:1">
      <c r="A10650" s="1"/>
    </row>
    <row r="10651" spans="1:1">
      <c r="A10651" s="1"/>
    </row>
    <row r="10652" spans="1:1">
      <c r="A10652" s="1"/>
    </row>
    <row r="10653" spans="1:1">
      <c r="A10653" s="1"/>
    </row>
    <row r="10654" spans="1:1">
      <c r="A10654" s="1"/>
    </row>
    <row r="10655" spans="1:1">
      <c r="A10655" s="1"/>
    </row>
    <row r="10656" spans="1:1">
      <c r="A10656" s="1"/>
    </row>
    <row r="10657" spans="1:1">
      <c r="A10657" s="1"/>
    </row>
    <row r="10658" spans="1:1">
      <c r="A10658" s="1"/>
    </row>
    <row r="10659" spans="1:1">
      <c r="A10659" s="1"/>
    </row>
    <row r="10660" spans="1:1">
      <c r="A10660" s="1"/>
    </row>
    <row r="10661" spans="1:1">
      <c r="A10661" s="1"/>
    </row>
    <row r="10662" spans="1:1">
      <c r="A10662" s="1"/>
    </row>
    <row r="10663" spans="1:1">
      <c r="A10663" s="1"/>
    </row>
    <row r="10664" spans="1:1">
      <c r="A10664" s="1"/>
    </row>
    <row r="10665" spans="1:1">
      <c r="A10665" s="1"/>
    </row>
    <row r="10666" spans="1:1">
      <c r="A10666" s="1"/>
    </row>
    <row r="10667" spans="1:1">
      <c r="A10667" s="1"/>
    </row>
    <row r="10668" spans="1:1">
      <c r="A10668" s="1"/>
    </row>
    <row r="10669" spans="1:1">
      <c r="A10669" s="1"/>
    </row>
    <row r="10670" spans="1:1">
      <c r="A10670" s="1"/>
    </row>
    <row r="10671" spans="1:1">
      <c r="A10671" s="1"/>
    </row>
    <row r="10672" spans="1:1">
      <c r="A10672" s="1"/>
    </row>
    <row r="10673" spans="1:1">
      <c r="A10673" s="1"/>
    </row>
    <row r="10674" spans="1:1">
      <c r="A10674" s="1"/>
    </row>
    <row r="10675" spans="1:1">
      <c r="A10675" s="1"/>
    </row>
    <row r="10676" spans="1:1">
      <c r="A10676" s="1"/>
    </row>
    <row r="10677" spans="1:1">
      <c r="A10677" s="1"/>
    </row>
    <row r="10678" spans="1:1">
      <c r="A10678" s="1"/>
    </row>
    <row r="10679" spans="1:1">
      <c r="A10679" s="1"/>
    </row>
    <row r="10680" spans="1:1">
      <c r="A10680" s="1"/>
    </row>
    <row r="10681" spans="1:1">
      <c r="A10681" s="1"/>
    </row>
    <row r="10682" spans="1:1">
      <c r="A10682" s="1"/>
    </row>
    <row r="10683" spans="1:1">
      <c r="A10683" s="1"/>
    </row>
    <row r="10684" spans="1:1">
      <c r="A10684" s="1"/>
    </row>
    <row r="10685" spans="1:1">
      <c r="A10685" s="1"/>
    </row>
    <row r="10686" spans="1:1">
      <c r="A10686" s="1"/>
    </row>
    <row r="10687" spans="1:1">
      <c r="A10687" s="1"/>
    </row>
    <row r="10688" spans="1:1">
      <c r="A10688" s="1"/>
    </row>
    <row r="10689" spans="1:1">
      <c r="A10689" s="1"/>
    </row>
    <row r="10690" spans="1:1">
      <c r="A10690" s="1"/>
    </row>
    <row r="10691" spans="1:1">
      <c r="A10691" s="1"/>
    </row>
    <row r="10692" spans="1:1">
      <c r="A10692" s="1"/>
    </row>
    <row r="10693" spans="1:1">
      <c r="A10693" s="1"/>
    </row>
    <row r="10694" spans="1:1">
      <c r="A10694" s="1"/>
    </row>
    <row r="10695" spans="1:1">
      <c r="A10695" s="1"/>
    </row>
    <row r="10696" spans="1:1">
      <c r="A10696" s="1"/>
    </row>
    <row r="10697" spans="1:1">
      <c r="A10697" s="1"/>
    </row>
    <row r="10698" spans="1:1">
      <c r="A10698" s="1"/>
    </row>
    <row r="10699" spans="1:1">
      <c r="A10699" s="1"/>
    </row>
    <row r="10700" spans="1:1">
      <c r="A10700" s="1"/>
    </row>
    <row r="10701" spans="1:1">
      <c r="A10701" s="1"/>
    </row>
    <row r="10702" spans="1:1">
      <c r="A10702" s="1"/>
    </row>
    <row r="10703" spans="1:1">
      <c r="A10703" s="1"/>
    </row>
    <row r="10704" spans="1:1">
      <c r="A10704" s="1"/>
    </row>
    <row r="10705" spans="1:1">
      <c r="A10705" s="1"/>
    </row>
    <row r="10706" spans="1:1">
      <c r="A10706" s="1"/>
    </row>
    <row r="10707" spans="1:1">
      <c r="A10707" s="1"/>
    </row>
    <row r="10708" spans="1:1">
      <c r="A10708" s="1"/>
    </row>
    <row r="10709" spans="1:1">
      <c r="A10709" s="1"/>
    </row>
    <row r="10710" spans="1:1">
      <c r="A10710" s="1"/>
    </row>
    <row r="10711" spans="1:1">
      <c r="A10711" s="1"/>
    </row>
    <row r="10712" spans="1:1">
      <c r="A10712" s="1"/>
    </row>
    <row r="10713" spans="1:1">
      <c r="A10713" s="1"/>
    </row>
    <row r="10714" spans="1:1">
      <c r="A10714" s="1"/>
    </row>
    <row r="10715" spans="1:1">
      <c r="A10715" s="1"/>
    </row>
    <row r="10716" spans="1:1">
      <c r="A10716" s="1"/>
    </row>
    <row r="10717" spans="1:1">
      <c r="A10717" s="1"/>
    </row>
    <row r="10718" spans="1:1">
      <c r="A10718" s="1"/>
    </row>
    <row r="10719" spans="1:1">
      <c r="A10719" s="1"/>
    </row>
    <row r="10720" spans="1:1">
      <c r="A10720" s="1"/>
    </row>
    <row r="10721" spans="1:1">
      <c r="A10721" s="1"/>
    </row>
    <row r="10722" spans="1:1">
      <c r="A10722" s="1"/>
    </row>
    <row r="10723" spans="1:1">
      <c r="A10723" s="1"/>
    </row>
    <row r="10724" spans="1:1">
      <c r="A10724" s="1"/>
    </row>
    <row r="10725" spans="1:1">
      <c r="A10725" s="1"/>
    </row>
    <row r="10726" spans="1:1">
      <c r="A10726" s="1"/>
    </row>
    <row r="10727" spans="1:1">
      <c r="A10727" s="1"/>
    </row>
    <row r="10728" spans="1:1">
      <c r="A10728" s="1"/>
    </row>
    <row r="10729" spans="1:1">
      <c r="A10729" s="1"/>
    </row>
    <row r="10730" spans="1:1">
      <c r="A10730" s="1"/>
    </row>
    <row r="10731" spans="1:1">
      <c r="A10731" s="1"/>
    </row>
    <row r="10732" spans="1:1">
      <c r="A10732" s="1"/>
    </row>
    <row r="10733" spans="1:1">
      <c r="A10733" s="1"/>
    </row>
    <row r="10734" spans="1:1">
      <c r="A10734" s="1"/>
    </row>
    <row r="10735" spans="1:1">
      <c r="A10735" s="1"/>
    </row>
    <row r="10736" spans="1:1">
      <c r="A10736" s="1"/>
    </row>
    <row r="10737" spans="1:1">
      <c r="A10737" s="1"/>
    </row>
    <row r="10738" spans="1:1">
      <c r="A10738" s="1"/>
    </row>
    <row r="10739" spans="1:1">
      <c r="A10739" s="1"/>
    </row>
    <row r="10740" spans="1:1">
      <c r="A10740" s="1"/>
    </row>
    <row r="10741" spans="1:1">
      <c r="A10741" s="1"/>
    </row>
    <row r="10742" spans="1:1">
      <c r="A10742" s="1"/>
    </row>
    <row r="10743" spans="1:1">
      <c r="A10743" s="1"/>
    </row>
    <row r="10744" spans="1:1">
      <c r="A10744" s="1"/>
    </row>
    <row r="10745" spans="1:1">
      <c r="A10745" s="1"/>
    </row>
    <row r="10746" spans="1:1">
      <c r="A10746" s="1"/>
    </row>
    <row r="10747" spans="1:1">
      <c r="A10747" s="1"/>
    </row>
    <row r="10748" spans="1:1">
      <c r="A10748" s="1"/>
    </row>
    <row r="10749" spans="1:1">
      <c r="A10749" s="1"/>
    </row>
    <row r="10750" spans="1:1">
      <c r="A10750" s="1"/>
    </row>
    <row r="10751" spans="1:1">
      <c r="A10751" s="1"/>
    </row>
    <row r="10752" spans="1:1">
      <c r="A10752" s="1"/>
    </row>
    <row r="10753" spans="1:1">
      <c r="A10753" s="1"/>
    </row>
    <row r="10754" spans="1:1">
      <c r="A10754" s="1"/>
    </row>
    <row r="10755" spans="1:1">
      <c r="A10755" s="1"/>
    </row>
    <row r="10756" spans="1:1">
      <c r="A10756" s="1"/>
    </row>
    <row r="10757" spans="1:1">
      <c r="A10757" s="1"/>
    </row>
    <row r="10758" spans="1:1">
      <c r="A10758" s="1"/>
    </row>
    <row r="10759" spans="1:1">
      <c r="A10759" s="1"/>
    </row>
    <row r="10760" spans="1:1">
      <c r="A10760" s="1"/>
    </row>
    <row r="10761" spans="1:1">
      <c r="A10761" s="1"/>
    </row>
    <row r="10762" spans="1:1">
      <c r="A10762" s="1"/>
    </row>
    <row r="10763" spans="1:1">
      <c r="A10763" s="1"/>
    </row>
    <row r="10764" spans="1:1">
      <c r="A10764" s="1"/>
    </row>
    <row r="10765" spans="1:1">
      <c r="A10765" s="1"/>
    </row>
    <row r="10766" spans="1:1">
      <c r="A10766" s="1"/>
    </row>
    <row r="10767" spans="1:1">
      <c r="A10767" s="1"/>
    </row>
    <row r="10768" spans="1:1">
      <c r="A10768" s="1"/>
    </row>
    <row r="10769" spans="1:1">
      <c r="A10769" s="1"/>
    </row>
    <row r="10770" spans="1:1">
      <c r="A10770" s="1"/>
    </row>
    <row r="10771" spans="1:1">
      <c r="A10771" s="1"/>
    </row>
    <row r="10772" spans="1:1">
      <c r="A10772" s="1"/>
    </row>
    <row r="10773" spans="1:1">
      <c r="A10773" s="1"/>
    </row>
    <row r="10774" spans="1:1">
      <c r="A10774" s="1"/>
    </row>
    <row r="10775" spans="1:1">
      <c r="A10775" s="1"/>
    </row>
    <row r="10776" spans="1:1">
      <c r="A10776" s="1"/>
    </row>
    <row r="10777" spans="1:1">
      <c r="A10777" s="1"/>
    </row>
    <row r="10778" spans="1:1">
      <c r="A10778" s="1"/>
    </row>
    <row r="10779" spans="1:1">
      <c r="A10779" s="1"/>
    </row>
    <row r="10780" spans="1:1">
      <c r="A10780" s="1"/>
    </row>
    <row r="10781" spans="1:1">
      <c r="A10781" s="1"/>
    </row>
    <row r="10782" spans="1:1">
      <c r="A10782" s="1"/>
    </row>
    <row r="10783" spans="1:1">
      <c r="A10783" s="1"/>
    </row>
    <row r="10784" spans="1:1">
      <c r="A10784" s="1"/>
    </row>
    <row r="10785" spans="1:1">
      <c r="A10785" s="1"/>
    </row>
    <row r="10786" spans="1:1">
      <c r="A10786" s="1"/>
    </row>
    <row r="10787" spans="1:1">
      <c r="A10787" s="1"/>
    </row>
    <row r="10788" spans="1:1">
      <c r="A10788" s="1"/>
    </row>
    <row r="10789" spans="1:1">
      <c r="A10789" s="1"/>
    </row>
    <row r="10790" spans="1:1">
      <c r="A10790" s="1"/>
    </row>
    <row r="10791" spans="1:1">
      <c r="A10791" s="1"/>
    </row>
    <row r="10792" spans="1:1">
      <c r="A10792" s="1"/>
    </row>
    <row r="10793" spans="1:1">
      <c r="A10793" s="1"/>
    </row>
    <row r="10794" spans="1:1">
      <c r="A10794" s="1"/>
    </row>
    <row r="10795" spans="1:1">
      <c r="A10795" s="1"/>
    </row>
    <row r="10796" spans="1:1">
      <c r="A10796" s="1"/>
    </row>
    <row r="10797" spans="1:1">
      <c r="A10797" s="1"/>
    </row>
    <row r="10798" spans="1:1">
      <c r="A10798" s="1"/>
    </row>
    <row r="10799" spans="1:1">
      <c r="A10799" s="1"/>
    </row>
    <row r="10800" spans="1:1">
      <c r="A10800" s="1"/>
    </row>
    <row r="10801" spans="1:1">
      <c r="A10801" s="1"/>
    </row>
    <row r="10802" spans="1:1">
      <c r="A10802" s="1"/>
    </row>
    <row r="10803" spans="1:1">
      <c r="A10803" s="1"/>
    </row>
    <row r="10804" spans="1:1">
      <c r="A10804" s="1"/>
    </row>
    <row r="10805" spans="1:1">
      <c r="A10805" s="1"/>
    </row>
    <row r="10806" spans="1:1">
      <c r="A10806" s="1"/>
    </row>
    <row r="10807" spans="1:1">
      <c r="A10807" s="1"/>
    </row>
    <row r="10808" spans="1:1">
      <c r="A10808" s="1"/>
    </row>
    <row r="10809" spans="1:1">
      <c r="A10809" s="1"/>
    </row>
    <row r="10810" spans="1:1">
      <c r="A10810" s="1"/>
    </row>
    <row r="10811" spans="1:1">
      <c r="A10811" s="1"/>
    </row>
    <row r="10812" spans="1:1">
      <c r="A10812" s="1"/>
    </row>
    <row r="10813" spans="1:1">
      <c r="A10813" s="1"/>
    </row>
    <row r="10814" spans="1:1">
      <c r="A10814" s="1"/>
    </row>
    <row r="10815" spans="1:1">
      <c r="A10815" s="1"/>
    </row>
    <row r="10816" spans="1:1">
      <c r="A10816" s="1"/>
    </row>
    <row r="10817" spans="1:1">
      <c r="A10817" s="1"/>
    </row>
    <row r="10818" spans="1:1">
      <c r="A10818" s="1"/>
    </row>
    <row r="10819" spans="1:1">
      <c r="A10819" s="1"/>
    </row>
    <row r="10820" spans="1:1">
      <c r="A10820" s="1"/>
    </row>
    <row r="10821" spans="1:1">
      <c r="A10821" s="1"/>
    </row>
    <row r="10822" spans="1:1">
      <c r="A10822" s="1"/>
    </row>
    <row r="10823" spans="1:1">
      <c r="A10823" s="1"/>
    </row>
    <row r="10824" spans="1:1">
      <c r="A10824" s="1"/>
    </row>
    <row r="10825" spans="1:1">
      <c r="A10825" s="1"/>
    </row>
    <row r="10826" spans="1:1">
      <c r="A10826" s="1"/>
    </row>
    <row r="10827" spans="1:1">
      <c r="A10827" s="1"/>
    </row>
    <row r="10828" spans="1:1">
      <c r="A10828" s="1"/>
    </row>
    <row r="10829" spans="1:1">
      <c r="A10829" s="1"/>
    </row>
    <row r="10830" spans="1:1">
      <c r="A10830" s="1"/>
    </row>
    <row r="10831" spans="1:1">
      <c r="A10831" s="1"/>
    </row>
    <row r="10832" spans="1:1">
      <c r="A10832" s="1"/>
    </row>
    <row r="10833" spans="1:1">
      <c r="A10833" s="1"/>
    </row>
    <row r="10834" spans="1:1">
      <c r="A10834" s="1"/>
    </row>
    <row r="10835" spans="1:1">
      <c r="A10835" s="1"/>
    </row>
    <row r="10836" spans="1:1">
      <c r="A10836" s="1"/>
    </row>
    <row r="10837" spans="1:1">
      <c r="A10837" s="1"/>
    </row>
    <row r="10838" spans="1:1">
      <c r="A10838" s="1"/>
    </row>
    <row r="10839" spans="1:1">
      <c r="A10839" s="1"/>
    </row>
    <row r="10840" spans="1:1">
      <c r="A10840" s="1"/>
    </row>
    <row r="10841" spans="1:1">
      <c r="A10841" s="1"/>
    </row>
    <row r="10842" spans="1:1">
      <c r="A10842" s="1"/>
    </row>
    <row r="10843" spans="1:1">
      <c r="A10843" s="1"/>
    </row>
    <row r="10844" spans="1:1">
      <c r="A10844" s="1"/>
    </row>
    <row r="10845" spans="1:1">
      <c r="A10845" s="1"/>
    </row>
    <row r="10846" spans="1:1">
      <c r="A10846" s="1"/>
    </row>
    <row r="10847" spans="1:1">
      <c r="A10847" s="1"/>
    </row>
    <row r="10848" spans="1:1">
      <c r="A10848" s="1"/>
    </row>
    <row r="10849" spans="1:1">
      <c r="A10849" s="1"/>
    </row>
    <row r="10850" spans="1:1">
      <c r="A10850" s="1"/>
    </row>
    <row r="10851" spans="1:1">
      <c r="A10851" s="1"/>
    </row>
    <row r="10852" spans="1:1">
      <c r="A10852" s="1"/>
    </row>
    <row r="10853" spans="1:1">
      <c r="A10853" s="1"/>
    </row>
    <row r="10854" spans="1:1">
      <c r="A10854" s="1"/>
    </row>
    <row r="10855" spans="1:1">
      <c r="A10855" s="1"/>
    </row>
    <row r="10856" spans="1:1">
      <c r="A10856" s="1"/>
    </row>
    <row r="10857" spans="1:1">
      <c r="A10857" s="1"/>
    </row>
    <row r="10858" spans="1:1">
      <c r="A10858" s="1"/>
    </row>
    <row r="10859" spans="1:1">
      <c r="A10859" s="1"/>
    </row>
    <row r="10860" spans="1:1">
      <c r="A10860" s="1"/>
    </row>
    <row r="10861" spans="1:1">
      <c r="A10861" s="1"/>
    </row>
    <row r="10862" spans="1:1">
      <c r="A10862" s="1"/>
    </row>
    <row r="10863" spans="1:1">
      <c r="A10863" s="1"/>
    </row>
    <row r="10864" spans="1:1">
      <c r="A10864" s="1"/>
    </row>
    <row r="10865" spans="1:1">
      <c r="A10865" s="1"/>
    </row>
    <row r="10866" spans="1:1">
      <c r="A10866" s="1"/>
    </row>
    <row r="10867" spans="1:1">
      <c r="A10867" s="1"/>
    </row>
    <row r="10868" spans="1:1">
      <c r="A10868" s="1"/>
    </row>
    <row r="10869" spans="1:1">
      <c r="A10869" s="1"/>
    </row>
    <row r="10870" spans="1:1">
      <c r="A10870" s="1"/>
    </row>
    <row r="10871" spans="1:1">
      <c r="A10871" s="1"/>
    </row>
    <row r="10872" spans="1:1">
      <c r="A10872" s="1"/>
    </row>
    <row r="10873" spans="1:1">
      <c r="A10873" s="1"/>
    </row>
    <row r="10874" spans="1:1">
      <c r="A10874" s="1"/>
    </row>
    <row r="10875" spans="1:1">
      <c r="A10875" s="1"/>
    </row>
    <row r="10876" spans="1:1">
      <c r="A10876" s="1"/>
    </row>
    <row r="10877" spans="1:1">
      <c r="A10877" s="1"/>
    </row>
    <row r="10878" spans="1:1">
      <c r="A10878" s="1"/>
    </row>
    <row r="10879" spans="1:1">
      <c r="A10879" s="1"/>
    </row>
    <row r="10880" spans="1:1">
      <c r="A10880" s="1"/>
    </row>
    <row r="10881" spans="1:1">
      <c r="A10881" s="1"/>
    </row>
    <row r="10882" spans="1:1">
      <c r="A10882" s="1"/>
    </row>
    <row r="10883" spans="1:1">
      <c r="A10883" s="1"/>
    </row>
    <row r="10884" spans="1:1">
      <c r="A10884" s="1"/>
    </row>
    <row r="10885" spans="1:1">
      <c r="A10885" s="1"/>
    </row>
    <row r="10886" spans="1:1">
      <c r="A10886" s="1"/>
    </row>
    <row r="10887" spans="1:1">
      <c r="A10887" s="1"/>
    </row>
    <row r="10888" spans="1:1">
      <c r="A10888" s="1"/>
    </row>
    <row r="10889" spans="1:1">
      <c r="A10889" s="1"/>
    </row>
    <row r="10890" spans="1:1">
      <c r="A10890" s="1"/>
    </row>
    <row r="10891" spans="1:1">
      <c r="A10891" s="1"/>
    </row>
    <row r="10892" spans="1:1">
      <c r="A10892" s="1"/>
    </row>
    <row r="10893" spans="1:1">
      <c r="A10893" s="1"/>
    </row>
    <row r="10894" spans="1:1">
      <c r="A10894" s="1"/>
    </row>
    <row r="10895" spans="1:1">
      <c r="A10895" s="1"/>
    </row>
    <row r="10896" spans="1:1">
      <c r="A10896" s="1"/>
    </row>
    <row r="10897" spans="1:1">
      <c r="A10897" s="1"/>
    </row>
    <row r="10898" spans="1:1">
      <c r="A10898" s="1"/>
    </row>
    <row r="10899" spans="1:1">
      <c r="A10899" s="1"/>
    </row>
    <row r="10900" spans="1:1">
      <c r="A10900" s="1"/>
    </row>
    <row r="10901" spans="1:1">
      <c r="A10901" s="1"/>
    </row>
    <row r="10902" spans="1:1">
      <c r="A10902" s="1"/>
    </row>
    <row r="10903" spans="1:1">
      <c r="A10903" s="1"/>
    </row>
    <row r="10904" spans="1:1">
      <c r="A10904" s="1"/>
    </row>
    <row r="10905" spans="1:1">
      <c r="A10905" s="1"/>
    </row>
    <row r="10906" spans="1:1">
      <c r="A10906" s="1"/>
    </row>
    <row r="10907" spans="1:1">
      <c r="A10907" s="1"/>
    </row>
    <row r="10908" spans="1:1">
      <c r="A10908" s="1"/>
    </row>
    <row r="10909" spans="1:1">
      <c r="A10909" s="1"/>
    </row>
    <row r="10910" spans="1:1">
      <c r="A10910" s="1"/>
    </row>
    <row r="10911" spans="1:1">
      <c r="A10911" s="1"/>
    </row>
    <row r="10912" spans="1:1">
      <c r="A10912" s="1"/>
    </row>
    <row r="10913" spans="1:1">
      <c r="A10913" s="1"/>
    </row>
    <row r="10914" spans="1:1">
      <c r="A10914" s="1"/>
    </row>
    <row r="10915" spans="1:1">
      <c r="A10915" s="1"/>
    </row>
    <row r="10916" spans="1:1">
      <c r="A10916" s="1"/>
    </row>
    <row r="10917" spans="1:1">
      <c r="A10917" s="1"/>
    </row>
    <row r="10918" spans="1:1">
      <c r="A10918" s="1"/>
    </row>
    <row r="10919" spans="1:1">
      <c r="A10919" s="1"/>
    </row>
    <row r="10920" spans="1:1">
      <c r="A10920" s="1"/>
    </row>
    <row r="10921" spans="1:1">
      <c r="A10921" s="1"/>
    </row>
    <row r="10922" spans="1:1">
      <c r="A10922" s="1"/>
    </row>
    <row r="10923" spans="1:1">
      <c r="A10923" s="1"/>
    </row>
    <row r="10924" spans="1:1">
      <c r="A10924" s="1"/>
    </row>
    <row r="10925" spans="1:1">
      <c r="A10925" s="1"/>
    </row>
    <row r="10926" spans="1:1">
      <c r="A10926" s="1"/>
    </row>
    <row r="10927" spans="1:1">
      <c r="A10927" s="1"/>
    </row>
    <row r="10928" spans="1:1">
      <c r="A10928" s="1"/>
    </row>
    <row r="10929" spans="1:1">
      <c r="A10929" s="1"/>
    </row>
    <row r="10930" spans="1:1">
      <c r="A10930" s="1"/>
    </row>
    <row r="10931" spans="1:1">
      <c r="A10931" s="1"/>
    </row>
    <row r="10932" spans="1:1">
      <c r="A10932" s="1"/>
    </row>
    <row r="10933" spans="1:1">
      <c r="A10933" s="1"/>
    </row>
    <row r="10934" spans="1:1">
      <c r="A10934" s="1"/>
    </row>
    <row r="10935" spans="1:1">
      <c r="A10935" s="1"/>
    </row>
    <row r="10936" spans="1:1">
      <c r="A10936" s="1"/>
    </row>
    <row r="10937" spans="1:1">
      <c r="A10937" s="1"/>
    </row>
    <row r="10938" spans="1:1">
      <c r="A10938" s="1"/>
    </row>
    <row r="10939" spans="1:1">
      <c r="A10939" s="1"/>
    </row>
    <row r="10940" spans="1:1">
      <c r="A10940" s="1"/>
    </row>
    <row r="10941" spans="1:1">
      <c r="A10941" s="1"/>
    </row>
    <row r="10942" spans="1:1">
      <c r="A10942" s="1"/>
    </row>
    <row r="10943" spans="1:1">
      <c r="A10943" s="1"/>
    </row>
    <row r="10944" spans="1:1">
      <c r="A10944" s="1"/>
    </row>
    <row r="10945" spans="1:1">
      <c r="A10945" s="1"/>
    </row>
    <row r="10946" spans="1:1">
      <c r="A10946" s="1"/>
    </row>
    <row r="10947" spans="1:1">
      <c r="A10947" s="1"/>
    </row>
    <row r="10948" spans="1:1">
      <c r="A10948" s="1"/>
    </row>
    <row r="10949" spans="1:1">
      <c r="A10949" s="1"/>
    </row>
    <row r="10950" spans="1:1">
      <c r="A10950" s="1"/>
    </row>
    <row r="10951" spans="1:1">
      <c r="A10951" s="1"/>
    </row>
    <row r="10952" spans="1:1">
      <c r="A10952" s="1"/>
    </row>
    <row r="10953" spans="1:1">
      <c r="A10953" s="1"/>
    </row>
    <row r="10954" spans="1:1">
      <c r="A10954" s="1"/>
    </row>
    <row r="10955" spans="1:1">
      <c r="A10955" s="1"/>
    </row>
    <row r="10956" spans="1:1">
      <c r="A10956" s="1"/>
    </row>
    <row r="10957" spans="1:1">
      <c r="A10957" s="1"/>
    </row>
    <row r="10958" spans="1:1">
      <c r="A10958" s="1"/>
    </row>
    <row r="10959" spans="1:1">
      <c r="A10959" s="1"/>
    </row>
    <row r="10960" spans="1:1">
      <c r="A10960" s="1"/>
    </row>
    <row r="10961" spans="1:1">
      <c r="A10961" s="1"/>
    </row>
    <row r="10962" spans="1:1">
      <c r="A10962" s="1"/>
    </row>
    <row r="10963" spans="1:1">
      <c r="A10963" s="1"/>
    </row>
    <row r="10964" spans="1:1">
      <c r="A10964" s="1"/>
    </row>
    <row r="10965" spans="1:1">
      <c r="A10965" s="1"/>
    </row>
    <row r="10966" spans="1:1">
      <c r="A10966" s="1"/>
    </row>
    <row r="10967" spans="1:1">
      <c r="A10967" s="1"/>
    </row>
    <row r="10968" spans="1:1">
      <c r="A10968" s="1"/>
    </row>
    <row r="10969" spans="1:1">
      <c r="A10969" s="1"/>
    </row>
    <row r="10970" spans="1:1">
      <c r="A10970" s="1"/>
    </row>
    <row r="10971" spans="1:1">
      <c r="A10971" s="1"/>
    </row>
    <row r="10972" spans="1:1">
      <c r="A10972" s="1"/>
    </row>
    <row r="10973" spans="1:1">
      <c r="A10973" s="1"/>
    </row>
    <row r="10974" spans="1:1">
      <c r="A10974" s="1"/>
    </row>
    <row r="10975" spans="1:1">
      <c r="A10975" s="1"/>
    </row>
    <row r="10976" spans="1:1">
      <c r="A10976" s="1"/>
    </row>
    <row r="10977" spans="1:1">
      <c r="A10977" s="1"/>
    </row>
    <row r="10978" spans="1:1">
      <c r="A10978" s="1"/>
    </row>
    <row r="10979" spans="1:1">
      <c r="A10979" s="1"/>
    </row>
    <row r="10980" spans="1:1">
      <c r="A10980" s="1"/>
    </row>
    <row r="10981" spans="1:1">
      <c r="A10981" s="1"/>
    </row>
    <row r="10982" spans="1:1">
      <c r="A10982" s="1"/>
    </row>
    <row r="10983" spans="1:1">
      <c r="A10983" s="1"/>
    </row>
    <row r="10984" spans="1:1">
      <c r="A10984" s="1"/>
    </row>
    <row r="10985" spans="1:1">
      <c r="A10985" s="1"/>
    </row>
    <row r="10986" spans="1:1">
      <c r="A10986" s="1"/>
    </row>
    <row r="10987" spans="1:1">
      <c r="A10987" s="1"/>
    </row>
    <row r="10988" spans="1:1">
      <c r="A10988" s="1"/>
    </row>
    <row r="10989" spans="1:1">
      <c r="A10989" s="1"/>
    </row>
    <row r="10990" spans="1:1">
      <c r="A10990" s="1"/>
    </row>
    <row r="10991" spans="1:1">
      <c r="A10991" s="1"/>
    </row>
    <row r="10992" spans="1:1">
      <c r="A10992" s="1"/>
    </row>
    <row r="10993" spans="1:1">
      <c r="A10993" s="1"/>
    </row>
    <row r="10994" spans="1:1">
      <c r="A10994" s="1"/>
    </row>
    <row r="10995" spans="1:1">
      <c r="A10995" s="1"/>
    </row>
    <row r="10996" spans="1:1">
      <c r="A10996" s="1"/>
    </row>
    <row r="10997" spans="1:1">
      <c r="A10997" s="1"/>
    </row>
    <row r="10998" spans="1:1">
      <c r="A10998" s="1"/>
    </row>
    <row r="10999" spans="1:1">
      <c r="A10999" s="1"/>
    </row>
    <row r="11000" spans="1:1">
      <c r="A11000" s="1"/>
    </row>
    <row r="11001" spans="1:1">
      <c r="A11001" s="1"/>
    </row>
    <row r="11002" spans="1:1">
      <c r="A11002" s="1"/>
    </row>
    <row r="11003" spans="1:1">
      <c r="A11003" s="1"/>
    </row>
    <row r="11004" spans="1:1">
      <c r="A11004" s="1"/>
    </row>
    <row r="11005" spans="1:1">
      <c r="A11005" s="1"/>
    </row>
    <row r="11006" spans="1:1">
      <c r="A11006" s="1"/>
    </row>
    <row r="11007" spans="1:1">
      <c r="A11007" s="1"/>
    </row>
    <row r="11008" spans="1:1">
      <c r="A11008" s="1"/>
    </row>
    <row r="11009" spans="1:1">
      <c r="A11009" s="1"/>
    </row>
    <row r="11010" spans="1:1">
      <c r="A11010" s="1"/>
    </row>
    <row r="11011" spans="1:1">
      <c r="A11011" s="1"/>
    </row>
    <row r="11012" spans="1:1">
      <c r="A11012" s="1"/>
    </row>
    <row r="11013" spans="1:1">
      <c r="A11013" s="1"/>
    </row>
    <row r="11014" spans="1:1">
      <c r="A11014" s="1"/>
    </row>
    <row r="11015" spans="1:1">
      <c r="A11015" s="1"/>
    </row>
    <row r="11016" spans="1:1">
      <c r="A11016" s="1"/>
    </row>
    <row r="11017" spans="1:1">
      <c r="A11017" s="1"/>
    </row>
    <row r="11018" spans="1:1">
      <c r="A11018" s="1"/>
    </row>
    <row r="11019" spans="1:1">
      <c r="A11019" s="1"/>
    </row>
    <row r="11020" spans="1:1">
      <c r="A11020" s="1"/>
    </row>
    <row r="11021" spans="1:1">
      <c r="A11021" s="1"/>
    </row>
    <row r="11022" spans="1:1">
      <c r="A11022" s="1"/>
    </row>
    <row r="11023" spans="1:1">
      <c r="A11023" s="1"/>
    </row>
    <row r="11024" spans="1:1">
      <c r="A11024" s="1"/>
    </row>
    <row r="11025" spans="1:1">
      <c r="A11025" s="1"/>
    </row>
    <row r="11026" spans="1:1">
      <c r="A11026" s="1"/>
    </row>
    <row r="11027" spans="1:1">
      <c r="A11027" s="1"/>
    </row>
    <row r="11028" spans="1:1">
      <c r="A11028" s="1"/>
    </row>
    <row r="11029" spans="1:1">
      <c r="A11029" s="1"/>
    </row>
    <row r="11030" spans="1:1">
      <c r="A11030" s="1"/>
    </row>
    <row r="11031" spans="1:1">
      <c r="A11031" s="1"/>
    </row>
    <row r="11032" spans="1:1">
      <c r="A11032" s="1"/>
    </row>
    <row r="11033" spans="1:1">
      <c r="A11033" s="1"/>
    </row>
    <row r="11034" spans="1:1">
      <c r="A11034" s="1"/>
    </row>
    <row r="11035" spans="1:1">
      <c r="A11035" s="1"/>
    </row>
    <row r="11036" spans="1:1">
      <c r="A11036" s="1"/>
    </row>
    <row r="11037" spans="1:1">
      <c r="A11037" s="1"/>
    </row>
    <row r="11038" spans="1:1">
      <c r="A11038" s="1"/>
    </row>
    <row r="11039" spans="1:1">
      <c r="A11039" s="1"/>
    </row>
    <row r="11040" spans="1:1">
      <c r="A11040" s="1"/>
    </row>
    <row r="11041" spans="1:1">
      <c r="A11041" s="1"/>
    </row>
    <row r="11042" spans="1:1">
      <c r="A11042" s="1"/>
    </row>
    <row r="11043" spans="1:1">
      <c r="A11043" s="1"/>
    </row>
    <row r="11044" spans="1:1">
      <c r="A11044" s="1"/>
    </row>
    <row r="11045" spans="1:1">
      <c r="A11045" s="1"/>
    </row>
    <row r="11046" spans="1:1">
      <c r="A11046" s="1"/>
    </row>
    <row r="11047" spans="1:1">
      <c r="A11047" s="1"/>
    </row>
    <row r="11048" spans="1:1">
      <c r="A11048" s="1"/>
    </row>
    <row r="11049" spans="1:1">
      <c r="A11049" s="1"/>
    </row>
    <row r="11050" spans="1:1">
      <c r="A11050" s="1"/>
    </row>
    <row r="11051" spans="1:1">
      <c r="A11051" s="1"/>
    </row>
    <row r="11052" spans="1:1">
      <c r="A11052" s="1"/>
    </row>
    <row r="11053" spans="1:1">
      <c r="A11053" s="1"/>
    </row>
    <row r="11054" spans="1:1">
      <c r="A11054" s="1"/>
    </row>
    <row r="11055" spans="1:1">
      <c r="A11055" s="1"/>
    </row>
    <row r="11056" spans="1:1">
      <c r="A11056" s="1"/>
    </row>
    <row r="11057" spans="1:1">
      <c r="A11057" s="1"/>
    </row>
    <row r="11058" spans="1:1">
      <c r="A11058" s="1"/>
    </row>
    <row r="11059" spans="1:1">
      <c r="A11059" s="1"/>
    </row>
    <row r="11060" spans="1:1">
      <c r="A11060" s="1"/>
    </row>
    <row r="11061" spans="1:1">
      <c r="A11061" s="1"/>
    </row>
    <row r="11062" spans="1:1">
      <c r="A11062" s="1"/>
    </row>
    <row r="11063" spans="1:1">
      <c r="A11063" s="1"/>
    </row>
    <row r="11064" spans="1:1">
      <c r="A11064" s="1"/>
    </row>
    <row r="11065" spans="1:1">
      <c r="A11065" s="1"/>
    </row>
    <row r="11066" spans="1:1">
      <c r="A11066" s="1"/>
    </row>
    <row r="11067" spans="1:1">
      <c r="A11067" s="1"/>
    </row>
    <row r="11068" spans="1:1">
      <c r="A11068" s="1"/>
    </row>
    <row r="11069" spans="1:1">
      <c r="A11069" s="1"/>
    </row>
    <row r="11070" spans="1:1">
      <c r="A11070" s="1"/>
    </row>
    <row r="11071" spans="1:1">
      <c r="A11071" s="1"/>
    </row>
    <row r="11072" spans="1:1">
      <c r="A11072" s="1"/>
    </row>
    <row r="11073" spans="1:1">
      <c r="A11073" s="1"/>
    </row>
    <row r="11074" spans="1:1">
      <c r="A11074" s="1"/>
    </row>
    <row r="11075" spans="1:1">
      <c r="A11075" s="1"/>
    </row>
    <row r="11076" spans="1:1">
      <c r="A11076" s="1"/>
    </row>
    <row r="11077" spans="1:1">
      <c r="A11077" s="1"/>
    </row>
    <row r="11078" spans="1:1">
      <c r="A11078" s="1"/>
    </row>
    <row r="11079" spans="1:1">
      <c r="A11079" s="1"/>
    </row>
    <row r="11080" spans="1:1">
      <c r="A11080" s="1"/>
    </row>
    <row r="11081" spans="1:1">
      <c r="A11081" s="1"/>
    </row>
    <row r="11082" spans="1:1">
      <c r="A11082" s="1"/>
    </row>
    <row r="11083" spans="1:1">
      <c r="A11083" s="1"/>
    </row>
    <row r="11084" spans="1:1">
      <c r="A11084" s="1"/>
    </row>
    <row r="11085" spans="1:1">
      <c r="A11085" s="1"/>
    </row>
    <row r="11086" spans="1:1">
      <c r="A11086" s="1"/>
    </row>
    <row r="11087" spans="1:1">
      <c r="A11087" s="1"/>
    </row>
    <row r="11088" spans="1:1">
      <c r="A11088" s="1"/>
    </row>
    <row r="11089" spans="1:1">
      <c r="A11089" s="1"/>
    </row>
    <row r="11090" spans="1:1">
      <c r="A11090" s="1"/>
    </row>
    <row r="11091" spans="1:1">
      <c r="A11091" s="1"/>
    </row>
    <row r="11092" spans="1:1">
      <c r="A11092" s="1"/>
    </row>
    <row r="11093" spans="1:1">
      <c r="A11093" s="1"/>
    </row>
    <row r="11094" spans="1:1">
      <c r="A11094" s="1"/>
    </row>
    <row r="11095" spans="1:1">
      <c r="A11095" s="1"/>
    </row>
    <row r="11096" spans="1:1">
      <c r="A11096" s="1"/>
    </row>
    <row r="11097" spans="1:1">
      <c r="A11097" s="1"/>
    </row>
    <row r="11098" spans="1:1">
      <c r="A11098" s="1"/>
    </row>
    <row r="11099" spans="1:1">
      <c r="A11099" s="1"/>
    </row>
    <row r="11100" spans="1:1">
      <c r="A11100" s="1"/>
    </row>
    <row r="11101" spans="1:1">
      <c r="A11101" s="1"/>
    </row>
    <row r="11102" spans="1:1">
      <c r="A11102" s="1"/>
    </row>
    <row r="11103" spans="1:1">
      <c r="A11103" s="1"/>
    </row>
    <row r="11104" spans="1:1">
      <c r="A11104" s="1"/>
    </row>
    <row r="11105" spans="1:1">
      <c r="A11105" s="1"/>
    </row>
    <row r="11106" spans="1:1">
      <c r="A11106" s="1"/>
    </row>
    <row r="11107" spans="1:1">
      <c r="A11107" s="1"/>
    </row>
    <row r="11108" spans="1:1">
      <c r="A11108" s="1"/>
    </row>
    <row r="11109" spans="1:1">
      <c r="A11109" s="1"/>
    </row>
    <row r="11110" spans="1:1">
      <c r="A11110" s="1"/>
    </row>
    <row r="11111" spans="1:1">
      <c r="A11111" s="1"/>
    </row>
    <row r="11112" spans="1:1">
      <c r="A11112" s="1"/>
    </row>
    <row r="11113" spans="1:1">
      <c r="A11113" s="1"/>
    </row>
    <row r="11114" spans="1:1">
      <c r="A11114" s="1"/>
    </row>
    <row r="11115" spans="1:1">
      <c r="A11115" s="1"/>
    </row>
    <row r="11116" spans="1:1">
      <c r="A11116" s="1"/>
    </row>
    <row r="11117" spans="1:1">
      <c r="A11117" s="1"/>
    </row>
    <row r="11118" spans="1:1">
      <c r="A11118" s="1"/>
    </row>
    <row r="11119" spans="1:1">
      <c r="A11119" s="1"/>
    </row>
    <row r="11120" spans="1:1">
      <c r="A11120" s="1"/>
    </row>
    <row r="11121" spans="1:1">
      <c r="A11121" s="1"/>
    </row>
    <row r="11122" spans="1:1">
      <c r="A11122" s="1"/>
    </row>
    <row r="11123" spans="1:1">
      <c r="A11123" s="1"/>
    </row>
    <row r="11124" spans="1:1">
      <c r="A11124" s="1"/>
    </row>
    <row r="11125" spans="1:1">
      <c r="A11125" s="1"/>
    </row>
    <row r="11126" spans="1:1">
      <c r="A11126" s="1"/>
    </row>
    <row r="11127" spans="1:1">
      <c r="A11127" s="1"/>
    </row>
    <row r="11128" spans="1:1">
      <c r="A11128" s="1"/>
    </row>
    <row r="11129" spans="1:1">
      <c r="A11129" s="1"/>
    </row>
    <row r="11130" spans="1:1">
      <c r="A11130" s="1"/>
    </row>
    <row r="11131" spans="1:1">
      <c r="A11131" s="1"/>
    </row>
    <row r="11132" spans="1:1">
      <c r="A11132" s="1"/>
    </row>
    <row r="11133" spans="1:1">
      <c r="A11133" s="1"/>
    </row>
    <row r="11134" spans="1:1">
      <c r="A11134" s="1"/>
    </row>
    <row r="11135" spans="1:1">
      <c r="A11135" s="1"/>
    </row>
    <row r="11136" spans="1:1">
      <c r="A11136" s="1"/>
    </row>
    <row r="11137" spans="1:1">
      <c r="A11137" s="1"/>
    </row>
    <row r="11138" spans="1:1">
      <c r="A11138" s="1"/>
    </row>
    <row r="11139" spans="1:1">
      <c r="A11139" s="1"/>
    </row>
    <row r="11140" spans="1:1">
      <c r="A11140" s="1"/>
    </row>
    <row r="11141" spans="1:1">
      <c r="A11141" s="1"/>
    </row>
    <row r="11142" spans="1:1">
      <c r="A11142" s="1"/>
    </row>
    <row r="11143" spans="1:1">
      <c r="A11143" s="1"/>
    </row>
    <row r="11144" spans="1:1">
      <c r="A11144" s="1"/>
    </row>
    <row r="11145" spans="1:1">
      <c r="A11145" s="1"/>
    </row>
    <row r="11146" spans="1:1">
      <c r="A11146" s="1"/>
    </row>
    <row r="11147" spans="1:1">
      <c r="A11147" s="1"/>
    </row>
    <row r="11148" spans="1:1">
      <c r="A11148" s="1"/>
    </row>
    <row r="11149" spans="1:1">
      <c r="A11149" s="1"/>
    </row>
    <row r="11150" spans="1:1">
      <c r="A11150" s="1"/>
    </row>
    <row r="11151" spans="1:1">
      <c r="A11151" s="1"/>
    </row>
    <row r="11152" spans="1:1">
      <c r="A11152" s="1"/>
    </row>
    <row r="11153" spans="1:1">
      <c r="A11153" s="1"/>
    </row>
    <row r="11154" spans="1:1">
      <c r="A11154" s="1"/>
    </row>
    <row r="11155" spans="1:1">
      <c r="A11155" s="1"/>
    </row>
    <row r="11156" spans="1:1">
      <c r="A11156" s="1"/>
    </row>
    <row r="11157" spans="1:1">
      <c r="A11157" s="1"/>
    </row>
    <row r="11158" spans="1:1">
      <c r="A11158" s="1"/>
    </row>
    <row r="11159" spans="1:1">
      <c r="A11159" s="1"/>
    </row>
    <row r="11160" spans="1:1">
      <c r="A11160" s="1"/>
    </row>
    <row r="11161" spans="1:1">
      <c r="A11161" s="1"/>
    </row>
    <row r="11162" spans="1:1">
      <c r="A11162" s="1"/>
    </row>
    <row r="11163" spans="1:1">
      <c r="A11163" s="1"/>
    </row>
    <row r="11164" spans="1:1">
      <c r="A11164" s="1"/>
    </row>
    <row r="11165" spans="1:1">
      <c r="A11165" s="1"/>
    </row>
    <row r="11166" spans="1:1">
      <c r="A11166" s="1"/>
    </row>
    <row r="11167" spans="1:1">
      <c r="A11167" s="1"/>
    </row>
    <row r="11168" spans="1:1">
      <c r="A11168" s="1"/>
    </row>
    <row r="11169" spans="1:1">
      <c r="A11169" s="1"/>
    </row>
    <row r="11170" spans="1:1">
      <c r="A11170" s="1"/>
    </row>
    <row r="11171" spans="1:1">
      <c r="A11171" s="1"/>
    </row>
    <row r="11172" spans="1:1">
      <c r="A11172" s="1"/>
    </row>
    <row r="11173" spans="1:1">
      <c r="A11173" s="1"/>
    </row>
    <row r="11174" spans="1:1">
      <c r="A11174" s="1"/>
    </row>
    <row r="11175" spans="1:1">
      <c r="A11175" s="1"/>
    </row>
    <row r="11176" spans="1:1">
      <c r="A11176" s="1"/>
    </row>
    <row r="11177" spans="1:1">
      <c r="A11177" s="1"/>
    </row>
    <row r="11178" spans="1:1">
      <c r="A11178" s="1"/>
    </row>
    <row r="11179" spans="1:1">
      <c r="A11179" s="1"/>
    </row>
    <row r="11180" spans="1:1">
      <c r="A11180" s="1"/>
    </row>
    <row r="11181" spans="1:1">
      <c r="A11181" s="1"/>
    </row>
    <row r="11182" spans="1:1">
      <c r="A11182" s="1"/>
    </row>
    <row r="11183" spans="1:1">
      <c r="A11183" s="1"/>
    </row>
    <row r="11184" spans="1:1">
      <c r="A11184" s="1"/>
    </row>
    <row r="11185" spans="1:1">
      <c r="A11185" s="1"/>
    </row>
    <row r="11186" spans="1:1">
      <c r="A11186" s="1"/>
    </row>
    <row r="11187" spans="1:1">
      <c r="A11187" s="1"/>
    </row>
    <row r="11188" spans="1:1">
      <c r="A11188" s="1"/>
    </row>
    <row r="11189" spans="1:1">
      <c r="A11189" s="1"/>
    </row>
    <row r="11190" spans="1:1">
      <c r="A11190" s="1"/>
    </row>
    <row r="11191" spans="1:1">
      <c r="A11191" s="1"/>
    </row>
    <row r="11192" spans="1:1">
      <c r="A11192" s="1"/>
    </row>
    <row r="11193" spans="1:1">
      <c r="A11193" s="1"/>
    </row>
    <row r="11194" spans="1:1">
      <c r="A11194" s="1"/>
    </row>
    <row r="11195" spans="1:1">
      <c r="A11195" s="1"/>
    </row>
    <row r="11196" spans="1:1">
      <c r="A11196" s="1"/>
    </row>
    <row r="11197" spans="1:1">
      <c r="A11197" s="1"/>
    </row>
    <row r="11198" spans="1:1">
      <c r="A11198" s="1"/>
    </row>
    <row r="11199" spans="1:1">
      <c r="A11199" s="1"/>
    </row>
    <row r="11200" spans="1:1">
      <c r="A11200" s="1"/>
    </row>
    <row r="11201" spans="1:1">
      <c r="A11201" s="1"/>
    </row>
    <row r="11202" spans="1:1">
      <c r="A11202" s="1"/>
    </row>
    <row r="11203" spans="1:1">
      <c r="A11203" s="1"/>
    </row>
    <row r="11204" spans="1:1">
      <c r="A11204" s="1"/>
    </row>
    <row r="11205" spans="1:1">
      <c r="A11205" s="1"/>
    </row>
    <row r="11206" spans="1:1">
      <c r="A11206" s="1"/>
    </row>
    <row r="11207" spans="1:1">
      <c r="A11207" s="1"/>
    </row>
    <row r="11208" spans="1:1">
      <c r="A11208" s="1"/>
    </row>
    <row r="11209" spans="1:1">
      <c r="A11209" s="1"/>
    </row>
    <row r="11210" spans="1:1">
      <c r="A11210" s="1"/>
    </row>
    <row r="11211" spans="1:1">
      <c r="A11211" s="1"/>
    </row>
    <row r="11212" spans="1:1">
      <c r="A11212" s="1"/>
    </row>
    <row r="11213" spans="1:1">
      <c r="A11213" s="1"/>
    </row>
    <row r="11214" spans="1:1">
      <c r="A11214" s="1"/>
    </row>
    <row r="11215" spans="1:1">
      <c r="A11215" s="1"/>
    </row>
    <row r="11216" spans="1:1">
      <c r="A11216" s="1"/>
    </row>
    <row r="11217" spans="1:1">
      <c r="A11217" s="1"/>
    </row>
    <row r="11218" spans="1:1">
      <c r="A11218" s="1"/>
    </row>
    <row r="11219" spans="1:1">
      <c r="A11219" s="1"/>
    </row>
    <row r="11220" spans="1:1">
      <c r="A11220" s="1"/>
    </row>
    <row r="11221" spans="1:1">
      <c r="A11221" s="1"/>
    </row>
    <row r="11222" spans="1:1">
      <c r="A11222" s="1"/>
    </row>
    <row r="11223" spans="1:1">
      <c r="A11223" s="1"/>
    </row>
    <row r="11224" spans="1:1">
      <c r="A11224" s="1"/>
    </row>
    <row r="11225" spans="1:1">
      <c r="A11225" s="1"/>
    </row>
    <row r="11226" spans="1:1">
      <c r="A11226" s="1"/>
    </row>
    <row r="11227" spans="1:1">
      <c r="A11227" s="1"/>
    </row>
    <row r="11228" spans="1:1">
      <c r="A11228" s="1"/>
    </row>
    <row r="11229" spans="1:1">
      <c r="A11229" s="1"/>
    </row>
    <row r="11230" spans="1:1">
      <c r="A11230" s="1"/>
    </row>
    <row r="11231" spans="1:1">
      <c r="A11231" s="1"/>
    </row>
    <row r="11232" spans="1:1">
      <c r="A11232" s="1"/>
    </row>
    <row r="11233" spans="1:1">
      <c r="A11233" s="1"/>
    </row>
    <row r="11234" spans="1:1">
      <c r="A11234" s="1"/>
    </row>
    <row r="11235" spans="1:1">
      <c r="A11235" s="1"/>
    </row>
    <row r="11236" spans="1:1">
      <c r="A11236" s="1"/>
    </row>
    <row r="11237" spans="1:1">
      <c r="A11237" s="1"/>
    </row>
    <row r="11238" spans="1:1">
      <c r="A11238" s="1"/>
    </row>
    <row r="11239" spans="1:1">
      <c r="A11239" s="1"/>
    </row>
    <row r="11240" spans="1:1">
      <c r="A11240" s="1"/>
    </row>
    <row r="11241" spans="1:1">
      <c r="A11241" s="1"/>
    </row>
    <row r="11242" spans="1:1">
      <c r="A11242" s="1"/>
    </row>
    <row r="11243" spans="1:1">
      <c r="A11243" s="1"/>
    </row>
    <row r="11244" spans="1:1">
      <c r="A11244" s="1"/>
    </row>
    <row r="11245" spans="1:1">
      <c r="A11245" s="1"/>
    </row>
    <row r="11246" spans="1:1">
      <c r="A11246" s="1"/>
    </row>
    <row r="11247" spans="1:1">
      <c r="A11247" s="1"/>
    </row>
    <row r="11248" spans="1:1">
      <c r="A11248" s="1"/>
    </row>
    <row r="11249" spans="1:1">
      <c r="A11249" s="1"/>
    </row>
    <row r="11250" spans="1:1">
      <c r="A11250" s="1"/>
    </row>
    <row r="11251" spans="1:1">
      <c r="A11251" s="1"/>
    </row>
    <row r="11252" spans="1:1">
      <c r="A11252" s="1"/>
    </row>
    <row r="11253" spans="1:1">
      <c r="A11253" s="1"/>
    </row>
    <row r="11254" spans="1:1">
      <c r="A11254" s="1"/>
    </row>
    <row r="11255" spans="1:1">
      <c r="A11255" s="1"/>
    </row>
    <row r="11256" spans="1:1">
      <c r="A11256" s="1"/>
    </row>
    <row r="11257" spans="1:1">
      <c r="A11257" s="1"/>
    </row>
    <row r="11258" spans="1:1">
      <c r="A11258" s="1"/>
    </row>
    <row r="11259" spans="1:1">
      <c r="A11259" s="1"/>
    </row>
    <row r="11260" spans="1:1">
      <c r="A11260" s="1"/>
    </row>
    <row r="11261" spans="1:1">
      <c r="A11261" s="1"/>
    </row>
    <row r="11262" spans="1:1">
      <c r="A11262" s="1"/>
    </row>
    <row r="11263" spans="1:1">
      <c r="A11263" s="1"/>
    </row>
    <row r="11264" spans="1:1">
      <c r="A11264" s="1"/>
    </row>
    <row r="11265" spans="1:1">
      <c r="A11265" s="1"/>
    </row>
    <row r="11266" spans="1:1">
      <c r="A11266" s="1"/>
    </row>
    <row r="11267" spans="1:1">
      <c r="A11267" s="1"/>
    </row>
    <row r="11268" spans="1:1">
      <c r="A11268" s="1"/>
    </row>
    <row r="11269" spans="1:1">
      <c r="A11269" s="1"/>
    </row>
    <row r="11270" spans="1:1">
      <c r="A11270" s="1"/>
    </row>
    <row r="11271" spans="1:1">
      <c r="A11271" s="1"/>
    </row>
    <row r="11272" spans="1:1">
      <c r="A11272" s="1"/>
    </row>
    <row r="11273" spans="1:1">
      <c r="A11273" s="1"/>
    </row>
    <row r="11274" spans="1:1">
      <c r="A11274" s="1"/>
    </row>
    <row r="11275" spans="1:1">
      <c r="A11275" s="1"/>
    </row>
    <row r="11276" spans="1:1">
      <c r="A11276" s="1"/>
    </row>
    <row r="11277" spans="1:1">
      <c r="A11277" s="1"/>
    </row>
    <row r="11278" spans="1:1">
      <c r="A11278" s="1"/>
    </row>
    <row r="11279" spans="1:1">
      <c r="A11279" s="1"/>
    </row>
    <row r="11280" spans="1:1">
      <c r="A11280" s="1"/>
    </row>
    <row r="11281" spans="1:1">
      <c r="A11281" s="1"/>
    </row>
    <row r="11282" spans="1:1">
      <c r="A11282" s="1"/>
    </row>
    <row r="11283" spans="1:1">
      <c r="A11283" s="1"/>
    </row>
    <row r="11284" spans="1:1">
      <c r="A11284" s="1"/>
    </row>
    <row r="11285" spans="1:1">
      <c r="A11285" s="1"/>
    </row>
    <row r="11286" spans="1:1">
      <c r="A11286" s="1"/>
    </row>
    <row r="11287" spans="1:1">
      <c r="A11287" s="1"/>
    </row>
    <row r="11288" spans="1:1">
      <c r="A11288" s="1"/>
    </row>
    <row r="11289" spans="1:1">
      <c r="A11289" s="1"/>
    </row>
    <row r="11290" spans="1:1">
      <c r="A11290" s="1"/>
    </row>
    <row r="11291" spans="1:1">
      <c r="A11291" s="1"/>
    </row>
    <row r="11292" spans="1:1">
      <c r="A11292" s="1"/>
    </row>
    <row r="11293" spans="1:1">
      <c r="A11293" s="1"/>
    </row>
    <row r="11294" spans="1:1">
      <c r="A11294" s="1"/>
    </row>
    <row r="11295" spans="1:1">
      <c r="A11295" s="1"/>
    </row>
    <row r="11296" spans="1:1">
      <c r="A11296" s="1"/>
    </row>
    <row r="11297" spans="1:1">
      <c r="A11297" s="1"/>
    </row>
    <row r="11298" spans="1:1">
      <c r="A11298" s="1"/>
    </row>
    <row r="11299" spans="1:1">
      <c r="A11299" s="1"/>
    </row>
    <row r="11300" spans="1:1">
      <c r="A11300" s="1"/>
    </row>
    <row r="11301" spans="1:1">
      <c r="A11301" s="1"/>
    </row>
    <row r="11302" spans="1:1">
      <c r="A11302" s="1"/>
    </row>
    <row r="11303" spans="1:1">
      <c r="A11303" s="1"/>
    </row>
    <row r="11304" spans="1:1">
      <c r="A11304" s="1"/>
    </row>
    <row r="11305" spans="1:1">
      <c r="A11305" s="1"/>
    </row>
    <row r="11306" spans="1:1">
      <c r="A11306" s="1"/>
    </row>
    <row r="11307" spans="1:1">
      <c r="A11307" s="1"/>
    </row>
    <row r="11308" spans="1:1">
      <c r="A11308" s="1"/>
    </row>
    <row r="11309" spans="1:1">
      <c r="A11309" s="1"/>
    </row>
    <row r="11310" spans="1:1">
      <c r="A11310" s="1"/>
    </row>
    <row r="11311" spans="1:1">
      <c r="A11311" s="1"/>
    </row>
    <row r="11312" spans="1:1">
      <c r="A11312" s="1"/>
    </row>
    <row r="11313" spans="1:1">
      <c r="A11313" s="1"/>
    </row>
    <row r="11314" spans="1:1">
      <c r="A11314" s="1"/>
    </row>
    <row r="11315" spans="1:1">
      <c r="A11315" s="1"/>
    </row>
    <row r="11316" spans="1:1">
      <c r="A11316" s="1"/>
    </row>
    <row r="11317" spans="1:1">
      <c r="A11317" s="1"/>
    </row>
    <row r="11318" spans="1:1">
      <c r="A11318" s="1"/>
    </row>
    <row r="11319" spans="1:1">
      <c r="A11319" s="1"/>
    </row>
    <row r="11320" spans="1:1">
      <c r="A11320" s="1"/>
    </row>
    <row r="11321" spans="1:1">
      <c r="A11321" s="1"/>
    </row>
    <row r="11322" spans="1:1">
      <c r="A11322" s="1"/>
    </row>
    <row r="11323" spans="1:1">
      <c r="A11323" s="1"/>
    </row>
    <row r="11324" spans="1:1">
      <c r="A11324" s="1"/>
    </row>
    <row r="11325" spans="1:1">
      <c r="A11325" s="1"/>
    </row>
    <row r="11326" spans="1:1">
      <c r="A11326" s="1"/>
    </row>
    <row r="11327" spans="1:1">
      <c r="A11327" s="1"/>
    </row>
    <row r="11328" spans="1:1">
      <c r="A11328" s="1"/>
    </row>
    <row r="11329" spans="1:1">
      <c r="A11329" s="1"/>
    </row>
    <row r="11330" spans="1:1">
      <c r="A11330" s="1"/>
    </row>
    <row r="11331" spans="1:1">
      <c r="A11331" s="1"/>
    </row>
    <row r="11332" spans="1:1">
      <c r="A11332" s="1"/>
    </row>
    <row r="11333" spans="1:1">
      <c r="A11333" s="1"/>
    </row>
    <row r="11334" spans="1:1">
      <c r="A11334" s="1"/>
    </row>
    <row r="11335" spans="1:1">
      <c r="A11335" s="1"/>
    </row>
    <row r="11336" spans="1:1">
      <c r="A11336" s="1"/>
    </row>
    <row r="11337" spans="1:1">
      <c r="A11337" s="1"/>
    </row>
    <row r="11338" spans="1:1">
      <c r="A11338" s="1"/>
    </row>
    <row r="11339" spans="1:1">
      <c r="A11339" s="1"/>
    </row>
    <row r="11340" spans="1:1">
      <c r="A11340" s="1"/>
    </row>
    <row r="11341" spans="1:1">
      <c r="A11341" s="1"/>
    </row>
    <row r="11342" spans="1:1">
      <c r="A11342" s="1"/>
    </row>
    <row r="11343" spans="1:1">
      <c r="A11343" s="1"/>
    </row>
    <row r="11344" spans="1:1">
      <c r="A11344" s="1"/>
    </row>
    <row r="11345" spans="1:1">
      <c r="A11345" s="1"/>
    </row>
    <row r="11346" spans="1:1">
      <c r="A11346" s="1"/>
    </row>
    <row r="11347" spans="1:1">
      <c r="A11347" s="1"/>
    </row>
    <row r="11348" spans="1:1">
      <c r="A11348" s="1"/>
    </row>
    <row r="11349" spans="1:1">
      <c r="A11349" s="1"/>
    </row>
    <row r="11350" spans="1:1">
      <c r="A11350" s="1"/>
    </row>
    <row r="11351" spans="1:1">
      <c r="A11351" s="1"/>
    </row>
    <row r="11352" spans="1:1">
      <c r="A11352" s="1"/>
    </row>
    <row r="11353" spans="1:1">
      <c r="A11353" s="1"/>
    </row>
    <row r="11354" spans="1:1">
      <c r="A11354" s="1"/>
    </row>
    <row r="11355" spans="1:1">
      <c r="A11355" s="1"/>
    </row>
    <row r="11356" spans="1:1">
      <c r="A11356" s="1"/>
    </row>
    <row r="11357" spans="1:1">
      <c r="A11357" s="1"/>
    </row>
    <row r="11358" spans="1:1">
      <c r="A11358" s="1"/>
    </row>
    <row r="11359" spans="1:1">
      <c r="A11359" s="1"/>
    </row>
    <row r="11360" spans="1:1">
      <c r="A11360" s="1"/>
    </row>
    <row r="11361" spans="1:1">
      <c r="A11361" s="1"/>
    </row>
    <row r="11362" spans="1:1">
      <c r="A11362" s="1"/>
    </row>
    <row r="11363" spans="1:1">
      <c r="A11363" s="1"/>
    </row>
    <row r="11364" spans="1:1">
      <c r="A11364" s="1"/>
    </row>
    <row r="11365" spans="1:1">
      <c r="A11365" s="1"/>
    </row>
    <row r="11366" spans="1:1">
      <c r="A11366" s="1"/>
    </row>
    <row r="11367" spans="1:1">
      <c r="A11367" s="1"/>
    </row>
    <row r="11368" spans="1:1">
      <c r="A11368" s="1"/>
    </row>
    <row r="11369" spans="1:1">
      <c r="A11369" s="1"/>
    </row>
    <row r="11370" spans="1:1">
      <c r="A11370" s="1"/>
    </row>
    <row r="11371" spans="1:1">
      <c r="A11371" s="1"/>
    </row>
    <row r="11372" spans="1:1">
      <c r="A11372" s="1"/>
    </row>
    <row r="11373" spans="1:1">
      <c r="A11373" s="1"/>
    </row>
    <row r="11374" spans="1:1">
      <c r="A11374" s="1"/>
    </row>
    <row r="11375" spans="1:1">
      <c r="A11375" s="1"/>
    </row>
    <row r="11376" spans="1:1">
      <c r="A11376" s="1"/>
    </row>
    <row r="11377" spans="1:1">
      <c r="A11377" s="1"/>
    </row>
    <row r="11378" spans="1:1">
      <c r="A11378" s="1"/>
    </row>
    <row r="11379" spans="1:1">
      <c r="A11379" s="1"/>
    </row>
    <row r="11380" spans="1:1">
      <c r="A11380" s="1"/>
    </row>
    <row r="11381" spans="1:1">
      <c r="A11381" s="1"/>
    </row>
    <row r="11382" spans="1:1">
      <c r="A11382" s="1"/>
    </row>
    <row r="11383" spans="1:1">
      <c r="A11383" s="1"/>
    </row>
    <row r="11384" spans="1:1">
      <c r="A11384" s="1"/>
    </row>
    <row r="11385" spans="1:1">
      <c r="A11385" s="1"/>
    </row>
    <row r="11386" spans="1:1">
      <c r="A11386" s="1"/>
    </row>
    <row r="11387" spans="1:1">
      <c r="A11387" s="1"/>
    </row>
    <row r="11388" spans="1:1">
      <c r="A11388" s="1"/>
    </row>
    <row r="11389" spans="1:1">
      <c r="A11389" s="1"/>
    </row>
    <row r="11390" spans="1:1">
      <c r="A11390" s="1"/>
    </row>
    <row r="11391" spans="1:1">
      <c r="A11391" s="1"/>
    </row>
    <row r="11392" spans="1:1">
      <c r="A11392" s="1"/>
    </row>
    <row r="11393" spans="1:1">
      <c r="A11393" s="1"/>
    </row>
    <row r="11394" spans="1:1">
      <c r="A11394" s="1"/>
    </row>
    <row r="11395" spans="1:1">
      <c r="A11395" s="1"/>
    </row>
    <row r="11396" spans="1:1">
      <c r="A11396" s="1"/>
    </row>
    <row r="11397" spans="1:1">
      <c r="A11397" s="1"/>
    </row>
    <row r="11398" spans="1:1">
      <c r="A11398" s="1"/>
    </row>
    <row r="11399" spans="1:1">
      <c r="A11399" s="1"/>
    </row>
    <row r="11400" spans="1:1">
      <c r="A11400" s="1"/>
    </row>
    <row r="11401" spans="1:1">
      <c r="A11401" s="1"/>
    </row>
    <row r="11402" spans="1:1">
      <c r="A11402" s="1"/>
    </row>
    <row r="11403" spans="1:1">
      <c r="A11403" s="1"/>
    </row>
    <row r="11404" spans="1:1">
      <c r="A11404" s="1"/>
    </row>
    <row r="11405" spans="1:1">
      <c r="A11405" s="1"/>
    </row>
    <row r="11406" spans="1:1">
      <c r="A11406" s="1"/>
    </row>
    <row r="11407" spans="1:1">
      <c r="A11407" s="1"/>
    </row>
    <row r="11408" spans="1:1">
      <c r="A11408" s="1"/>
    </row>
    <row r="11409" spans="1:1">
      <c r="A11409" s="1"/>
    </row>
    <row r="11410" spans="1:1">
      <c r="A11410" s="1"/>
    </row>
    <row r="11411" spans="1:1">
      <c r="A11411" s="1"/>
    </row>
    <row r="11412" spans="1:1">
      <c r="A11412" s="1"/>
    </row>
    <row r="11413" spans="1:1">
      <c r="A11413" s="1"/>
    </row>
    <row r="11414" spans="1:1">
      <c r="A11414" s="1"/>
    </row>
    <row r="11415" spans="1:1">
      <c r="A11415" s="1"/>
    </row>
    <row r="11416" spans="1:1">
      <c r="A11416" s="1"/>
    </row>
    <row r="11417" spans="1:1">
      <c r="A11417" s="1"/>
    </row>
    <row r="11418" spans="1:1">
      <c r="A11418" s="1"/>
    </row>
    <row r="11419" spans="1:1">
      <c r="A11419" s="1"/>
    </row>
    <row r="11420" spans="1:1">
      <c r="A11420" s="1"/>
    </row>
    <row r="11421" spans="1:1">
      <c r="A11421" s="1"/>
    </row>
    <row r="11422" spans="1:1">
      <c r="A11422" s="1"/>
    </row>
    <row r="11423" spans="1:1">
      <c r="A11423" s="1"/>
    </row>
    <row r="11424" spans="1:1">
      <c r="A11424" s="1"/>
    </row>
    <row r="11425" spans="1:1">
      <c r="A11425" s="1"/>
    </row>
    <row r="11426" spans="1:1">
      <c r="A11426" s="1"/>
    </row>
    <row r="11427" spans="1:1">
      <c r="A11427" s="1"/>
    </row>
    <row r="11428" spans="1:1">
      <c r="A11428" s="1"/>
    </row>
    <row r="11429" spans="1:1">
      <c r="A11429" s="1"/>
    </row>
    <row r="11430" spans="1:1">
      <c r="A11430" s="1"/>
    </row>
    <row r="11431" spans="1:1">
      <c r="A11431" s="1"/>
    </row>
    <row r="11432" spans="1:1">
      <c r="A11432" s="1"/>
    </row>
    <row r="11433" spans="1:1">
      <c r="A11433" s="1"/>
    </row>
    <row r="11434" spans="1:1">
      <c r="A11434" s="1"/>
    </row>
    <row r="11435" spans="1:1">
      <c r="A11435" s="1"/>
    </row>
    <row r="11436" spans="1:1">
      <c r="A11436" s="1"/>
    </row>
    <row r="11437" spans="1:1">
      <c r="A11437" s="1"/>
    </row>
    <row r="11438" spans="1:1">
      <c r="A11438" s="1"/>
    </row>
    <row r="11439" spans="1:1">
      <c r="A11439" s="1"/>
    </row>
    <row r="11440" spans="1:1">
      <c r="A11440" s="1"/>
    </row>
    <row r="11441" spans="1:1">
      <c r="A11441" s="1"/>
    </row>
    <row r="11442" spans="1:1">
      <c r="A11442" s="1"/>
    </row>
    <row r="11443" spans="1:1">
      <c r="A11443" s="1"/>
    </row>
    <row r="11444" spans="1:1">
      <c r="A11444" s="1"/>
    </row>
    <row r="11445" spans="1:1">
      <c r="A11445" s="1"/>
    </row>
    <row r="11446" spans="1:1">
      <c r="A11446" s="1"/>
    </row>
    <row r="11447" spans="1:1">
      <c r="A11447" s="1"/>
    </row>
    <row r="11448" spans="1:1">
      <c r="A11448" s="1"/>
    </row>
    <row r="11449" spans="1:1">
      <c r="A11449" s="1"/>
    </row>
    <row r="11450" spans="1:1">
      <c r="A11450" s="1"/>
    </row>
    <row r="11451" spans="1:1">
      <c r="A11451" s="1"/>
    </row>
    <row r="11452" spans="1:1">
      <c r="A11452" s="1"/>
    </row>
    <row r="11453" spans="1:1">
      <c r="A11453" s="1"/>
    </row>
    <row r="11454" spans="1:1">
      <c r="A11454" s="1"/>
    </row>
    <row r="11455" spans="1:1">
      <c r="A11455" s="1"/>
    </row>
    <row r="11456" spans="1:1">
      <c r="A11456" s="1"/>
    </row>
    <row r="11457" spans="1:1">
      <c r="A11457" s="1"/>
    </row>
    <row r="11458" spans="1:1">
      <c r="A11458" s="1"/>
    </row>
    <row r="11459" spans="1:1">
      <c r="A11459" s="1"/>
    </row>
    <row r="11460" spans="1:1">
      <c r="A11460" s="1"/>
    </row>
    <row r="11461" spans="1:1">
      <c r="A11461" s="1"/>
    </row>
    <row r="11462" spans="1:1">
      <c r="A11462" s="1"/>
    </row>
    <row r="11463" spans="1:1">
      <c r="A11463" s="1"/>
    </row>
    <row r="11464" spans="1:1">
      <c r="A11464" s="1"/>
    </row>
    <row r="11465" spans="1:1">
      <c r="A11465" s="1"/>
    </row>
    <row r="11466" spans="1:1">
      <c r="A11466" s="1"/>
    </row>
    <row r="11467" spans="1:1">
      <c r="A11467" s="1"/>
    </row>
    <row r="11468" spans="1:1">
      <c r="A11468" s="1"/>
    </row>
    <row r="11469" spans="1:1">
      <c r="A11469" s="1"/>
    </row>
    <row r="11470" spans="1:1">
      <c r="A11470" s="1"/>
    </row>
    <row r="11471" spans="1:1">
      <c r="A11471" s="1"/>
    </row>
    <row r="11472" spans="1:1">
      <c r="A11472" s="1"/>
    </row>
    <row r="11473" spans="1:1">
      <c r="A11473" s="1"/>
    </row>
    <row r="11474" spans="1:1">
      <c r="A11474" s="1"/>
    </row>
    <row r="11475" spans="1:1">
      <c r="A11475" s="1"/>
    </row>
    <row r="11476" spans="1:1">
      <c r="A11476" s="1"/>
    </row>
    <row r="11477" spans="1:1">
      <c r="A11477" s="1"/>
    </row>
    <row r="11478" spans="1:1">
      <c r="A11478" s="1"/>
    </row>
    <row r="11479" spans="1:1">
      <c r="A11479" s="1"/>
    </row>
    <row r="11480" spans="1:1">
      <c r="A11480" s="1"/>
    </row>
    <row r="11481" spans="1:1">
      <c r="A11481" s="1"/>
    </row>
    <row r="11482" spans="1:1">
      <c r="A11482" s="1"/>
    </row>
    <row r="11483" spans="1:1">
      <c r="A11483" s="1"/>
    </row>
    <row r="11484" spans="1:1">
      <c r="A11484" s="1"/>
    </row>
    <row r="11485" spans="1:1">
      <c r="A11485" s="1"/>
    </row>
    <row r="11486" spans="1:1">
      <c r="A11486" s="1"/>
    </row>
    <row r="11487" spans="1:1">
      <c r="A11487" s="1"/>
    </row>
    <row r="11488" spans="1:1">
      <c r="A11488" s="1"/>
    </row>
    <row r="11489" spans="1:1">
      <c r="A11489" s="1"/>
    </row>
    <row r="11490" spans="1:1">
      <c r="A11490" s="1"/>
    </row>
    <row r="11491" spans="1:1">
      <c r="A11491" s="1"/>
    </row>
    <row r="11492" spans="1:1">
      <c r="A11492" s="1"/>
    </row>
    <row r="11493" spans="1:1">
      <c r="A11493" s="1"/>
    </row>
    <row r="11494" spans="1:1">
      <c r="A11494" s="1"/>
    </row>
    <row r="11495" spans="1:1">
      <c r="A11495" s="1"/>
    </row>
    <row r="11496" spans="1:1">
      <c r="A11496" s="1"/>
    </row>
    <row r="11497" spans="1:1">
      <c r="A11497" s="1"/>
    </row>
    <row r="11498" spans="1:1">
      <c r="A11498" s="1"/>
    </row>
    <row r="11499" spans="1:1">
      <c r="A11499" s="1"/>
    </row>
    <row r="11500" spans="1:1">
      <c r="A11500" s="1"/>
    </row>
    <row r="11501" spans="1:1">
      <c r="A11501" s="1"/>
    </row>
    <row r="11502" spans="1:1">
      <c r="A11502" s="1"/>
    </row>
    <row r="11503" spans="1:1">
      <c r="A11503" s="1"/>
    </row>
    <row r="11504" spans="1:1">
      <c r="A11504" s="1"/>
    </row>
    <row r="11505" spans="1:1">
      <c r="A11505" s="1"/>
    </row>
    <row r="11506" spans="1:1">
      <c r="A11506" s="1"/>
    </row>
    <row r="11507" spans="1:1">
      <c r="A11507" s="1"/>
    </row>
    <row r="11508" spans="1:1">
      <c r="A11508" s="1"/>
    </row>
    <row r="11509" spans="1:1">
      <c r="A11509" s="1"/>
    </row>
    <row r="11510" spans="1:1">
      <c r="A11510" s="1"/>
    </row>
    <row r="11511" spans="1:1">
      <c r="A11511" s="1"/>
    </row>
    <row r="11512" spans="1:1">
      <c r="A11512" s="1"/>
    </row>
    <row r="11513" spans="1:1">
      <c r="A11513" s="1"/>
    </row>
    <row r="11514" spans="1:1">
      <c r="A11514" s="1"/>
    </row>
    <row r="11515" spans="1:1">
      <c r="A11515" s="1"/>
    </row>
    <row r="11516" spans="1:1">
      <c r="A11516" s="1"/>
    </row>
    <row r="11517" spans="1:1">
      <c r="A11517" s="1"/>
    </row>
    <row r="11518" spans="1:1">
      <c r="A11518" s="1"/>
    </row>
    <row r="11519" spans="1:1">
      <c r="A11519" s="1"/>
    </row>
    <row r="11520" spans="1:1">
      <c r="A11520" s="1"/>
    </row>
    <row r="11521" spans="1:1">
      <c r="A11521" s="1"/>
    </row>
    <row r="11522" spans="1:1">
      <c r="A11522" s="1"/>
    </row>
    <row r="11523" spans="1:1">
      <c r="A11523" s="1"/>
    </row>
    <row r="11524" spans="1:1">
      <c r="A11524" s="1"/>
    </row>
    <row r="11525" spans="1:1">
      <c r="A11525" s="1"/>
    </row>
    <row r="11526" spans="1:1">
      <c r="A11526" s="1"/>
    </row>
    <row r="11527" spans="1:1">
      <c r="A11527" s="1"/>
    </row>
    <row r="11528" spans="1:1">
      <c r="A11528" s="1"/>
    </row>
    <row r="11529" spans="1:1">
      <c r="A11529" s="1"/>
    </row>
    <row r="11530" spans="1:1">
      <c r="A11530" s="1"/>
    </row>
    <row r="11531" spans="1:1">
      <c r="A11531" s="1"/>
    </row>
    <row r="11532" spans="1:1">
      <c r="A11532" s="1"/>
    </row>
    <row r="11533" spans="1:1">
      <c r="A11533" s="1"/>
    </row>
    <row r="11534" spans="1:1">
      <c r="A11534" s="1"/>
    </row>
    <row r="11535" spans="1:1">
      <c r="A11535" s="1"/>
    </row>
    <row r="11536" spans="1:1">
      <c r="A11536" s="1"/>
    </row>
    <row r="11537" spans="1:1">
      <c r="A11537" s="1"/>
    </row>
    <row r="11538" spans="1:1">
      <c r="A11538" s="1"/>
    </row>
    <row r="11539" spans="1:1">
      <c r="A11539" s="1"/>
    </row>
    <row r="11540" spans="1:1">
      <c r="A11540" s="1"/>
    </row>
    <row r="11541" spans="1:1">
      <c r="A11541" s="1"/>
    </row>
    <row r="11542" spans="1:1">
      <c r="A11542" s="1"/>
    </row>
    <row r="11543" spans="1:1">
      <c r="A11543" s="1"/>
    </row>
    <row r="11544" spans="1:1">
      <c r="A11544" s="1"/>
    </row>
    <row r="11545" spans="1:1">
      <c r="A11545" s="1"/>
    </row>
    <row r="11546" spans="1:1">
      <c r="A11546" s="1"/>
    </row>
    <row r="11547" spans="1:1">
      <c r="A11547" s="1"/>
    </row>
    <row r="11548" spans="1:1">
      <c r="A11548" s="1"/>
    </row>
    <row r="11549" spans="1:1">
      <c r="A11549" s="1"/>
    </row>
    <row r="11550" spans="1:1">
      <c r="A11550" s="1"/>
    </row>
    <row r="11551" spans="1:1">
      <c r="A11551" s="1"/>
    </row>
    <row r="11552" spans="1:1">
      <c r="A11552" s="1"/>
    </row>
    <row r="11553" spans="1:1">
      <c r="A11553" s="1"/>
    </row>
    <row r="11554" spans="1:1">
      <c r="A11554" s="1"/>
    </row>
    <row r="11555" spans="1:1">
      <c r="A11555" s="1"/>
    </row>
    <row r="11556" spans="1:1">
      <c r="A11556" s="1"/>
    </row>
    <row r="11557" spans="1:1">
      <c r="A11557" s="1"/>
    </row>
    <row r="11558" spans="1:1">
      <c r="A11558" s="1"/>
    </row>
    <row r="11559" spans="1:1">
      <c r="A11559" s="1"/>
    </row>
    <row r="11560" spans="1:1">
      <c r="A11560" s="1"/>
    </row>
    <row r="11561" spans="1:1">
      <c r="A11561" s="1"/>
    </row>
    <row r="11562" spans="1:1">
      <c r="A11562" s="1"/>
    </row>
    <row r="11563" spans="1:1">
      <c r="A11563" s="1"/>
    </row>
    <row r="11564" spans="1:1">
      <c r="A11564" s="1"/>
    </row>
    <row r="11565" spans="1:1">
      <c r="A11565" s="1"/>
    </row>
    <row r="11566" spans="1:1">
      <c r="A11566" s="1"/>
    </row>
    <row r="11567" spans="1:1">
      <c r="A11567" s="1"/>
    </row>
    <row r="11568" spans="1:1">
      <c r="A11568" s="1"/>
    </row>
    <row r="11569" spans="1:1">
      <c r="A11569" s="1"/>
    </row>
    <row r="11570" spans="1:1">
      <c r="A11570" s="1"/>
    </row>
    <row r="11571" spans="1:1">
      <c r="A11571" s="1"/>
    </row>
    <row r="11572" spans="1:1">
      <c r="A11572" s="1"/>
    </row>
    <row r="11573" spans="1:1">
      <c r="A11573" s="1"/>
    </row>
    <row r="11574" spans="1:1">
      <c r="A11574" s="1"/>
    </row>
    <row r="11575" spans="1:1">
      <c r="A11575" s="1"/>
    </row>
    <row r="11576" spans="1:1">
      <c r="A11576" s="1"/>
    </row>
    <row r="11577" spans="1:1">
      <c r="A11577" s="1"/>
    </row>
    <row r="11578" spans="1:1">
      <c r="A11578" s="1"/>
    </row>
    <row r="11579" spans="1:1">
      <c r="A11579" s="1"/>
    </row>
    <row r="11580" spans="1:1">
      <c r="A11580" s="1"/>
    </row>
    <row r="11581" spans="1:1">
      <c r="A11581" s="1"/>
    </row>
    <row r="11582" spans="1:1">
      <c r="A11582" s="1"/>
    </row>
    <row r="11583" spans="1:1">
      <c r="A11583" s="1"/>
    </row>
    <row r="11584" spans="1:1">
      <c r="A11584" s="1"/>
    </row>
    <row r="11585" spans="1:1">
      <c r="A11585" s="1"/>
    </row>
    <row r="11586" spans="1:1">
      <c r="A11586" s="1"/>
    </row>
    <row r="11587" spans="1:1">
      <c r="A11587" s="1"/>
    </row>
    <row r="11588" spans="1:1">
      <c r="A11588" s="1"/>
    </row>
    <row r="11589" spans="1:1">
      <c r="A11589" s="1"/>
    </row>
    <row r="11590" spans="1:1">
      <c r="A11590" s="1"/>
    </row>
    <row r="11591" spans="1:1">
      <c r="A11591" s="1"/>
    </row>
    <row r="11592" spans="1:1">
      <c r="A11592" s="1"/>
    </row>
    <row r="11593" spans="1:1">
      <c r="A11593" s="1"/>
    </row>
    <row r="11594" spans="1:1">
      <c r="A11594" s="1"/>
    </row>
    <row r="11595" spans="1:1">
      <c r="A11595" s="1"/>
    </row>
    <row r="11596" spans="1:1">
      <c r="A11596" s="1"/>
    </row>
    <row r="11597" spans="1:1">
      <c r="A11597" s="1"/>
    </row>
    <row r="11598" spans="1:1">
      <c r="A11598" s="1"/>
    </row>
    <row r="11599" spans="1:1">
      <c r="A11599" s="1"/>
    </row>
    <row r="11600" spans="1:1">
      <c r="A11600" s="1"/>
    </row>
    <row r="11601" spans="1:1">
      <c r="A11601" s="1"/>
    </row>
    <row r="11602" spans="1:1">
      <c r="A11602" s="1"/>
    </row>
    <row r="11603" spans="1:1">
      <c r="A11603" s="1"/>
    </row>
    <row r="11604" spans="1:1">
      <c r="A11604" s="1"/>
    </row>
    <row r="11605" spans="1:1">
      <c r="A11605" s="1"/>
    </row>
    <row r="11606" spans="1:1">
      <c r="A11606" s="1"/>
    </row>
    <row r="11607" spans="1:1">
      <c r="A11607" s="1"/>
    </row>
    <row r="11608" spans="1:1">
      <c r="A11608" s="1"/>
    </row>
    <row r="11609" spans="1:1">
      <c r="A11609" s="1"/>
    </row>
    <row r="11610" spans="1:1">
      <c r="A11610" s="1"/>
    </row>
    <row r="11611" spans="1:1">
      <c r="A11611" s="1"/>
    </row>
    <row r="11612" spans="1:1">
      <c r="A11612" s="1"/>
    </row>
    <row r="11613" spans="1:1">
      <c r="A11613" s="1"/>
    </row>
    <row r="11614" spans="1:1">
      <c r="A11614" s="1"/>
    </row>
    <row r="11615" spans="1:1">
      <c r="A11615" s="1"/>
    </row>
    <row r="11616" spans="1:1">
      <c r="A11616" s="1"/>
    </row>
    <row r="11617" spans="1:1">
      <c r="A11617" s="1"/>
    </row>
    <row r="11618" spans="1:1">
      <c r="A11618" s="1"/>
    </row>
    <row r="11619" spans="1:1">
      <c r="A11619" s="1"/>
    </row>
    <row r="11620" spans="1:1">
      <c r="A11620" s="1"/>
    </row>
    <row r="11621" spans="1:1">
      <c r="A11621" s="1"/>
    </row>
    <row r="11622" spans="1:1">
      <c r="A11622" s="1"/>
    </row>
    <row r="11623" spans="1:1">
      <c r="A11623" s="1"/>
    </row>
    <row r="11624" spans="1:1">
      <c r="A11624" s="1"/>
    </row>
    <row r="11625" spans="1:1">
      <c r="A11625" s="1"/>
    </row>
    <row r="11626" spans="1:1">
      <c r="A11626" s="1"/>
    </row>
    <row r="11627" spans="1:1">
      <c r="A11627" s="1"/>
    </row>
    <row r="11628" spans="1:1">
      <c r="A11628" s="1"/>
    </row>
    <row r="11629" spans="1:1">
      <c r="A11629" s="1"/>
    </row>
    <row r="11630" spans="1:1">
      <c r="A11630" s="1"/>
    </row>
    <row r="11631" spans="1:1">
      <c r="A11631" s="1"/>
    </row>
    <row r="11632" spans="1:1">
      <c r="A11632" s="1"/>
    </row>
    <row r="11633" spans="1:1">
      <c r="A11633" s="1"/>
    </row>
    <row r="11634" spans="1:1">
      <c r="A11634" s="1"/>
    </row>
    <row r="11635" spans="1:1">
      <c r="A11635" s="1"/>
    </row>
    <row r="11636" spans="1:1">
      <c r="A11636" s="1"/>
    </row>
    <row r="11637" spans="1:1">
      <c r="A11637" s="1"/>
    </row>
    <row r="11638" spans="1:1">
      <c r="A11638" s="1"/>
    </row>
    <row r="11639" spans="1:1">
      <c r="A11639" s="1"/>
    </row>
    <row r="11640" spans="1:1">
      <c r="A11640" s="1"/>
    </row>
    <row r="11641" spans="1:1">
      <c r="A11641" s="1"/>
    </row>
    <row r="11642" spans="1:1">
      <c r="A11642" s="1"/>
    </row>
    <row r="11643" spans="1:1">
      <c r="A11643" s="1"/>
    </row>
    <row r="11644" spans="1:1">
      <c r="A11644" s="1"/>
    </row>
    <row r="11645" spans="1:1">
      <c r="A11645" s="1"/>
    </row>
    <row r="11646" spans="1:1">
      <c r="A11646" s="1"/>
    </row>
    <row r="11647" spans="1:1">
      <c r="A11647" s="1"/>
    </row>
    <row r="11648" spans="1:1">
      <c r="A11648" s="1"/>
    </row>
    <row r="11649" spans="1:1">
      <c r="A11649" s="1"/>
    </row>
    <row r="11650" spans="1:1">
      <c r="A11650" s="1"/>
    </row>
    <row r="11651" spans="1:1">
      <c r="A11651" s="1"/>
    </row>
    <row r="11652" spans="1:1">
      <c r="A11652" s="1"/>
    </row>
    <row r="11653" spans="1:1">
      <c r="A11653" s="1"/>
    </row>
    <row r="11654" spans="1:1">
      <c r="A11654" s="1"/>
    </row>
    <row r="11655" spans="1:1">
      <c r="A11655" s="1"/>
    </row>
    <row r="11656" spans="1:1">
      <c r="A11656" s="1"/>
    </row>
    <row r="11657" spans="1:1">
      <c r="A11657" s="1"/>
    </row>
    <row r="11658" spans="1:1">
      <c r="A11658" s="1"/>
    </row>
    <row r="11659" spans="1:1">
      <c r="A11659" s="1"/>
    </row>
    <row r="11660" spans="1:1">
      <c r="A11660" s="1"/>
    </row>
    <row r="11661" spans="1:1">
      <c r="A11661" s="1"/>
    </row>
    <row r="11662" spans="1:1">
      <c r="A11662" s="1"/>
    </row>
    <row r="11663" spans="1:1">
      <c r="A11663" s="1"/>
    </row>
    <row r="11664" spans="1:1">
      <c r="A11664" s="1"/>
    </row>
    <row r="11665" spans="1:1">
      <c r="A11665" s="1"/>
    </row>
    <row r="11666" spans="1:1">
      <c r="A11666" s="1"/>
    </row>
    <row r="11667" spans="1:1">
      <c r="A11667" s="1"/>
    </row>
    <row r="11668" spans="1:1">
      <c r="A11668" s="1"/>
    </row>
    <row r="11669" spans="1:1">
      <c r="A11669" s="1"/>
    </row>
    <row r="11670" spans="1:1">
      <c r="A11670" s="1"/>
    </row>
    <row r="11671" spans="1:1">
      <c r="A11671" s="1"/>
    </row>
    <row r="11672" spans="1:1">
      <c r="A11672" s="1"/>
    </row>
    <row r="11673" spans="1:1">
      <c r="A11673" s="1"/>
    </row>
    <row r="11674" spans="1:1">
      <c r="A11674" s="1"/>
    </row>
    <row r="11675" spans="1:1">
      <c r="A11675" s="1"/>
    </row>
    <row r="11676" spans="1:1">
      <c r="A11676" s="1"/>
    </row>
    <row r="11677" spans="1:1">
      <c r="A11677" s="1"/>
    </row>
    <row r="11678" spans="1:1">
      <c r="A11678" s="1"/>
    </row>
    <row r="11679" spans="1:1">
      <c r="A11679" s="1"/>
    </row>
    <row r="11680" spans="1:1">
      <c r="A11680" s="1"/>
    </row>
    <row r="11681" spans="1:1">
      <c r="A11681" s="1"/>
    </row>
    <row r="11682" spans="1:1">
      <c r="A11682" s="1"/>
    </row>
    <row r="11683" spans="1:1">
      <c r="A11683" s="1"/>
    </row>
    <row r="11684" spans="1:1">
      <c r="A11684" s="1"/>
    </row>
    <row r="11685" spans="1:1">
      <c r="A11685" s="1"/>
    </row>
    <row r="11686" spans="1:1">
      <c r="A11686" s="1"/>
    </row>
    <row r="11687" spans="1:1">
      <c r="A11687" s="1"/>
    </row>
    <row r="11688" spans="1:1">
      <c r="A11688" s="1"/>
    </row>
    <row r="11689" spans="1:1">
      <c r="A11689" s="1"/>
    </row>
    <row r="11690" spans="1:1">
      <c r="A11690" s="1"/>
    </row>
    <row r="11691" spans="1:1">
      <c r="A11691" s="1"/>
    </row>
    <row r="11692" spans="1:1">
      <c r="A11692" s="1"/>
    </row>
    <row r="11693" spans="1:1">
      <c r="A11693" s="1"/>
    </row>
    <row r="11694" spans="1:1">
      <c r="A11694" s="1"/>
    </row>
    <row r="11695" spans="1:1">
      <c r="A11695" s="1"/>
    </row>
    <row r="11696" spans="1:1">
      <c r="A11696" s="1"/>
    </row>
    <row r="11697" spans="1:1">
      <c r="A11697" s="1"/>
    </row>
    <row r="11698" spans="1:1">
      <c r="A11698" s="1"/>
    </row>
    <row r="11699" spans="1:1">
      <c r="A11699" s="1"/>
    </row>
    <row r="11700" spans="1:1">
      <c r="A11700" s="1"/>
    </row>
    <row r="11701" spans="1:1">
      <c r="A11701" s="1"/>
    </row>
    <row r="11702" spans="1:1">
      <c r="A11702" s="1"/>
    </row>
    <row r="11703" spans="1:1">
      <c r="A11703" s="1"/>
    </row>
    <row r="11704" spans="1:1">
      <c r="A11704" s="1"/>
    </row>
    <row r="11705" spans="1:1">
      <c r="A11705" s="1"/>
    </row>
    <row r="11706" spans="1:1">
      <c r="A11706" s="1"/>
    </row>
    <row r="11707" spans="1:1">
      <c r="A11707" s="1"/>
    </row>
    <row r="11708" spans="1:1">
      <c r="A11708" s="1"/>
    </row>
    <row r="11709" spans="1:1">
      <c r="A11709" s="1"/>
    </row>
    <row r="11710" spans="1:1">
      <c r="A11710" s="1"/>
    </row>
    <row r="11711" spans="1:1">
      <c r="A11711" s="1"/>
    </row>
    <row r="11712" spans="1:1">
      <c r="A11712" s="1"/>
    </row>
    <row r="11713" spans="1:1">
      <c r="A11713" s="1"/>
    </row>
    <row r="11714" spans="1:1">
      <c r="A11714" s="1"/>
    </row>
    <row r="11715" spans="1:1">
      <c r="A11715" s="1"/>
    </row>
    <row r="11716" spans="1:1">
      <c r="A11716" s="1"/>
    </row>
    <row r="11717" spans="1:1">
      <c r="A11717" s="1"/>
    </row>
    <row r="11718" spans="1:1">
      <c r="A11718" s="1"/>
    </row>
    <row r="11719" spans="1:1">
      <c r="A11719" s="1"/>
    </row>
    <row r="11720" spans="1:1">
      <c r="A11720" s="1"/>
    </row>
    <row r="11721" spans="1:1">
      <c r="A11721" s="1"/>
    </row>
    <row r="11722" spans="1:1">
      <c r="A11722" s="1"/>
    </row>
    <row r="11723" spans="1:1">
      <c r="A11723" s="1"/>
    </row>
    <row r="11724" spans="1:1">
      <c r="A11724" s="1"/>
    </row>
    <row r="11725" spans="1:1">
      <c r="A11725" s="1"/>
    </row>
    <row r="11726" spans="1:1">
      <c r="A11726" s="1"/>
    </row>
    <row r="11727" spans="1:1">
      <c r="A11727" s="1"/>
    </row>
    <row r="11728" spans="1:1">
      <c r="A11728" s="1"/>
    </row>
    <row r="11729" spans="1:1">
      <c r="A11729" s="1"/>
    </row>
    <row r="11730" spans="1:1">
      <c r="A11730" s="1"/>
    </row>
    <row r="11731" spans="1:1">
      <c r="A11731" s="1"/>
    </row>
    <row r="11732" spans="1:1">
      <c r="A11732" s="1"/>
    </row>
    <row r="11733" spans="1:1">
      <c r="A11733" s="1"/>
    </row>
    <row r="11734" spans="1:1">
      <c r="A11734" s="1"/>
    </row>
    <row r="11735" spans="1:1">
      <c r="A11735" s="1"/>
    </row>
    <row r="11736" spans="1:1">
      <c r="A11736" s="1"/>
    </row>
    <row r="11737" spans="1:1">
      <c r="A11737" s="1"/>
    </row>
    <row r="11738" spans="1:1">
      <c r="A11738" s="1"/>
    </row>
    <row r="11739" spans="1:1">
      <c r="A11739" s="1"/>
    </row>
    <row r="11740" spans="1:1">
      <c r="A11740" s="1"/>
    </row>
    <row r="11741" spans="1:1">
      <c r="A11741" s="1"/>
    </row>
    <row r="11742" spans="1:1">
      <c r="A11742" s="1"/>
    </row>
    <row r="11743" spans="1:1">
      <c r="A11743" s="1"/>
    </row>
    <row r="11744" spans="1:1">
      <c r="A11744" s="1"/>
    </row>
    <row r="11745" spans="1:1">
      <c r="A11745" s="1"/>
    </row>
    <row r="11746" spans="1:1">
      <c r="A11746" s="1"/>
    </row>
    <row r="11747" spans="1:1">
      <c r="A11747" s="1"/>
    </row>
    <row r="11748" spans="1:1">
      <c r="A11748" s="1"/>
    </row>
    <row r="11749" spans="1:1">
      <c r="A11749" s="1"/>
    </row>
    <row r="11750" spans="1:1">
      <c r="A11750" s="1"/>
    </row>
    <row r="11751" spans="1:1">
      <c r="A11751" s="1"/>
    </row>
    <row r="11752" spans="1:1">
      <c r="A11752" s="1"/>
    </row>
    <row r="11753" spans="1:1">
      <c r="A11753" s="1"/>
    </row>
    <row r="11754" spans="1:1">
      <c r="A11754" s="1"/>
    </row>
    <row r="11755" spans="1:1">
      <c r="A11755" s="1"/>
    </row>
    <row r="11756" spans="1:1">
      <c r="A11756" s="1"/>
    </row>
    <row r="11757" spans="1:1">
      <c r="A11757" s="1"/>
    </row>
    <row r="11758" spans="1:1">
      <c r="A11758" s="1"/>
    </row>
    <row r="11759" spans="1:1">
      <c r="A11759" s="1"/>
    </row>
    <row r="11760" spans="1:1">
      <c r="A11760" s="1"/>
    </row>
    <row r="11761" spans="1:1">
      <c r="A11761" s="1"/>
    </row>
    <row r="11762" spans="1:1">
      <c r="A11762" s="1"/>
    </row>
    <row r="11763" spans="1:1">
      <c r="A11763" s="1"/>
    </row>
    <row r="11764" spans="1:1">
      <c r="A11764" s="1"/>
    </row>
    <row r="11765" spans="1:1">
      <c r="A11765" s="1"/>
    </row>
    <row r="11766" spans="1:1">
      <c r="A11766" s="1"/>
    </row>
    <row r="11767" spans="1:1">
      <c r="A11767" s="1"/>
    </row>
    <row r="11768" spans="1:1">
      <c r="A11768" s="1"/>
    </row>
    <row r="11769" spans="1:1">
      <c r="A11769" s="1"/>
    </row>
    <row r="11770" spans="1:1">
      <c r="A11770" s="1"/>
    </row>
    <row r="11771" spans="1:1">
      <c r="A11771" s="1"/>
    </row>
    <row r="11772" spans="1:1">
      <c r="A11772" s="1"/>
    </row>
    <row r="11773" spans="1:1">
      <c r="A11773" s="1"/>
    </row>
    <row r="11774" spans="1:1">
      <c r="A11774" s="1"/>
    </row>
    <row r="11775" spans="1:1">
      <c r="A11775" s="1"/>
    </row>
    <row r="11776" spans="1:1">
      <c r="A11776" s="1"/>
    </row>
    <row r="11777" spans="1:1">
      <c r="A11777" s="1"/>
    </row>
    <row r="11778" spans="1:1">
      <c r="A11778" s="1"/>
    </row>
    <row r="11779" spans="1:1">
      <c r="A11779" s="1"/>
    </row>
    <row r="11780" spans="1:1">
      <c r="A11780" s="1"/>
    </row>
    <row r="11781" spans="1:1">
      <c r="A11781" s="1"/>
    </row>
    <row r="11782" spans="1:1">
      <c r="A11782" s="1"/>
    </row>
    <row r="11783" spans="1:1">
      <c r="A11783" s="1"/>
    </row>
    <row r="11784" spans="1:1">
      <c r="A11784" s="1"/>
    </row>
    <row r="11785" spans="1:1">
      <c r="A11785" s="1"/>
    </row>
    <row r="11786" spans="1:1">
      <c r="A11786" s="1"/>
    </row>
    <row r="11787" spans="1:1">
      <c r="A11787" s="1"/>
    </row>
    <row r="11788" spans="1:1">
      <c r="A11788" s="1"/>
    </row>
    <row r="11789" spans="1:1">
      <c r="A11789" s="1"/>
    </row>
    <row r="11790" spans="1:1">
      <c r="A11790" s="1"/>
    </row>
    <row r="11791" spans="1:1">
      <c r="A11791" s="1"/>
    </row>
    <row r="11792" spans="1:1">
      <c r="A11792" s="1"/>
    </row>
    <row r="11793" spans="1:1">
      <c r="A11793" s="1"/>
    </row>
    <row r="11794" spans="1:1">
      <c r="A11794" s="1"/>
    </row>
    <row r="11795" spans="1:1">
      <c r="A11795" s="1"/>
    </row>
    <row r="11796" spans="1:1">
      <c r="A11796" s="1"/>
    </row>
    <row r="11797" spans="1:1">
      <c r="A11797" s="1"/>
    </row>
    <row r="11798" spans="1:1">
      <c r="A11798" s="1"/>
    </row>
    <row r="11799" spans="1:1">
      <c r="A11799" s="1"/>
    </row>
    <row r="11800" spans="1:1">
      <c r="A11800" s="1"/>
    </row>
    <row r="11801" spans="1:1">
      <c r="A11801" s="1"/>
    </row>
    <row r="11802" spans="1:1">
      <c r="A11802" s="1"/>
    </row>
    <row r="11803" spans="1:1">
      <c r="A11803" s="1"/>
    </row>
    <row r="11804" spans="1:1">
      <c r="A11804" s="1"/>
    </row>
    <row r="11805" spans="1:1">
      <c r="A11805" s="1"/>
    </row>
    <row r="11806" spans="1:1">
      <c r="A11806" s="1"/>
    </row>
    <row r="11807" spans="1:1">
      <c r="A11807" s="1"/>
    </row>
    <row r="11808" spans="1:1">
      <c r="A11808" s="1"/>
    </row>
    <row r="11809" spans="1:1">
      <c r="A11809" s="1"/>
    </row>
    <row r="11810" spans="1:1">
      <c r="A11810" s="1"/>
    </row>
    <row r="11811" spans="1:1">
      <c r="A11811" s="1"/>
    </row>
    <row r="11812" spans="1:1">
      <c r="A11812" s="1"/>
    </row>
    <row r="11813" spans="1:1">
      <c r="A11813" s="1"/>
    </row>
    <row r="11814" spans="1:1">
      <c r="A11814" s="1"/>
    </row>
    <row r="11815" spans="1:1">
      <c r="A11815" s="1"/>
    </row>
    <row r="11816" spans="1:1">
      <c r="A11816" s="1"/>
    </row>
    <row r="11817" spans="1:1">
      <c r="A11817" s="1"/>
    </row>
    <row r="11818" spans="1:1">
      <c r="A11818" s="1"/>
    </row>
    <row r="11819" spans="1:1">
      <c r="A11819" s="1"/>
    </row>
    <row r="11820" spans="1:1">
      <c r="A11820" s="1"/>
    </row>
    <row r="11821" spans="1:1">
      <c r="A11821" s="1"/>
    </row>
    <row r="11822" spans="1:1">
      <c r="A11822" s="1"/>
    </row>
    <row r="11823" spans="1:1">
      <c r="A11823" s="1"/>
    </row>
    <row r="11824" spans="1:1">
      <c r="A11824" s="1"/>
    </row>
    <row r="11825" spans="1:1">
      <c r="A11825" s="1"/>
    </row>
    <row r="11826" spans="1:1">
      <c r="A11826" s="1"/>
    </row>
    <row r="11827" spans="1:1">
      <c r="A11827" s="1"/>
    </row>
    <row r="11828" spans="1:1">
      <c r="A11828" s="1"/>
    </row>
    <row r="11829" spans="1:1">
      <c r="A11829" s="1"/>
    </row>
    <row r="11830" spans="1:1">
      <c r="A11830" s="1"/>
    </row>
    <row r="11831" spans="1:1">
      <c r="A11831" s="1"/>
    </row>
    <row r="11832" spans="1:1">
      <c r="A11832" s="1"/>
    </row>
    <row r="11833" spans="1:1">
      <c r="A11833" s="1"/>
    </row>
    <row r="11834" spans="1:1">
      <c r="A11834" s="1"/>
    </row>
    <row r="11835" spans="1:1">
      <c r="A11835" s="1"/>
    </row>
    <row r="11836" spans="1:1">
      <c r="A11836" s="1"/>
    </row>
    <row r="11837" spans="1:1">
      <c r="A11837" s="1"/>
    </row>
    <row r="11838" spans="1:1">
      <c r="A11838" s="1"/>
    </row>
    <row r="11839" spans="1:1">
      <c r="A11839" s="1"/>
    </row>
    <row r="11840" spans="1:1">
      <c r="A11840" s="1"/>
    </row>
    <row r="11841" spans="1:1">
      <c r="A11841" s="1"/>
    </row>
    <row r="11842" spans="1:1">
      <c r="A11842" s="1"/>
    </row>
    <row r="11843" spans="1:1">
      <c r="A11843" s="1"/>
    </row>
    <row r="11844" spans="1:1">
      <c r="A11844" s="1"/>
    </row>
    <row r="11845" spans="1:1">
      <c r="A11845" s="1"/>
    </row>
    <row r="11846" spans="1:1">
      <c r="A11846" s="1"/>
    </row>
    <row r="11847" spans="1:1">
      <c r="A11847" s="1"/>
    </row>
    <row r="11848" spans="1:1">
      <c r="A11848" s="1"/>
    </row>
    <row r="11849" spans="1:1">
      <c r="A11849" s="1"/>
    </row>
    <row r="11850" spans="1:1">
      <c r="A11850" s="1"/>
    </row>
    <row r="11851" spans="1:1">
      <c r="A11851" s="1"/>
    </row>
    <row r="11852" spans="1:1">
      <c r="A11852" s="1"/>
    </row>
    <row r="11853" spans="1:1">
      <c r="A11853" s="1"/>
    </row>
    <row r="11854" spans="1:1">
      <c r="A11854" s="1"/>
    </row>
    <row r="11855" spans="1:1">
      <c r="A11855" s="1"/>
    </row>
    <row r="11856" spans="1:1">
      <c r="A11856" s="1"/>
    </row>
    <row r="11857" spans="1:1">
      <c r="A11857" s="1"/>
    </row>
    <row r="11858" spans="1:1">
      <c r="A11858" s="1"/>
    </row>
    <row r="11859" spans="1:1">
      <c r="A11859" s="1"/>
    </row>
    <row r="11860" spans="1:1">
      <c r="A11860" s="1"/>
    </row>
    <row r="11861" spans="1:1">
      <c r="A11861" s="1"/>
    </row>
    <row r="11862" spans="1:1">
      <c r="A11862" s="1"/>
    </row>
    <row r="11863" spans="1:1">
      <c r="A11863" s="1"/>
    </row>
    <row r="11864" spans="1:1">
      <c r="A11864" s="1"/>
    </row>
    <row r="11865" spans="1:1">
      <c r="A11865" s="1"/>
    </row>
    <row r="11866" spans="1:1">
      <c r="A11866" s="1"/>
    </row>
    <row r="11867" spans="1:1">
      <c r="A11867" s="1"/>
    </row>
    <row r="11868" spans="1:1">
      <c r="A11868" s="1"/>
    </row>
    <row r="11869" spans="1:1">
      <c r="A11869" s="1"/>
    </row>
    <row r="11870" spans="1:1">
      <c r="A11870" s="1"/>
    </row>
    <row r="11871" spans="1:1">
      <c r="A11871" s="1"/>
    </row>
    <row r="11872" spans="1:1">
      <c r="A11872" s="1"/>
    </row>
    <row r="11873" spans="1:1">
      <c r="A11873" s="1"/>
    </row>
    <row r="11874" spans="1:1">
      <c r="A11874" s="1"/>
    </row>
    <row r="11875" spans="1:1">
      <c r="A11875" s="1"/>
    </row>
    <row r="11876" spans="1:1">
      <c r="A11876" s="1"/>
    </row>
    <row r="11877" spans="1:1">
      <c r="A11877" s="1"/>
    </row>
    <row r="11878" spans="1:1">
      <c r="A11878" s="1"/>
    </row>
    <row r="11879" spans="1:1">
      <c r="A11879" s="1"/>
    </row>
    <row r="11880" spans="1:1">
      <c r="A11880" s="1"/>
    </row>
    <row r="11881" spans="1:1">
      <c r="A11881" s="1"/>
    </row>
    <row r="11882" spans="1:1">
      <c r="A11882" s="1"/>
    </row>
    <row r="11883" spans="1:1">
      <c r="A11883" s="1"/>
    </row>
    <row r="11884" spans="1:1">
      <c r="A11884" s="1"/>
    </row>
    <row r="11885" spans="1:1">
      <c r="A11885" s="1"/>
    </row>
    <row r="11886" spans="1:1">
      <c r="A11886" s="1"/>
    </row>
    <row r="11887" spans="1:1">
      <c r="A11887" s="1"/>
    </row>
    <row r="11888" spans="1:1">
      <c r="A11888" s="1"/>
    </row>
    <row r="11889" spans="1:1">
      <c r="A11889" s="1"/>
    </row>
    <row r="11890" spans="1:1">
      <c r="A11890" s="1"/>
    </row>
    <row r="11891" spans="1:1">
      <c r="A11891" s="1"/>
    </row>
    <row r="11892" spans="1:1">
      <c r="A11892" s="1"/>
    </row>
    <row r="11893" spans="1:1">
      <c r="A11893" s="1"/>
    </row>
    <row r="11894" spans="1:1">
      <c r="A11894" s="1"/>
    </row>
    <row r="11895" spans="1:1">
      <c r="A11895" s="1"/>
    </row>
    <row r="11896" spans="1:1">
      <c r="A11896" s="1"/>
    </row>
    <row r="11897" spans="1:1">
      <c r="A11897" s="1"/>
    </row>
    <row r="11898" spans="1:1">
      <c r="A11898" s="1"/>
    </row>
    <row r="11899" spans="1:1">
      <c r="A11899" s="1"/>
    </row>
    <row r="11900" spans="1:1">
      <c r="A11900" s="1"/>
    </row>
    <row r="11901" spans="1:1">
      <c r="A11901" s="1"/>
    </row>
    <row r="11902" spans="1:1">
      <c r="A11902" s="1"/>
    </row>
    <row r="11903" spans="1:1">
      <c r="A11903" s="1"/>
    </row>
    <row r="11904" spans="1:1">
      <c r="A11904" s="1"/>
    </row>
    <row r="11905" spans="1:1">
      <c r="A11905" s="1"/>
    </row>
    <row r="11906" spans="1:1">
      <c r="A11906" s="1"/>
    </row>
    <row r="11907" spans="1:1">
      <c r="A11907" s="1"/>
    </row>
    <row r="11908" spans="1:1">
      <c r="A11908" s="1"/>
    </row>
    <row r="11909" spans="1:1">
      <c r="A11909" s="1"/>
    </row>
    <row r="11910" spans="1:1">
      <c r="A11910" s="1"/>
    </row>
    <row r="11911" spans="1:1">
      <c r="A11911" s="1"/>
    </row>
    <row r="11912" spans="1:1">
      <c r="A11912" s="1"/>
    </row>
    <row r="11913" spans="1:1">
      <c r="A11913" s="1"/>
    </row>
    <row r="11914" spans="1:1">
      <c r="A11914" s="1"/>
    </row>
    <row r="11915" spans="1:1">
      <c r="A11915" s="1"/>
    </row>
    <row r="11916" spans="1:1">
      <c r="A11916" s="1"/>
    </row>
    <row r="11917" spans="1:1">
      <c r="A11917" s="1"/>
    </row>
    <row r="11918" spans="1:1">
      <c r="A11918" s="1"/>
    </row>
    <row r="11919" spans="1:1">
      <c r="A11919" s="1"/>
    </row>
    <row r="11920" spans="1:1">
      <c r="A11920" s="1"/>
    </row>
    <row r="11921" spans="1:1">
      <c r="A11921" s="1"/>
    </row>
    <row r="11922" spans="1:1">
      <c r="A11922" s="1"/>
    </row>
    <row r="11923" spans="1:1">
      <c r="A11923" s="1"/>
    </row>
    <row r="11924" spans="1:1">
      <c r="A11924" s="1"/>
    </row>
    <row r="11925" spans="1:1">
      <c r="A11925" s="1"/>
    </row>
    <row r="11926" spans="1:1">
      <c r="A11926" s="1"/>
    </row>
    <row r="11927" spans="1:1">
      <c r="A11927" s="1"/>
    </row>
    <row r="11928" spans="1:1">
      <c r="A11928" s="1"/>
    </row>
    <row r="11929" spans="1:1">
      <c r="A11929" s="1"/>
    </row>
    <row r="11930" spans="1:1">
      <c r="A11930" s="1"/>
    </row>
    <row r="11931" spans="1:1">
      <c r="A11931" s="1"/>
    </row>
    <row r="11932" spans="1:1">
      <c r="A11932" s="1"/>
    </row>
    <row r="11933" spans="1:1">
      <c r="A11933" s="1"/>
    </row>
    <row r="11934" spans="1:1">
      <c r="A11934" s="1"/>
    </row>
    <row r="11935" spans="1:1">
      <c r="A11935" s="1"/>
    </row>
    <row r="11936" spans="1:1">
      <c r="A11936" s="1"/>
    </row>
    <row r="11937" spans="1:1">
      <c r="A11937" s="1"/>
    </row>
    <row r="11938" spans="1:1">
      <c r="A11938" s="1"/>
    </row>
    <row r="11939" spans="1:1">
      <c r="A11939" s="1"/>
    </row>
    <row r="11940" spans="1:1">
      <c r="A11940" s="1"/>
    </row>
    <row r="11941" spans="1:1">
      <c r="A11941" s="1"/>
    </row>
    <row r="11942" spans="1:1">
      <c r="A11942" s="1"/>
    </row>
    <row r="11943" spans="1:1">
      <c r="A11943" s="1"/>
    </row>
    <row r="11944" spans="1:1">
      <c r="A11944" s="1"/>
    </row>
    <row r="11945" spans="1:1">
      <c r="A11945" s="1"/>
    </row>
    <row r="11946" spans="1:1">
      <c r="A11946" s="1"/>
    </row>
    <row r="11947" spans="1:1">
      <c r="A11947" s="1"/>
    </row>
    <row r="11948" spans="1:1">
      <c r="A11948" s="1"/>
    </row>
    <row r="11949" spans="1:1">
      <c r="A11949" s="1"/>
    </row>
    <row r="11950" spans="1:1">
      <c r="A11950" s="1"/>
    </row>
    <row r="11951" spans="1:1">
      <c r="A11951" s="1"/>
    </row>
    <row r="11952" spans="1:1">
      <c r="A11952" s="1"/>
    </row>
    <row r="11953" spans="1:1">
      <c r="A11953" s="1"/>
    </row>
    <row r="11954" spans="1:1">
      <c r="A11954" s="1"/>
    </row>
    <row r="11955" spans="1:1">
      <c r="A11955" s="1"/>
    </row>
    <row r="11956" spans="1:1">
      <c r="A11956" s="1"/>
    </row>
    <row r="11957" spans="1:1">
      <c r="A11957" s="1"/>
    </row>
    <row r="11958" spans="1:1">
      <c r="A11958" s="1"/>
    </row>
    <row r="11959" spans="1:1">
      <c r="A11959" s="1"/>
    </row>
    <row r="11960" spans="1:1">
      <c r="A11960" s="1"/>
    </row>
    <row r="11961" spans="1:1">
      <c r="A11961" s="1"/>
    </row>
    <row r="11962" spans="1:1">
      <c r="A11962" s="1"/>
    </row>
    <row r="11963" spans="1:1">
      <c r="A11963" s="1"/>
    </row>
    <row r="11964" spans="1:1">
      <c r="A11964" s="1"/>
    </row>
    <row r="11965" spans="1:1">
      <c r="A11965" s="1"/>
    </row>
    <row r="11966" spans="1:1">
      <c r="A11966" s="1"/>
    </row>
    <row r="11967" spans="1:1">
      <c r="A11967" s="1"/>
    </row>
    <row r="11968" spans="1:1">
      <c r="A11968" s="1"/>
    </row>
    <row r="11969" spans="1:1">
      <c r="A11969" s="1"/>
    </row>
    <row r="11970" spans="1:1">
      <c r="A11970" s="1"/>
    </row>
    <row r="11971" spans="1:1">
      <c r="A11971" s="1"/>
    </row>
    <row r="11972" spans="1:1">
      <c r="A11972" s="1"/>
    </row>
    <row r="11973" spans="1:1">
      <c r="A11973" s="1"/>
    </row>
    <row r="11974" spans="1:1">
      <c r="A11974" s="1"/>
    </row>
    <row r="11975" spans="1:1">
      <c r="A11975" s="1"/>
    </row>
    <row r="11976" spans="1:1">
      <c r="A11976" s="1"/>
    </row>
    <row r="11977" spans="1:1">
      <c r="A11977" s="1"/>
    </row>
    <row r="11978" spans="1:1">
      <c r="A11978" s="1"/>
    </row>
    <row r="11979" spans="1:1">
      <c r="A11979" s="1"/>
    </row>
    <row r="11980" spans="1:1">
      <c r="A11980" s="1"/>
    </row>
    <row r="11981" spans="1:1">
      <c r="A11981" s="1"/>
    </row>
    <row r="11982" spans="1:1">
      <c r="A11982" s="1"/>
    </row>
    <row r="11983" spans="1:1">
      <c r="A11983" s="1"/>
    </row>
    <row r="11984" spans="1:1">
      <c r="A11984" s="1"/>
    </row>
    <row r="11985" spans="1:1">
      <c r="A11985" s="1"/>
    </row>
    <row r="11986" spans="1:1">
      <c r="A11986" s="1"/>
    </row>
    <row r="11987" spans="1:1">
      <c r="A11987" s="1"/>
    </row>
    <row r="11988" spans="1:1">
      <c r="A11988" s="1"/>
    </row>
    <row r="11989" spans="1:1">
      <c r="A11989" s="1"/>
    </row>
    <row r="11990" spans="1:1">
      <c r="A11990" s="1"/>
    </row>
    <row r="11991" spans="1:1">
      <c r="A11991" s="1"/>
    </row>
    <row r="11992" spans="1:1">
      <c r="A11992" s="1"/>
    </row>
    <row r="11993" spans="1:1">
      <c r="A11993" s="1"/>
    </row>
    <row r="11994" spans="1:1">
      <c r="A11994" s="1"/>
    </row>
    <row r="11995" spans="1:1">
      <c r="A11995" s="1"/>
    </row>
    <row r="11996" spans="1:1">
      <c r="A11996" s="1"/>
    </row>
    <row r="11997" spans="1:1">
      <c r="A11997" s="1"/>
    </row>
    <row r="11998" spans="1:1">
      <c r="A11998" s="1"/>
    </row>
    <row r="11999" spans="1:1">
      <c r="A11999" s="1"/>
    </row>
    <row r="12000" spans="1:1">
      <c r="A12000" s="1"/>
    </row>
    <row r="12001" spans="1:1">
      <c r="A12001" s="1"/>
    </row>
    <row r="12002" spans="1:1">
      <c r="A12002" s="1"/>
    </row>
    <row r="12003" spans="1:1">
      <c r="A12003" s="1"/>
    </row>
    <row r="12004" spans="1:1">
      <c r="A12004" s="1"/>
    </row>
    <row r="12005" spans="1:1">
      <c r="A12005" s="1"/>
    </row>
    <row r="12006" spans="1:1">
      <c r="A12006" s="1"/>
    </row>
    <row r="12007" spans="1:1">
      <c r="A12007" s="1"/>
    </row>
    <row r="12008" spans="1:1">
      <c r="A12008" s="1"/>
    </row>
    <row r="12009" spans="1:1">
      <c r="A12009" s="1"/>
    </row>
    <row r="12010" spans="1:1">
      <c r="A12010" s="1"/>
    </row>
    <row r="12011" spans="1:1">
      <c r="A12011" s="1"/>
    </row>
    <row r="12012" spans="1:1">
      <c r="A12012" s="1"/>
    </row>
    <row r="12013" spans="1:1">
      <c r="A12013" s="1"/>
    </row>
    <row r="12014" spans="1:1">
      <c r="A12014" s="1"/>
    </row>
    <row r="12015" spans="1:1">
      <c r="A12015" s="1"/>
    </row>
    <row r="12016" spans="1:1">
      <c r="A12016" s="1"/>
    </row>
    <row r="12017" spans="1:1">
      <c r="A12017" s="1"/>
    </row>
    <row r="12018" spans="1:1">
      <c r="A12018" s="1"/>
    </row>
    <row r="12019" spans="1:1">
      <c r="A12019" s="1"/>
    </row>
    <row r="12020" spans="1:1">
      <c r="A12020" s="1"/>
    </row>
    <row r="12021" spans="1:1">
      <c r="A12021" s="1"/>
    </row>
    <row r="12022" spans="1:1">
      <c r="A12022" s="1"/>
    </row>
    <row r="12023" spans="1:1">
      <c r="A12023" s="1"/>
    </row>
    <row r="12024" spans="1:1">
      <c r="A12024" s="1"/>
    </row>
    <row r="12025" spans="1:1">
      <c r="A12025" s="1"/>
    </row>
    <row r="12026" spans="1:1">
      <c r="A12026" s="1"/>
    </row>
    <row r="12027" spans="1:1">
      <c r="A12027" s="1"/>
    </row>
    <row r="12028" spans="1:1">
      <c r="A12028" s="1"/>
    </row>
    <row r="12029" spans="1:1">
      <c r="A12029" s="1"/>
    </row>
    <row r="12030" spans="1:1">
      <c r="A12030" s="1"/>
    </row>
    <row r="12031" spans="1:1">
      <c r="A12031" s="1"/>
    </row>
    <row r="12032" spans="1:1">
      <c r="A12032" s="1"/>
    </row>
    <row r="12033" spans="1:1">
      <c r="A12033" s="1"/>
    </row>
    <row r="12034" spans="1:1">
      <c r="A12034" s="1"/>
    </row>
    <row r="12035" spans="1:1">
      <c r="A12035" s="1"/>
    </row>
    <row r="12036" spans="1:1">
      <c r="A12036" s="1"/>
    </row>
    <row r="12037" spans="1:1">
      <c r="A12037" s="1"/>
    </row>
    <row r="12038" spans="1:1">
      <c r="A12038" s="1"/>
    </row>
    <row r="12039" spans="1:1">
      <c r="A12039" s="1"/>
    </row>
    <row r="12040" spans="1:1">
      <c r="A12040" s="1"/>
    </row>
    <row r="12041" spans="1:1">
      <c r="A12041" s="1"/>
    </row>
    <row r="12042" spans="1:1">
      <c r="A12042" s="1"/>
    </row>
    <row r="12043" spans="1:1">
      <c r="A12043" s="1"/>
    </row>
    <row r="12044" spans="1:1">
      <c r="A12044" s="1"/>
    </row>
    <row r="12045" spans="1:1">
      <c r="A12045" s="1"/>
    </row>
    <row r="12046" spans="1:1">
      <c r="A12046" s="1"/>
    </row>
    <row r="12047" spans="1:1">
      <c r="A12047" s="1"/>
    </row>
    <row r="12048" spans="1:1">
      <c r="A12048" s="1"/>
    </row>
    <row r="12049" spans="1:1">
      <c r="A12049" s="1"/>
    </row>
    <row r="12050" spans="1:1">
      <c r="A12050" s="1"/>
    </row>
    <row r="12051" spans="1:1">
      <c r="A12051" s="1"/>
    </row>
    <row r="12052" spans="1:1">
      <c r="A12052" s="1"/>
    </row>
    <row r="12053" spans="1:1">
      <c r="A12053" s="1"/>
    </row>
    <row r="12054" spans="1:1">
      <c r="A12054" s="1"/>
    </row>
    <row r="12055" spans="1:1">
      <c r="A12055" s="1"/>
    </row>
    <row r="12056" spans="1:1">
      <c r="A12056" s="1"/>
    </row>
    <row r="12057" spans="1:1">
      <c r="A12057" s="1"/>
    </row>
    <row r="12058" spans="1:1">
      <c r="A12058" s="1"/>
    </row>
    <row r="12059" spans="1:1">
      <c r="A12059" s="1"/>
    </row>
    <row r="12060" spans="1:1">
      <c r="A12060" s="1"/>
    </row>
    <row r="12061" spans="1:1">
      <c r="A12061" s="1"/>
    </row>
    <row r="12062" spans="1:1">
      <c r="A12062" s="1"/>
    </row>
    <row r="12063" spans="1:1">
      <c r="A12063" s="1"/>
    </row>
    <row r="12064" spans="1:1">
      <c r="A12064" s="1"/>
    </row>
    <row r="12065" spans="1:1">
      <c r="A12065" s="1"/>
    </row>
    <row r="12066" spans="1:1">
      <c r="A12066" s="1"/>
    </row>
    <row r="12067" spans="1:1">
      <c r="A12067" s="1"/>
    </row>
    <row r="12068" spans="1:1">
      <c r="A12068" s="1"/>
    </row>
    <row r="12069" spans="1:1">
      <c r="A12069" s="1"/>
    </row>
    <row r="12070" spans="1:1">
      <c r="A12070" s="1"/>
    </row>
    <row r="12071" spans="1:1">
      <c r="A12071" s="1"/>
    </row>
    <row r="12072" spans="1:1">
      <c r="A12072" s="1"/>
    </row>
    <row r="12073" spans="1:1">
      <c r="A12073" s="1"/>
    </row>
    <row r="12074" spans="1:1">
      <c r="A12074" s="1"/>
    </row>
    <row r="12075" spans="1:1">
      <c r="A12075" s="1"/>
    </row>
    <row r="12076" spans="1:1">
      <c r="A12076" s="1"/>
    </row>
    <row r="12077" spans="1:1">
      <c r="A12077" s="1"/>
    </row>
    <row r="12078" spans="1:1">
      <c r="A12078" s="1"/>
    </row>
    <row r="12079" spans="1:1">
      <c r="A12079" s="1"/>
    </row>
    <row r="12080" spans="1:1">
      <c r="A12080" s="1"/>
    </row>
    <row r="12081" spans="1:1">
      <c r="A12081" s="1"/>
    </row>
    <row r="12082" spans="1:1">
      <c r="A12082" s="1"/>
    </row>
    <row r="12083" spans="1:1">
      <c r="A12083" s="1"/>
    </row>
    <row r="12084" spans="1:1">
      <c r="A12084" s="1"/>
    </row>
    <row r="12085" spans="1:1">
      <c r="A12085" s="1"/>
    </row>
    <row r="12086" spans="1:1">
      <c r="A12086" s="1"/>
    </row>
    <row r="12087" spans="1:1">
      <c r="A12087" s="1"/>
    </row>
    <row r="12088" spans="1:1">
      <c r="A12088" s="1"/>
    </row>
    <row r="12089" spans="1:1">
      <c r="A12089" s="1"/>
    </row>
    <row r="12090" spans="1:1">
      <c r="A12090" s="1"/>
    </row>
    <row r="12091" spans="1:1">
      <c r="A12091" s="1"/>
    </row>
    <row r="12092" spans="1:1">
      <c r="A12092" s="1"/>
    </row>
    <row r="12093" spans="1:1">
      <c r="A12093" s="1"/>
    </row>
    <row r="12094" spans="1:1">
      <c r="A12094" s="1"/>
    </row>
    <row r="12095" spans="1:1">
      <c r="A12095" s="1"/>
    </row>
    <row r="12096" spans="1:1">
      <c r="A12096" s="1"/>
    </row>
    <row r="12097" spans="1:1">
      <c r="A12097" s="1"/>
    </row>
    <row r="12098" spans="1:1">
      <c r="A12098" s="1"/>
    </row>
    <row r="12099" spans="1:1">
      <c r="A12099" s="1"/>
    </row>
    <row r="12100" spans="1:1">
      <c r="A12100" s="1"/>
    </row>
    <row r="12101" spans="1:1">
      <c r="A12101" s="1"/>
    </row>
    <row r="12102" spans="1:1">
      <c r="A12102" s="1"/>
    </row>
    <row r="12103" spans="1:1">
      <c r="A12103" s="1"/>
    </row>
    <row r="12104" spans="1:1">
      <c r="A12104" s="1"/>
    </row>
    <row r="12105" spans="1:1">
      <c r="A12105" s="1"/>
    </row>
    <row r="12106" spans="1:1">
      <c r="A12106" s="1"/>
    </row>
    <row r="12107" spans="1:1">
      <c r="A12107" s="1"/>
    </row>
    <row r="12108" spans="1:1">
      <c r="A12108" s="1"/>
    </row>
    <row r="12109" spans="1:1">
      <c r="A12109" s="1"/>
    </row>
    <row r="12110" spans="1:1">
      <c r="A12110" s="1"/>
    </row>
    <row r="12111" spans="1:1">
      <c r="A12111" s="1"/>
    </row>
    <row r="12112" spans="1:1">
      <c r="A12112" s="1"/>
    </row>
    <row r="12113" spans="1:1">
      <c r="A12113" s="1"/>
    </row>
    <row r="12114" spans="1:1">
      <c r="A12114" s="1"/>
    </row>
    <row r="12115" spans="1:1">
      <c r="A12115" s="1"/>
    </row>
    <row r="12116" spans="1:1">
      <c r="A12116" s="1"/>
    </row>
    <row r="12117" spans="1:1">
      <c r="A12117" s="1"/>
    </row>
    <row r="12118" spans="1:1">
      <c r="A12118" s="1"/>
    </row>
    <row r="12119" spans="1:1">
      <c r="A12119" s="1"/>
    </row>
    <row r="12120" spans="1:1">
      <c r="A12120" s="1"/>
    </row>
    <row r="12121" spans="1:1">
      <c r="A12121" s="1"/>
    </row>
    <row r="12122" spans="1:1">
      <c r="A12122" s="1"/>
    </row>
    <row r="12123" spans="1:1">
      <c r="A12123" s="1"/>
    </row>
    <row r="12124" spans="1:1">
      <c r="A12124" s="1"/>
    </row>
    <row r="12125" spans="1:1">
      <c r="A12125" s="1"/>
    </row>
    <row r="12126" spans="1:1">
      <c r="A12126" s="1"/>
    </row>
    <row r="12127" spans="1:1">
      <c r="A12127" s="1"/>
    </row>
    <row r="12128" spans="1:1">
      <c r="A12128" s="1"/>
    </row>
    <row r="12129" spans="1:1">
      <c r="A12129" s="1"/>
    </row>
    <row r="12130" spans="1:1">
      <c r="A12130" s="1"/>
    </row>
    <row r="12131" spans="1:1">
      <c r="A12131" s="1"/>
    </row>
    <row r="12132" spans="1:1">
      <c r="A12132" s="1"/>
    </row>
    <row r="12133" spans="1:1">
      <c r="A12133" s="1"/>
    </row>
    <row r="12134" spans="1:1">
      <c r="A12134" s="1"/>
    </row>
    <row r="12135" spans="1:1">
      <c r="A12135" s="1"/>
    </row>
    <row r="12136" spans="1:1">
      <c r="A12136" s="1"/>
    </row>
    <row r="12137" spans="1:1">
      <c r="A12137" s="1"/>
    </row>
    <row r="12138" spans="1:1">
      <c r="A12138" s="1"/>
    </row>
    <row r="12139" spans="1:1">
      <c r="A12139" s="1"/>
    </row>
    <row r="12140" spans="1:1">
      <c r="A12140" s="1"/>
    </row>
    <row r="12141" spans="1:1">
      <c r="A12141" s="1"/>
    </row>
    <row r="12142" spans="1:1">
      <c r="A12142" s="1"/>
    </row>
    <row r="12143" spans="1:1">
      <c r="A12143" s="1"/>
    </row>
    <row r="12144" spans="1:1">
      <c r="A12144" s="1"/>
    </row>
    <row r="12145" spans="1:1">
      <c r="A12145" s="1"/>
    </row>
    <row r="12146" spans="1:1">
      <c r="A12146" s="1"/>
    </row>
    <row r="12147" spans="1:1">
      <c r="A12147" s="1"/>
    </row>
    <row r="12148" spans="1:1">
      <c r="A12148" s="1"/>
    </row>
    <row r="12149" spans="1:1">
      <c r="A12149" s="1"/>
    </row>
    <row r="12150" spans="1:1">
      <c r="A12150" s="1"/>
    </row>
    <row r="12151" spans="1:1">
      <c r="A12151" s="1"/>
    </row>
    <row r="12152" spans="1:1">
      <c r="A12152" s="1"/>
    </row>
    <row r="12153" spans="1:1">
      <c r="A12153" s="1"/>
    </row>
    <row r="12154" spans="1:1">
      <c r="A12154" s="1"/>
    </row>
    <row r="12155" spans="1:1">
      <c r="A12155" s="1"/>
    </row>
    <row r="12156" spans="1:1">
      <c r="A12156" s="1"/>
    </row>
    <row r="12157" spans="1:1">
      <c r="A12157" s="1"/>
    </row>
    <row r="12158" spans="1:1">
      <c r="A12158" s="1"/>
    </row>
    <row r="12159" spans="1:1">
      <c r="A12159" s="1"/>
    </row>
    <row r="12160" spans="1:1">
      <c r="A12160" s="1"/>
    </row>
    <row r="12161" spans="1:1">
      <c r="A12161" s="1"/>
    </row>
    <row r="12162" spans="1:1">
      <c r="A12162" s="1"/>
    </row>
    <row r="12163" spans="1:1">
      <c r="A12163" s="1"/>
    </row>
    <row r="12164" spans="1:1">
      <c r="A12164" s="1"/>
    </row>
    <row r="12165" spans="1:1">
      <c r="A12165" s="1"/>
    </row>
    <row r="12166" spans="1:1">
      <c r="A12166" s="1"/>
    </row>
    <row r="12167" spans="1:1">
      <c r="A12167" s="1"/>
    </row>
    <row r="12168" spans="1:1">
      <c r="A12168" s="1"/>
    </row>
    <row r="12169" spans="1:1">
      <c r="A12169" s="1"/>
    </row>
    <row r="12170" spans="1:1">
      <c r="A12170" s="1"/>
    </row>
    <row r="12171" spans="1:1">
      <c r="A12171" s="1"/>
    </row>
    <row r="12172" spans="1:1">
      <c r="A12172" s="1"/>
    </row>
    <row r="12173" spans="1:1">
      <c r="A12173" s="1"/>
    </row>
    <row r="12174" spans="1:1">
      <c r="A12174" s="1"/>
    </row>
    <row r="12175" spans="1:1">
      <c r="A12175" s="1"/>
    </row>
    <row r="12176" spans="1:1">
      <c r="A12176" s="1"/>
    </row>
    <row r="12177" spans="1:1">
      <c r="A12177" s="1"/>
    </row>
    <row r="12178" spans="1:1">
      <c r="A12178" s="1"/>
    </row>
    <row r="12179" spans="1:1">
      <c r="A12179" s="1"/>
    </row>
    <row r="12180" spans="1:1">
      <c r="A12180" s="1"/>
    </row>
    <row r="12181" spans="1:1">
      <c r="A12181" s="1"/>
    </row>
    <row r="12182" spans="1:1">
      <c r="A12182" s="1"/>
    </row>
    <row r="12183" spans="1:1">
      <c r="A12183" s="1"/>
    </row>
    <row r="12184" spans="1:1">
      <c r="A12184" s="1"/>
    </row>
    <row r="12185" spans="1:1">
      <c r="A12185" s="1"/>
    </row>
    <row r="12186" spans="1:1">
      <c r="A12186" s="1"/>
    </row>
    <row r="12187" spans="1:1">
      <c r="A12187" s="1"/>
    </row>
    <row r="12188" spans="1:1">
      <c r="A12188" s="1"/>
    </row>
    <row r="12189" spans="1:1">
      <c r="A12189" s="1"/>
    </row>
    <row r="12190" spans="1:1">
      <c r="A12190" s="1"/>
    </row>
    <row r="12191" spans="1:1">
      <c r="A12191" s="1"/>
    </row>
    <row r="12192" spans="1:1">
      <c r="A12192" s="1"/>
    </row>
    <row r="12193" spans="1:1">
      <c r="A12193" s="1"/>
    </row>
    <row r="12194" spans="1:1">
      <c r="A12194" s="1"/>
    </row>
    <row r="12195" spans="1:1">
      <c r="A12195" s="1"/>
    </row>
    <row r="12196" spans="1:1">
      <c r="A12196" s="1"/>
    </row>
    <row r="12197" spans="1:1">
      <c r="A12197" s="1"/>
    </row>
    <row r="12198" spans="1:1">
      <c r="A12198" s="1"/>
    </row>
    <row r="12199" spans="1:1">
      <c r="A12199" s="1"/>
    </row>
    <row r="12200" spans="1:1">
      <c r="A12200" s="1"/>
    </row>
    <row r="12201" spans="1:1">
      <c r="A12201" s="1"/>
    </row>
    <row r="12202" spans="1:1">
      <c r="A12202" s="1"/>
    </row>
    <row r="12203" spans="1:1">
      <c r="A12203" s="1"/>
    </row>
    <row r="12204" spans="1:1">
      <c r="A12204" s="1"/>
    </row>
    <row r="12205" spans="1:1">
      <c r="A12205" s="1"/>
    </row>
    <row r="12206" spans="1:1">
      <c r="A12206" s="1"/>
    </row>
    <row r="12207" spans="1:1">
      <c r="A12207" s="1"/>
    </row>
    <row r="12208" spans="1:1">
      <c r="A12208" s="1"/>
    </row>
    <row r="12209" spans="1:1">
      <c r="A12209" s="1"/>
    </row>
    <row r="12210" spans="1:1">
      <c r="A12210" s="1"/>
    </row>
    <row r="12211" spans="1:1">
      <c r="A12211" s="1"/>
    </row>
    <row r="12212" spans="1:1">
      <c r="A12212" s="1"/>
    </row>
    <row r="12213" spans="1:1">
      <c r="A12213" s="1"/>
    </row>
    <row r="12214" spans="1:1">
      <c r="A12214" s="1"/>
    </row>
    <row r="12215" spans="1:1">
      <c r="A12215" s="1"/>
    </row>
    <row r="12216" spans="1:1">
      <c r="A12216" s="1"/>
    </row>
    <row r="12217" spans="1:1">
      <c r="A12217" s="1"/>
    </row>
    <row r="12218" spans="1:1">
      <c r="A12218" s="1"/>
    </row>
    <row r="12219" spans="1:1">
      <c r="A12219" s="1"/>
    </row>
    <row r="12220" spans="1:1">
      <c r="A12220" s="1"/>
    </row>
    <row r="12221" spans="1:1">
      <c r="A12221" s="1"/>
    </row>
    <row r="12222" spans="1:1">
      <c r="A12222" s="1"/>
    </row>
    <row r="12223" spans="1:1">
      <c r="A12223" s="1"/>
    </row>
    <row r="12224" spans="1:1">
      <c r="A12224" s="1"/>
    </row>
    <row r="12225" spans="1:1">
      <c r="A12225" s="1"/>
    </row>
    <row r="12226" spans="1:1">
      <c r="A12226" s="1"/>
    </row>
    <row r="12227" spans="1:1">
      <c r="A12227" s="1"/>
    </row>
    <row r="12228" spans="1:1">
      <c r="A12228" s="1"/>
    </row>
    <row r="12229" spans="1:1">
      <c r="A12229" s="1"/>
    </row>
    <row r="12230" spans="1:1">
      <c r="A12230" s="1"/>
    </row>
    <row r="12231" spans="1:1">
      <c r="A12231" s="1"/>
    </row>
    <row r="12232" spans="1:1">
      <c r="A12232" s="1"/>
    </row>
    <row r="12233" spans="1:1">
      <c r="A12233" s="1"/>
    </row>
    <row r="12234" spans="1:1">
      <c r="A12234" s="1"/>
    </row>
    <row r="12235" spans="1:1">
      <c r="A12235" s="1"/>
    </row>
    <row r="12236" spans="1:1">
      <c r="A12236" s="1"/>
    </row>
    <row r="12237" spans="1:1">
      <c r="A12237" s="1"/>
    </row>
    <row r="12238" spans="1:1">
      <c r="A12238" s="1"/>
    </row>
    <row r="12239" spans="1:1">
      <c r="A12239" s="1"/>
    </row>
    <row r="12240" spans="1:1">
      <c r="A12240" s="1"/>
    </row>
    <row r="12241" spans="1:1">
      <c r="A12241" s="1"/>
    </row>
    <row r="12242" spans="1:1">
      <c r="A12242" s="1"/>
    </row>
    <row r="12243" spans="1:1">
      <c r="A12243" s="1"/>
    </row>
    <row r="12244" spans="1:1">
      <c r="A12244" s="1"/>
    </row>
    <row r="12245" spans="1:1">
      <c r="A12245" s="1"/>
    </row>
    <row r="12246" spans="1:1">
      <c r="A12246" s="1"/>
    </row>
    <row r="12247" spans="1:1">
      <c r="A12247" s="1"/>
    </row>
    <row r="12248" spans="1:1">
      <c r="A12248" s="1"/>
    </row>
    <row r="12249" spans="1:1">
      <c r="A12249" s="1"/>
    </row>
    <row r="12250" spans="1:1">
      <c r="A12250" s="1"/>
    </row>
    <row r="12251" spans="1:1">
      <c r="A12251" s="1"/>
    </row>
    <row r="12252" spans="1:1">
      <c r="A12252" s="1"/>
    </row>
    <row r="12253" spans="1:1">
      <c r="A12253" s="1"/>
    </row>
    <row r="12254" spans="1:1">
      <c r="A12254" s="1"/>
    </row>
    <row r="12255" spans="1:1">
      <c r="A12255" s="1"/>
    </row>
    <row r="12256" spans="1:1">
      <c r="A12256" s="1"/>
    </row>
    <row r="12257" spans="1:1">
      <c r="A12257" s="1"/>
    </row>
    <row r="12258" spans="1:1">
      <c r="A12258" s="1"/>
    </row>
    <row r="12259" spans="1:1">
      <c r="A12259" s="1"/>
    </row>
    <row r="12260" spans="1:1">
      <c r="A12260" s="1"/>
    </row>
    <row r="12261" spans="1:1">
      <c r="A12261" s="1"/>
    </row>
    <row r="12262" spans="1:1">
      <c r="A12262" s="1"/>
    </row>
    <row r="12263" spans="1:1">
      <c r="A12263" s="1"/>
    </row>
    <row r="12264" spans="1:1">
      <c r="A12264" s="1"/>
    </row>
    <row r="12265" spans="1:1">
      <c r="A12265" s="1"/>
    </row>
    <row r="12266" spans="1:1">
      <c r="A12266" s="1"/>
    </row>
    <row r="12267" spans="1:1">
      <c r="A12267" s="1"/>
    </row>
    <row r="12268" spans="1:1">
      <c r="A12268" s="1"/>
    </row>
    <row r="12269" spans="1:1">
      <c r="A12269" s="1"/>
    </row>
    <row r="12270" spans="1:1">
      <c r="A12270" s="1"/>
    </row>
    <row r="12271" spans="1:1">
      <c r="A12271" s="1"/>
    </row>
    <row r="12272" spans="1:1">
      <c r="A12272" s="1"/>
    </row>
    <row r="12273" spans="1:1">
      <c r="A12273" s="1"/>
    </row>
    <row r="12274" spans="1:1">
      <c r="A12274" s="1"/>
    </row>
    <row r="12275" spans="1:1">
      <c r="A12275" s="1"/>
    </row>
    <row r="12276" spans="1:1">
      <c r="A12276" s="1"/>
    </row>
    <row r="12277" spans="1:1">
      <c r="A12277" s="1"/>
    </row>
    <row r="12278" spans="1:1">
      <c r="A12278" s="1"/>
    </row>
    <row r="12279" spans="1:1">
      <c r="A12279" s="1"/>
    </row>
    <row r="12280" spans="1:1">
      <c r="A12280" s="1"/>
    </row>
    <row r="12281" spans="1:1">
      <c r="A12281" s="1"/>
    </row>
    <row r="12282" spans="1:1">
      <c r="A12282" s="1"/>
    </row>
    <row r="12283" spans="1:1">
      <c r="A12283" s="1"/>
    </row>
    <row r="12284" spans="1:1">
      <c r="A12284" s="1"/>
    </row>
    <row r="12285" spans="1:1">
      <c r="A12285" s="1"/>
    </row>
    <row r="12286" spans="1:1">
      <c r="A12286" s="1"/>
    </row>
    <row r="12287" spans="1:1">
      <c r="A12287" s="1"/>
    </row>
    <row r="12288" spans="1:1">
      <c r="A12288" s="1"/>
    </row>
    <row r="12289" spans="1:1">
      <c r="A12289" s="1"/>
    </row>
    <row r="12290" spans="1:1">
      <c r="A12290" s="1"/>
    </row>
    <row r="12291" spans="1:1">
      <c r="A12291" s="1"/>
    </row>
    <row r="12292" spans="1:1">
      <c r="A12292" s="1"/>
    </row>
    <row r="12293" spans="1:1">
      <c r="A12293" s="1"/>
    </row>
    <row r="12294" spans="1:1">
      <c r="A12294" s="1"/>
    </row>
    <row r="12295" spans="1:1">
      <c r="A12295" s="1"/>
    </row>
    <row r="12296" spans="1:1">
      <c r="A12296" s="1"/>
    </row>
    <row r="12297" spans="1:1">
      <c r="A12297" s="1"/>
    </row>
    <row r="12298" spans="1:1">
      <c r="A12298" s="1"/>
    </row>
    <row r="12299" spans="1:1">
      <c r="A12299" s="1"/>
    </row>
    <row r="12300" spans="1:1">
      <c r="A12300" s="1"/>
    </row>
    <row r="12301" spans="1:1">
      <c r="A12301" s="1"/>
    </row>
    <row r="12302" spans="1:1">
      <c r="A12302" s="1"/>
    </row>
    <row r="12303" spans="1:1">
      <c r="A12303" s="1"/>
    </row>
    <row r="12304" spans="1:1">
      <c r="A12304" s="1"/>
    </row>
    <row r="12305" spans="1:1">
      <c r="A12305" s="1"/>
    </row>
    <row r="12306" spans="1:1">
      <c r="A12306" s="1"/>
    </row>
    <row r="12307" spans="1:1">
      <c r="A12307" s="1"/>
    </row>
    <row r="12308" spans="1:1">
      <c r="A12308" s="1"/>
    </row>
    <row r="12309" spans="1:1">
      <c r="A12309" s="1"/>
    </row>
    <row r="12310" spans="1:1">
      <c r="A12310" s="1"/>
    </row>
    <row r="12311" spans="1:1">
      <c r="A12311" s="1"/>
    </row>
    <row r="12312" spans="1:1">
      <c r="A12312" s="1"/>
    </row>
    <row r="12313" spans="1:1">
      <c r="A12313" s="1"/>
    </row>
    <row r="12314" spans="1:1">
      <c r="A12314" s="1"/>
    </row>
    <row r="12315" spans="1:1">
      <c r="A12315" s="1"/>
    </row>
    <row r="12316" spans="1:1">
      <c r="A12316" s="1"/>
    </row>
    <row r="12317" spans="1:1">
      <c r="A12317" s="1"/>
    </row>
    <row r="12318" spans="1:1">
      <c r="A12318" s="1"/>
    </row>
    <row r="12319" spans="1:1">
      <c r="A12319" s="1"/>
    </row>
    <row r="12320" spans="1:1">
      <c r="A12320" s="1"/>
    </row>
    <row r="12321" spans="1:1">
      <c r="A12321" s="1"/>
    </row>
    <row r="12322" spans="1:1">
      <c r="A12322" s="1"/>
    </row>
    <row r="12323" spans="1:1">
      <c r="A12323" s="1"/>
    </row>
    <row r="12324" spans="1:1">
      <c r="A12324" s="1"/>
    </row>
    <row r="12325" spans="1:1">
      <c r="A12325" s="1"/>
    </row>
    <row r="12326" spans="1:1">
      <c r="A12326" s="1"/>
    </row>
    <row r="12327" spans="1:1">
      <c r="A12327" s="1"/>
    </row>
    <row r="12328" spans="1:1">
      <c r="A12328" s="1"/>
    </row>
    <row r="12329" spans="1:1">
      <c r="A12329" s="1"/>
    </row>
    <row r="12330" spans="1:1">
      <c r="A12330" s="1"/>
    </row>
    <row r="12331" spans="1:1">
      <c r="A12331" s="1"/>
    </row>
    <row r="12332" spans="1:1">
      <c r="A12332" s="1"/>
    </row>
    <row r="12333" spans="1:1">
      <c r="A12333" s="1"/>
    </row>
    <row r="12334" spans="1:1">
      <c r="A12334" s="1"/>
    </row>
    <row r="12335" spans="1:1">
      <c r="A12335" s="1"/>
    </row>
    <row r="12336" spans="1:1">
      <c r="A12336" s="1"/>
    </row>
    <row r="12337" spans="1:1">
      <c r="A12337" s="1"/>
    </row>
    <row r="12338" spans="1:1">
      <c r="A12338" s="1"/>
    </row>
    <row r="12339" spans="1:1">
      <c r="A12339" s="1"/>
    </row>
    <row r="12340" spans="1:1">
      <c r="A12340" s="1"/>
    </row>
    <row r="12341" spans="1:1">
      <c r="A12341" s="1"/>
    </row>
    <row r="12342" spans="1:1">
      <c r="A12342" s="1"/>
    </row>
    <row r="12343" spans="1:1">
      <c r="A12343" s="1"/>
    </row>
    <row r="12344" spans="1:1">
      <c r="A12344" s="1"/>
    </row>
    <row r="12345" spans="1:1">
      <c r="A12345" s="1"/>
    </row>
    <row r="12346" spans="1:1">
      <c r="A12346" s="1"/>
    </row>
    <row r="12347" spans="1:1">
      <c r="A12347" s="1"/>
    </row>
    <row r="12348" spans="1:1">
      <c r="A12348" s="1"/>
    </row>
    <row r="12349" spans="1:1">
      <c r="A12349" s="1"/>
    </row>
    <row r="12350" spans="1:1">
      <c r="A12350" s="1"/>
    </row>
    <row r="12351" spans="1:1">
      <c r="A12351" s="1"/>
    </row>
    <row r="12352" spans="1:1">
      <c r="A12352" s="1"/>
    </row>
    <row r="12353" spans="1:1">
      <c r="A12353" s="1"/>
    </row>
    <row r="12354" spans="1:1">
      <c r="A12354" s="1"/>
    </row>
    <row r="12355" spans="1:1">
      <c r="A12355" s="1"/>
    </row>
    <row r="12356" spans="1:1">
      <c r="A12356" s="1"/>
    </row>
    <row r="12357" spans="1:1">
      <c r="A12357" s="1"/>
    </row>
    <row r="12358" spans="1:1">
      <c r="A12358" s="1"/>
    </row>
    <row r="12359" spans="1:1">
      <c r="A12359" s="1"/>
    </row>
    <row r="12360" spans="1:1">
      <c r="A12360" s="1"/>
    </row>
    <row r="12361" spans="1:1">
      <c r="A12361" s="1"/>
    </row>
    <row r="12362" spans="1:1">
      <c r="A12362" s="1"/>
    </row>
    <row r="12363" spans="1:1">
      <c r="A12363" s="1"/>
    </row>
    <row r="12364" spans="1:1">
      <c r="A12364" s="1"/>
    </row>
    <row r="12365" spans="1:1">
      <c r="A12365" s="1"/>
    </row>
    <row r="12366" spans="1:1">
      <c r="A12366" s="1"/>
    </row>
    <row r="12367" spans="1:1">
      <c r="A12367" s="1"/>
    </row>
    <row r="12368" spans="1:1">
      <c r="A12368" s="1"/>
    </row>
    <row r="12369" spans="1:1">
      <c r="A12369" s="1"/>
    </row>
    <row r="12370" spans="1:1">
      <c r="A12370" s="1"/>
    </row>
    <row r="12371" spans="1:1">
      <c r="A12371" s="1"/>
    </row>
    <row r="12372" spans="1:1">
      <c r="A12372" s="1"/>
    </row>
    <row r="12373" spans="1:1">
      <c r="A12373" s="1"/>
    </row>
    <row r="12374" spans="1:1">
      <c r="A12374" s="1"/>
    </row>
    <row r="12375" spans="1:1">
      <c r="A12375" s="1"/>
    </row>
    <row r="12376" spans="1:1">
      <c r="A12376" s="1"/>
    </row>
    <row r="12377" spans="1:1">
      <c r="A12377" s="1"/>
    </row>
    <row r="12378" spans="1:1">
      <c r="A12378" s="1"/>
    </row>
    <row r="12379" spans="1:1">
      <c r="A12379" s="1"/>
    </row>
    <row r="12380" spans="1:1">
      <c r="A12380" s="1"/>
    </row>
    <row r="12381" spans="1:1">
      <c r="A12381" s="1"/>
    </row>
    <row r="12382" spans="1:1">
      <c r="A12382" s="1"/>
    </row>
    <row r="12383" spans="1:1">
      <c r="A12383" s="1"/>
    </row>
    <row r="12384" spans="1:1">
      <c r="A12384" s="1"/>
    </row>
    <row r="12385" spans="1:1">
      <c r="A12385" s="1"/>
    </row>
    <row r="12386" spans="1:1">
      <c r="A12386" s="1"/>
    </row>
    <row r="12387" spans="1:1">
      <c r="A12387" s="1"/>
    </row>
    <row r="12388" spans="1:1">
      <c r="A12388" s="1"/>
    </row>
  </sheetData>
  <mergeCells count="3">
    <mergeCell ref="C2:H2"/>
    <mergeCell ref="C3:H3"/>
    <mergeCell ref="C4:H4"/>
  </mergeCells>
  <phoneticPr fontId="1" type="noConversion"/>
  <dataValidations count="2">
    <dataValidation type="list" allowBlank="1" showInputMessage="1" showErrorMessage="1" sqref="A3" xr:uid="{00000000-0002-0000-0400-000000000000}">
      <formula1>"파일1,파일2"</formula1>
    </dataValidation>
    <dataValidation type="list" allowBlank="1" showInputMessage="1" showErrorMessage="1" sqref="A4" xr:uid="{00000000-0002-0000-0400-000001000000}">
      <formula1>IF($A$3="시상",파일2년월,파일1년월)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eleteRange">
                <anchor moveWithCells="1" sizeWithCells="1">
                  <from>
                    <xdr:col>2</xdr:col>
                    <xdr:colOff>1089660</xdr:colOff>
                    <xdr:row>7</xdr:row>
                    <xdr:rowOff>22860</xdr:rowOff>
                  </from>
                  <to>
                    <xdr:col>5</xdr:col>
                    <xdr:colOff>518160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tDataFromExcelFile">
                <anchor moveWithCells="1" sizeWithCells="1">
                  <from>
                    <xdr:col>0</xdr:col>
                    <xdr:colOff>99060</xdr:colOff>
                    <xdr:row>7</xdr:row>
                    <xdr:rowOff>22860</xdr:rowOff>
                  </from>
                  <to>
                    <xdr:col>2</xdr:col>
                    <xdr:colOff>899160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컬럼추출">
                <anchor moveWithCells="1" sizeWithCells="1">
                  <from>
                    <xdr:col>6</xdr:col>
                    <xdr:colOff>99060</xdr:colOff>
                    <xdr:row>7</xdr:row>
                    <xdr:rowOff>22860</xdr:rowOff>
                  </from>
                  <to>
                    <xdr:col>7</xdr:col>
                    <xdr:colOff>685800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GetDataFromExcelFiles">
                <anchor moveWithCells="1" sizeWithCells="1">
                  <from>
                    <xdr:col>0</xdr:col>
                    <xdr:colOff>99060</xdr:colOff>
                    <xdr:row>9</xdr:row>
                    <xdr:rowOff>137160</xdr:rowOff>
                  </from>
                  <to>
                    <xdr:col>2</xdr:col>
                    <xdr:colOff>876300</xdr:colOff>
                    <xdr:row>11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E85"/>
  <sheetViews>
    <sheetView topLeftCell="T1" workbookViewId="0">
      <selection activeCell="AI17" sqref="AI17"/>
    </sheetView>
  </sheetViews>
  <sheetFormatPr defaultRowHeight="17.399999999999999"/>
  <cols>
    <col min="4" max="4" width="14.69921875" bestFit="1" customWidth="1"/>
  </cols>
  <sheetData>
    <row r="1" spans="1:31">
      <c r="A1" s="119" t="s">
        <v>571</v>
      </c>
      <c r="B1" s="119" t="s">
        <v>572</v>
      </c>
      <c r="C1" s="119" t="s">
        <v>573</v>
      </c>
      <c r="D1" s="119" t="s">
        <v>0</v>
      </c>
      <c r="E1" s="119" t="s">
        <v>1269</v>
      </c>
      <c r="F1" s="119" t="s">
        <v>1269</v>
      </c>
      <c r="G1" s="119" t="s">
        <v>583</v>
      </c>
      <c r="H1" s="119" t="s">
        <v>577</v>
      </c>
      <c r="I1" s="119" t="s">
        <v>4</v>
      </c>
      <c r="J1" s="119" t="s">
        <v>578</v>
      </c>
      <c r="K1" s="119" t="s">
        <v>579</v>
      </c>
      <c r="L1" s="119" t="s">
        <v>503</v>
      </c>
      <c r="M1" s="119" t="s">
        <v>580</v>
      </c>
      <c r="N1" s="119" t="s">
        <v>581</v>
      </c>
      <c r="O1" s="119" t="s">
        <v>582</v>
      </c>
      <c r="P1" s="119" t="s">
        <v>583</v>
      </c>
      <c r="Q1" s="119" t="s">
        <v>567</v>
      </c>
      <c r="R1" s="119" t="s">
        <v>584</v>
      </c>
      <c r="S1" s="119" t="s">
        <v>504</v>
      </c>
      <c r="T1" s="119" t="s">
        <v>585</v>
      </c>
      <c r="U1" s="119" t="s">
        <v>586</v>
      </c>
      <c r="V1" s="119" t="s">
        <v>587</v>
      </c>
      <c r="W1" s="119" t="s">
        <v>588</v>
      </c>
      <c r="X1" s="119" t="s">
        <v>155</v>
      </c>
      <c r="Y1" s="119" t="s">
        <v>589</v>
      </c>
      <c r="Z1" s="119" t="s">
        <v>590</v>
      </c>
      <c r="AA1" s="119" t="s">
        <v>591</v>
      </c>
      <c r="AB1" s="119" t="s">
        <v>592</v>
      </c>
      <c r="AC1" s="119" t="s">
        <v>593</v>
      </c>
      <c r="AD1" s="119" t="s">
        <v>594</v>
      </c>
      <c r="AE1" s="119" t="s">
        <v>595</v>
      </c>
    </row>
    <row r="2" spans="1:31">
      <c r="A2" s="94" t="s">
        <v>1184</v>
      </c>
      <c r="B2" s="94" t="s">
        <v>596</v>
      </c>
      <c r="C2" s="94" t="s">
        <v>523</v>
      </c>
      <c r="D2" s="93" t="s">
        <v>1185</v>
      </c>
      <c r="E2" s="94" t="s">
        <v>1267</v>
      </c>
      <c r="F2" s="94" t="s">
        <v>1268</v>
      </c>
      <c r="G2" s="93"/>
      <c r="H2" s="93" t="s">
        <v>599</v>
      </c>
      <c r="I2" s="93" t="s">
        <v>566</v>
      </c>
      <c r="J2" s="93" t="s">
        <v>606</v>
      </c>
      <c r="K2" s="93" t="s">
        <v>607</v>
      </c>
      <c r="L2" s="93" t="s">
        <v>683</v>
      </c>
      <c r="M2" s="94" t="s">
        <v>684</v>
      </c>
      <c r="N2" s="94" t="s">
        <v>1172</v>
      </c>
      <c r="O2" s="94" t="s">
        <v>602</v>
      </c>
      <c r="P2" s="94" t="s">
        <v>603</v>
      </c>
      <c r="Q2" s="94" t="s">
        <v>568</v>
      </c>
      <c r="R2" s="93" t="s">
        <v>604</v>
      </c>
      <c r="S2" s="94" t="s">
        <v>1170</v>
      </c>
      <c r="T2" s="94" t="s">
        <v>777</v>
      </c>
      <c r="U2" s="94"/>
      <c r="V2" s="94"/>
      <c r="W2" s="94"/>
      <c r="X2" s="120">
        <v>24</v>
      </c>
      <c r="Y2" s="120">
        <v>20441</v>
      </c>
      <c r="Z2" s="120">
        <v>0</v>
      </c>
      <c r="AA2" s="94" t="s">
        <v>605</v>
      </c>
      <c r="AB2" s="94" t="s">
        <v>1186</v>
      </c>
      <c r="AC2" s="94"/>
      <c r="AD2" s="94"/>
      <c r="AE2" s="120">
        <v>200</v>
      </c>
    </row>
    <row r="3" spans="1:31">
      <c r="A3" s="94" t="s">
        <v>1184</v>
      </c>
      <c r="B3" s="94" t="s">
        <v>596</v>
      </c>
      <c r="C3" s="94" t="s">
        <v>523</v>
      </c>
      <c r="D3" s="93" t="s">
        <v>1187</v>
      </c>
      <c r="E3" s="94" t="s">
        <v>1267</v>
      </c>
      <c r="F3" s="94" t="s">
        <v>1268</v>
      </c>
      <c r="G3" s="93"/>
      <c r="H3" s="93" t="s">
        <v>599</v>
      </c>
      <c r="I3" s="93" t="s">
        <v>566</v>
      </c>
      <c r="J3" s="93" t="s">
        <v>606</v>
      </c>
      <c r="K3" s="93" t="s">
        <v>607</v>
      </c>
      <c r="L3" s="93" t="s">
        <v>614</v>
      </c>
      <c r="M3" s="94" t="s">
        <v>615</v>
      </c>
      <c r="N3" s="94" t="s">
        <v>616</v>
      </c>
      <c r="O3" s="94" t="s">
        <v>602</v>
      </c>
      <c r="P3" s="94" t="s">
        <v>603</v>
      </c>
      <c r="Q3" s="94" t="s">
        <v>568</v>
      </c>
      <c r="R3" s="93" t="s">
        <v>610</v>
      </c>
      <c r="S3" s="94" t="s">
        <v>1188</v>
      </c>
      <c r="T3" s="94" t="s">
        <v>778</v>
      </c>
      <c r="U3" s="94"/>
      <c r="V3" s="94"/>
      <c r="W3" s="94"/>
      <c r="X3" s="120">
        <v>24</v>
      </c>
      <c r="Y3" s="120">
        <v>38601</v>
      </c>
      <c r="Z3" s="120">
        <v>11580</v>
      </c>
      <c r="AA3" s="94" t="s">
        <v>605</v>
      </c>
      <c r="AB3" s="94" t="s">
        <v>1189</v>
      </c>
      <c r="AC3" s="94"/>
      <c r="AD3" s="94"/>
      <c r="AE3" s="120">
        <v>2310</v>
      </c>
    </row>
    <row r="4" spans="1:31">
      <c r="A4" s="94" t="s">
        <v>1184</v>
      </c>
      <c r="B4" s="94" t="s">
        <v>596</v>
      </c>
      <c r="C4" s="94" t="s">
        <v>523</v>
      </c>
      <c r="D4" s="93" t="s">
        <v>1190</v>
      </c>
      <c r="E4" s="94" t="s">
        <v>1267</v>
      </c>
      <c r="F4" s="94" t="s">
        <v>1268</v>
      </c>
      <c r="G4" s="93"/>
      <c r="H4" s="93" t="s">
        <v>599</v>
      </c>
      <c r="I4" s="93" t="s">
        <v>566</v>
      </c>
      <c r="J4" s="93" t="s">
        <v>606</v>
      </c>
      <c r="K4" s="93" t="s">
        <v>607</v>
      </c>
      <c r="L4" s="93" t="s">
        <v>622</v>
      </c>
      <c r="M4" s="94" t="s">
        <v>623</v>
      </c>
      <c r="N4" s="94" t="s">
        <v>1191</v>
      </c>
      <c r="O4" s="94" t="s">
        <v>602</v>
      </c>
      <c r="P4" s="94" t="s">
        <v>603</v>
      </c>
      <c r="Q4" s="94" t="s">
        <v>568</v>
      </c>
      <c r="R4" s="93" t="s">
        <v>604</v>
      </c>
      <c r="S4" s="94" t="s">
        <v>1192</v>
      </c>
      <c r="T4" s="94" t="s">
        <v>782</v>
      </c>
      <c r="U4" s="94"/>
      <c r="V4" s="94"/>
      <c r="W4" s="94"/>
      <c r="X4" s="120">
        <v>24</v>
      </c>
      <c r="Y4" s="120">
        <v>28643</v>
      </c>
      <c r="Z4" s="120">
        <v>0</v>
      </c>
      <c r="AA4" s="94" t="s">
        <v>605</v>
      </c>
      <c r="AB4" s="94" t="s">
        <v>1189</v>
      </c>
      <c r="AC4" s="94"/>
      <c r="AD4" s="94"/>
      <c r="AE4" s="120">
        <v>280</v>
      </c>
    </row>
    <row r="5" spans="1:31">
      <c r="A5" s="94" t="s">
        <v>1184</v>
      </c>
      <c r="B5" s="94" t="s">
        <v>596</v>
      </c>
      <c r="C5" s="94" t="s">
        <v>523</v>
      </c>
      <c r="D5" s="93" t="s">
        <v>1193</v>
      </c>
      <c r="E5" s="94" t="s">
        <v>1267</v>
      </c>
      <c r="F5" s="94" t="s">
        <v>1268</v>
      </c>
      <c r="G5" s="93"/>
      <c r="H5" s="93" t="s">
        <v>599</v>
      </c>
      <c r="I5" s="93" t="s">
        <v>566</v>
      </c>
      <c r="J5" s="93" t="s">
        <v>606</v>
      </c>
      <c r="K5" s="93" t="s">
        <v>607</v>
      </c>
      <c r="L5" s="93" t="s">
        <v>625</v>
      </c>
      <c r="M5" s="94" t="s">
        <v>626</v>
      </c>
      <c r="N5" s="94" t="s">
        <v>1194</v>
      </c>
      <c r="O5" s="94" t="s">
        <v>602</v>
      </c>
      <c r="P5" s="94" t="s">
        <v>603</v>
      </c>
      <c r="Q5" s="94" t="s">
        <v>568</v>
      </c>
      <c r="R5" s="93" t="s">
        <v>604</v>
      </c>
      <c r="S5" s="94" t="s">
        <v>1192</v>
      </c>
      <c r="T5" s="94" t="s">
        <v>783</v>
      </c>
      <c r="U5" s="94"/>
      <c r="V5" s="94"/>
      <c r="W5" s="94"/>
      <c r="X5" s="120">
        <v>24</v>
      </c>
      <c r="Y5" s="120">
        <v>33760</v>
      </c>
      <c r="Z5" s="120">
        <v>10128</v>
      </c>
      <c r="AA5" s="94" t="s">
        <v>605</v>
      </c>
      <c r="AB5" s="94" t="s">
        <v>1195</v>
      </c>
      <c r="AC5" s="94"/>
      <c r="AD5" s="94"/>
      <c r="AE5" s="120">
        <v>2020</v>
      </c>
    </row>
    <row r="6" spans="1:31">
      <c r="A6" s="94" t="s">
        <v>1184</v>
      </c>
      <c r="B6" s="94" t="s">
        <v>596</v>
      </c>
      <c r="C6" s="94" t="s">
        <v>523</v>
      </c>
      <c r="D6" s="93" t="s">
        <v>1196</v>
      </c>
      <c r="E6" s="94" t="s">
        <v>1267</v>
      </c>
      <c r="F6" s="94" t="s">
        <v>1268</v>
      </c>
      <c r="G6" s="93"/>
      <c r="H6" s="93" t="s">
        <v>599</v>
      </c>
      <c r="I6" s="93" t="s">
        <v>566</v>
      </c>
      <c r="J6" s="93" t="s">
        <v>606</v>
      </c>
      <c r="K6" s="93" t="s">
        <v>607</v>
      </c>
      <c r="L6" s="93" t="s">
        <v>611</v>
      </c>
      <c r="M6" s="94" t="s">
        <v>612</v>
      </c>
      <c r="N6" s="94" t="s">
        <v>613</v>
      </c>
      <c r="O6" s="94" t="s">
        <v>602</v>
      </c>
      <c r="P6" s="94" t="s">
        <v>603</v>
      </c>
      <c r="Q6" s="94" t="s">
        <v>568</v>
      </c>
      <c r="R6" s="93" t="s">
        <v>610</v>
      </c>
      <c r="S6" s="94" t="s">
        <v>1174</v>
      </c>
      <c r="T6" s="94" t="s">
        <v>740</v>
      </c>
      <c r="U6" s="94"/>
      <c r="V6" s="94"/>
      <c r="W6" s="94"/>
      <c r="X6" s="120">
        <v>24</v>
      </c>
      <c r="Y6" s="120">
        <v>62403</v>
      </c>
      <c r="Z6" s="120">
        <v>18721</v>
      </c>
      <c r="AA6" s="94" t="s">
        <v>605</v>
      </c>
      <c r="AB6" s="94" t="s">
        <v>1197</v>
      </c>
      <c r="AC6" s="94"/>
      <c r="AD6" s="94"/>
      <c r="AE6" s="120">
        <v>3740</v>
      </c>
    </row>
    <row r="7" spans="1:31">
      <c r="A7" s="94" t="s">
        <v>1184</v>
      </c>
      <c r="B7" s="94" t="s">
        <v>596</v>
      </c>
      <c r="C7" s="94" t="s">
        <v>523</v>
      </c>
      <c r="D7" s="93" t="s">
        <v>1185</v>
      </c>
      <c r="E7" s="94" t="s">
        <v>1267</v>
      </c>
      <c r="F7" s="94" t="s">
        <v>1268</v>
      </c>
      <c r="G7" s="93"/>
      <c r="H7" s="93" t="s">
        <v>599</v>
      </c>
      <c r="I7" s="93" t="s">
        <v>566</v>
      </c>
      <c r="J7" s="93" t="s">
        <v>606</v>
      </c>
      <c r="K7" s="93" t="s">
        <v>607</v>
      </c>
      <c r="L7" s="93" t="s">
        <v>683</v>
      </c>
      <c r="M7" s="94" t="s">
        <v>684</v>
      </c>
      <c r="N7" s="94" t="s">
        <v>1172</v>
      </c>
      <c r="O7" s="94" t="s">
        <v>602</v>
      </c>
      <c r="P7" s="94" t="s">
        <v>603</v>
      </c>
      <c r="Q7" s="94" t="s">
        <v>568</v>
      </c>
      <c r="R7" s="93" t="s">
        <v>604</v>
      </c>
      <c r="S7" s="94" t="s">
        <v>1170</v>
      </c>
      <c r="T7" s="94" t="s">
        <v>777</v>
      </c>
      <c r="U7" s="94"/>
      <c r="V7" s="94"/>
      <c r="W7" s="94"/>
      <c r="X7" s="120">
        <v>24</v>
      </c>
      <c r="Y7" s="120">
        <v>20441</v>
      </c>
      <c r="Z7" s="120">
        <v>6132</v>
      </c>
      <c r="AA7" s="94" t="s">
        <v>605</v>
      </c>
      <c r="AB7" s="94" t="s">
        <v>1186</v>
      </c>
      <c r="AC7" s="94"/>
      <c r="AD7" s="94"/>
      <c r="AE7" s="120">
        <v>1220</v>
      </c>
    </row>
    <row r="8" spans="1:31">
      <c r="A8" s="94" t="s">
        <v>1184</v>
      </c>
      <c r="B8" s="94" t="s">
        <v>596</v>
      </c>
      <c r="C8" s="94" t="s">
        <v>523</v>
      </c>
      <c r="D8" s="93" t="s">
        <v>1198</v>
      </c>
      <c r="E8" s="94" t="s">
        <v>1267</v>
      </c>
      <c r="F8" s="94" t="s">
        <v>1268</v>
      </c>
      <c r="G8" s="93"/>
      <c r="H8" s="93" t="s">
        <v>599</v>
      </c>
      <c r="I8" s="93" t="s">
        <v>566</v>
      </c>
      <c r="J8" s="93" t="s">
        <v>606</v>
      </c>
      <c r="K8" s="93" t="s">
        <v>607</v>
      </c>
      <c r="L8" s="93" t="s">
        <v>617</v>
      </c>
      <c r="M8" s="94" t="s">
        <v>618</v>
      </c>
      <c r="N8" s="94" t="s">
        <v>1173</v>
      </c>
      <c r="O8" s="94" t="s">
        <v>602</v>
      </c>
      <c r="P8" s="94" t="s">
        <v>603</v>
      </c>
      <c r="Q8" s="94" t="s">
        <v>568</v>
      </c>
      <c r="R8" s="93" t="s">
        <v>604</v>
      </c>
      <c r="S8" s="94" t="s">
        <v>1199</v>
      </c>
      <c r="T8" s="94" t="s">
        <v>780</v>
      </c>
      <c r="U8" s="94"/>
      <c r="V8" s="94"/>
      <c r="W8" s="94"/>
      <c r="X8" s="120">
        <v>24</v>
      </c>
      <c r="Y8" s="120">
        <v>11573</v>
      </c>
      <c r="Z8" s="120">
        <v>3472</v>
      </c>
      <c r="AA8" s="94" t="s">
        <v>605</v>
      </c>
      <c r="AB8" s="94" t="s">
        <v>1195</v>
      </c>
      <c r="AC8" s="94"/>
      <c r="AD8" s="94"/>
      <c r="AE8" s="120">
        <v>690</v>
      </c>
    </row>
    <row r="9" spans="1:31">
      <c r="A9" s="94" t="s">
        <v>1184</v>
      </c>
      <c r="B9" s="94" t="s">
        <v>596</v>
      </c>
      <c r="C9" s="94" t="s">
        <v>523</v>
      </c>
      <c r="D9" s="93" t="s">
        <v>1193</v>
      </c>
      <c r="E9" s="94" t="s">
        <v>1267</v>
      </c>
      <c r="F9" s="94" t="s">
        <v>1268</v>
      </c>
      <c r="G9" s="93"/>
      <c r="H9" s="93" t="s">
        <v>599</v>
      </c>
      <c r="I9" s="93" t="s">
        <v>566</v>
      </c>
      <c r="J9" s="93" t="s">
        <v>606</v>
      </c>
      <c r="K9" s="93" t="s">
        <v>607</v>
      </c>
      <c r="L9" s="93" t="s">
        <v>625</v>
      </c>
      <c r="M9" s="94" t="s">
        <v>626</v>
      </c>
      <c r="N9" s="94" t="s">
        <v>1194</v>
      </c>
      <c r="O9" s="94" t="s">
        <v>602</v>
      </c>
      <c r="P9" s="94" t="s">
        <v>603</v>
      </c>
      <c r="Q9" s="94" t="s">
        <v>568</v>
      </c>
      <c r="R9" s="93" t="s">
        <v>604</v>
      </c>
      <c r="S9" s="94" t="s">
        <v>1192</v>
      </c>
      <c r="T9" s="94" t="s">
        <v>783</v>
      </c>
      <c r="U9" s="94"/>
      <c r="V9" s="94"/>
      <c r="W9" s="94"/>
      <c r="X9" s="120">
        <v>24</v>
      </c>
      <c r="Y9" s="120">
        <v>33760</v>
      </c>
      <c r="Z9" s="120">
        <v>0</v>
      </c>
      <c r="AA9" s="94" t="s">
        <v>605</v>
      </c>
      <c r="AB9" s="94" t="s">
        <v>1195</v>
      </c>
      <c r="AC9" s="94"/>
      <c r="AD9" s="94"/>
      <c r="AE9" s="120">
        <v>330</v>
      </c>
    </row>
    <row r="10" spans="1:31">
      <c r="A10" s="94" t="s">
        <v>1184</v>
      </c>
      <c r="B10" s="94" t="s">
        <v>596</v>
      </c>
      <c r="C10" s="94" t="s">
        <v>523</v>
      </c>
      <c r="D10" s="93" t="s">
        <v>1198</v>
      </c>
      <c r="E10" s="94" t="s">
        <v>1267</v>
      </c>
      <c r="F10" s="94" t="s">
        <v>1268</v>
      </c>
      <c r="G10" s="93"/>
      <c r="H10" s="93" t="s">
        <v>599</v>
      </c>
      <c r="I10" s="93" t="s">
        <v>566</v>
      </c>
      <c r="J10" s="93" t="s">
        <v>606</v>
      </c>
      <c r="K10" s="93" t="s">
        <v>607</v>
      </c>
      <c r="L10" s="93" t="s">
        <v>617</v>
      </c>
      <c r="M10" s="94" t="s">
        <v>618</v>
      </c>
      <c r="N10" s="94" t="s">
        <v>1173</v>
      </c>
      <c r="O10" s="94" t="s">
        <v>602</v>
      </c>
      <c r="P10" s="94" t="s">
        <v>603</v>
      </c>
      <c r="Q10" s="94" t="s">
        <v>568</v>
      </c>
      <c r="R10" s="93" t="s">
        <v>604</v>
      </c>
      <c r="S10" s="94" t="s">
        <v>1199</v>
      </c>
      <c r="T10" s="94" t="s">
        <v>780</v>
      </c>
      <c r="U10" s="94"/>
      <c r="V10" s="94"/>
      <c r="W10" s="94"/>
      <c r="X10" s="120">
        <v>24</v>
      </c>
      <c r="Y10" s="120">
        <v>11573</v>
      </c>
      <c r="Z10" s="120">
        <v>0</v>
      </c>
      <c r="AA10" s="94" t="s">
        <v>605</v>
      </c>
      <c r="AB10" s="94" t="s">
        <v>1195</v>
      </c>
      <c r="AC10" s="94"/>
      <c r="AD10" s="94"/>
      <c r="AE10" s="120">
        <v>110</v>
      </c>
    </row>
    <row r="11" spans="1:31">
      <c r="A11" s="94" t="s">
        <v>1184</v>
      </c>
      <c r="B11" s="94" t="s">
        <v>596</v>
      </c>
      <c r="C11" s="94" t="s">
        <v>523</v>
      </c>
      <c r="D11" s="93" t="s">
        <v>1200</v>
      </c>
      <c r="E11" s="94" t="s">
        <v>1267</v>
      </c>
      <c r="F11" s="94" t="s">
        <v>1268</v>
      </c>
      <c r="G11" s="93"/>
      <c r="H11" s="93" t="s">
        <v>599</v>
      </c>
      <c r="I11" s="93" t="s">
        <v>566</v>
      </c>
      <c r="J11" s="93" t="s">
        <v>606</v>
      </c>
      <c r="K11" s="93" t="s">
        <v>607</v>
      </c>
      <c r="L11" s="93" t="s">
        <v>625</v>
      </c>
      <c r="M11" s="94" t="s">
        <v>626</v>
      </c>
      <c r="N11" s="94" t="s">
        <v>1194</v>
      </c>
      <c r="O11" s="94" t="s">
        <v>602</v>
      </c>
      <c r="P11" s="94" t="s">
        <v>603</v>
      </c>
      <c r="Q11" s="94" t="s">
        <v>568</v>
      </c>
      <c r="R11" s="93" t="s">
        <v>610</v>
      </c>
      <c r="S11" s="94" t="s">
        <v>1201</v>
      </c>
      <c r="T11" s="94" t="s">
        <v>779</v>
      </c>
      <c r="U11" s="94"/>
      <c r="V11" s="94"/>
      <c r="W11" s="94"/>
      <c r="X11" s="120">
        <v>24</v>
      </c>
      <c r="Y11" s="120">
        <v>39513</v>
      </c>
      <c r="Z11" s="120">
        <v>11854</v>
      </c>
      <c r="AA11" s="94" t="s">
        <v>605</v>
      </c>
      <c r="AB11" s="94" t="s">
        <v>1195</v>
      </c>
      <c r="AC11" s="94"/>
      <c r="AD11" s="94"/>
      <c r="AE11" s="120">
        <v>2370</v>
      </c>
    </row>
    <row r="12" spans="1:31">
      <c r="A12" s="94" t="s">
        <v>1184</v>
      </c>
      <c r="B12" s="94" t="s">
        <v>596</v>
      </c>
      <c r="C12" s="94" t="s">
        <v>523</v>
      </c>
      <c r="D12" s="93" t="s">
        <v>1200</v>
      </c>
      <c r="E12" s="94" t="s">
        <v>1267</v>
      </c>
      <c r="F12" s="94" t="s">
        <v>1268</v>
      </c>
      <c r="G12" s="93"/>
      <c r="H12" s="93" t="s">
        <v>599</v>
      </c>
      <c r="I12" s="93" t="s">
        <v>566</v>
      </c>
      <c r="J12" s="93" t="s">
        <v>606</v>
      </c>
      <c r="K12" s="93" t="s">
        <v>607</v>
      </c>
      <c r="L12" s="93" t="s">
        <v>625</v>
      </c>
      <c r="M12" s="94" t="s">
        <v>626</v>
      </c>
      <c r="N12" s="94" t="s">
        <v>1194</v>
      </c>
      <c r="O12" s="94" t="s">
        <v>602</v>
      </c>
      <c r="P12" s="94" t="s">
        <v>603</v>
      </c>
      <c r="Q12" s="94" t="s">
        <v>568</v>
      </c>
      <c r="R12" s="93" t="s">
        <v>610</v>
      </c>
      <c r="S12" s="94" t="s">
        <v>1201</v>
      </c>
      <c r="T12" s="94" t="s">
        <v>779</v>
      </c>
      <c r="U12" s="94"/>
      <c r="V12" s="94"/>
      <c r="W12" s="94"/>
      <c r="X12" s="120">
        <v>24</v>
      </c>
      <c r="Y12" s="120">
        <v>39513</v>
      </c>
      <c r="Z12" s="120">
        <v>0</v>
      </c>
      <c r="AA12" s="94" t="s">
        <v>605</v>
      </c>
      <c r="AB12" s="94" t="s">
        <v>1195</v>
      </c>
      <c r="AC12" s="94"/>
      <c r="AD12" s="94"/>
      <c r="AE12" s="120">
        <v>390</v>
      </c>
    </row>
    <row r="13" spans="1:31">
      <c r="A13" s="94" t="s">
        <v>1184</v>
      </c>
      <c r="B13" s="94" t="s">
        <v>596</v>
      </c>
      <c r="C13" s="94" t="s">
        <v>523</v>
      </c>
      <c r="D13" s="93" t="s">
        <v>1190</v>
      </c>
      <c r="E13" s="94" t="s">
        <v>1267</v>
      </c>
      <c r="F13" s="94" t="s">
        <v>1268</v>
      </c>
      <c r="G13" s="93"/>
      <c r="H13" s="93" t="s">
        <v>599</v>
      </c>
      <c r="I13" s="93" t="s">
        <v>566</v>
      </c>
      <c r="J13" s="93" t="s">
        <v>606</v>
      </c>
      <c r="K13" s="93" t="s">
        <v>607</v>
      </c>
      <c r="L13" s="93" t="s">
        <v>622</v>
      </c>
      <c r="M13" s="94" t="s">
        <v>623</v>
      </c>
      <c r="N13" s="94" t="s">
        <v>1191</v>
      </c>
      <c r="O13" s="94" t="s">
        <v>602</v>
      </c>
      <c r="P13" s="94" t="s">
        <v>603</v>
      </c>
      <c r="Q13" s="94" t="s">
        <v>568</v>
      </c>
      <c r="R13" s="93" t="s">
        <v>604</v>
      </c>
      <c r="S13" s="94" t="s">
        <v>1192</v>
      </c>
      <c r="T13" s="94" t="s">
        <v>782</v>
      </c>
      <c r="U13" s="94"/>
      <c r="V13" s="94"/>
      <c r="W13" s="94"/>
      <c r="X13" s="120">
        <v>24</v>
      </c>
      <c r="Y13" s="120">
        <v>28643</v>
      </c>
      <c r="Z13" s="120">
        <v>8593</v>
      </c>
      <c r="AA13" s="94" t="s">
        <v>605</v>
      </c>
      <c r="AB13" s="94" t="s">
        <v>1189</v>
      </c>
      <c r="AC13" s="94"/>
      <c r="AD13" s="94"/>
      <c r="AE13" s="120">
        <v>1710</v>
      </c>
    </row>
    <row r="14" spans="1:31">
      <c r="A14" s="94" t="s">
        <v>1184</v>
      </c>
      <c r="B14" s="94" t="s">
        <v>596</v>
      </c>
      <c r="C14" s="94" t="s">
        <v>523</v>
      </c>
      <c r="D14" s="93" t="s">
        <v>1196</v>
      </c>
      <c r="E14" s="94" t="s">
        <v>1267</v>
      </c>
      <c r="F14" s="94" t="s">
        <v>1268</v>
      </c>
      <c r="G14" s="93"/>
      <c r="H14" s="93" t="s">
        <v>599</v>
      </c>
      <c r="I14" s="93" t="s">
        <v>566</v>
      </c>
      <c r="J14" s="93" t="s">
        <v>606</v>
      </c>
      <c r="K14" s="93" t="s">
        <v>607</v>
      </c>
      <c r="L14" s="93" t="s">
        <v>611</v>
      </c>
      <c r="M14" s="94" t="s">
        <v>612</v>
      </c>
      <c r="N14" s="94" t="s">
        <v>613</v>
      </c>
      <c r="O14" s="94" t="s">
        <v>602</v>
      </c>
      <c r="P14" s="94" t="s">
        <v>603</v>
      </c>
      <c r="Q14" s="94" t="s">
        <v>568</v>
      </c>
      <c r="R14" s="93" t="s">
        <v>610</v>
      </c>
      <c r="S14" s="94" t="s">
        <v>1174</v>
      </c>
      <c r="T14" s="94" t="s">
        <v>740</v>
      </c>
      <c r="U14" s="94"/>
      <c r="V14" s="94"/>
      <c r="W14" s="94"/>
      <c r="X14" s="120">
        <v>24</v>
      </c>
      <c r="Y14" s="120">
        <v>62403</v>
      </c>
      <c r="Z14" s="120">
        <v>0</v>
      </c>
      <c r="AA14" s="94" t="s">
        <v>605</v>
      </c>
      <c r="AB14" s="94" t="s">
        <v>1197</v>
      </c>
      <c r="AC14" s="94"/>
      <c r="AD14" s="94"/>
      <c r="AE14" s="120">
        <v>620</v>
      </c>
    </row>
    <row r="15" spans="1:31">
      <c r="A15" s="94" t="s">
        <v>1184</v>
      </c>
      <c r="B15" s="94" t="s">
        <v>596</v>
      </c>
      <c r="C15" s="94" t="s">
        <v>523</v>
      </c>
      <c r="D15" s="93" t="s">
        <v>1187</v>
      </c>
      <c r="E15" s="94" t="s">
        <v>1267</v>
      </c>
      <c r="F15" s="94" t="s">
        <v>1268</v>
      </c>
      <c r="G15" s="93"/>
      <c r="H15" s="93" t="s">
        <v>599</v>
      </c>
      <c r="I15" s="93" t="s">
        <v>566</v>
      </c>
      <c r="J15" s="93" t="s">
        <v>606</v>
      </c>
      <c r="K15" s="93" t="s">
        <v>607</v>
      </c>
      <c r="L15" s="93" t="s">
        <v>614</v>
      </c>
      <c r="M15" s="94" t="s">
        <v>615</v>
      </c>
      <c r="N15" s="94" t="s">
        <v>616</v>
      </c>
      <c r="O15" s="94" t="s">
        <v>602</v>
      </c>
      <c r="P15" s="94" t="s">
        <v>603</v>
      </c>
      <c r="Q15" s="94" t="s">
        <v>568</v>
      </c>
      <c r="R15" s="93" t="s">
        <v>610</v>
      </c>
      <c r="S15" s="94" t="s">
        <v>1188</v>
      </c>
      <c r="T15" s="94" t="s">
        <v>778</v>
      </c>
      <c r="U15" s="94"/>
      <c r="V15" s="94"/>
      <c r="W15" s="94"/>
      <c r="X15" s="120">
        <v>24</v>
      </c>
      <c r="Y15" s="120">
        <v>38601</v>
      </c>
      <c r="Z15" s="120">
        <v>0</v>
      </c>
      <c r="AA15" s="94" t="s">
        <v>605</v>
      </c>
      <c r="AB15" s="94" t="s">
        <v>1189</v>
      </c>
      <c r="AC15" s="94"/>
      <c r="AD15" s="94"/>
      <c r="AE15" s="120">
        <v>380</v>
      </c>
    </row>
    <row r="16" spans="1:31">
      <c r="A16" s="94" t="s">
        <v>1184</v>
      </c>
      <c r="B16" s="94" t="s">
        <v>596</v>
      </c>
      <c r="C16" s="94" t="s">
        <v>523</v>
      </c>
      <c r="D16" s="93" t="s">
        <v>1202</v>
      </c>
      <c r="E16" s="94" t="s">
        <v>1267</v>
      </c>
      <c r="F16" s="94" t="s">
        <v>1268</v>
      </c>
      <c r="G16" s="93"/>
      <c r="H16" s="93" t="s">
        <v>599</v>
      </c>
      <c r="I16" s="93" t="s">
        <v>566</v>
      </c>
      <c r="J16" s="93" t="s">
        <v>606</v>
      </c>
      <c r="K16" s="93" t="s">
        <v>607</v>
      </c>
      <c r="L16" s="93" t="s">
        <v>611</v>
      </c>
      <c r="M16" s="94" t="s">
        <v>612</v>
      </c>
      <c r="N16" s="94" t="s">
        <v>613</v>
      </c>
      <c r="O16" s="94" t="s">
        <v>602</v>
      </c>
      <c r="P16" s="94" t="s">
        <v>603</v>
      </c>
      <c r="Q16" s="94" t="s">
        <v>568</v>
      </c>
      <c r="R16" s="93" t="s">
        <v>604</v>
      </c>
      <c r="S16" s="94" t="s">
        <v>1174</v>
      </c>
      <c r="T16" s="94" t="s">
        <v>740</v>
      </c>
      <c r="U16" s="94"/>
      <c r="V16" s="94"/>
      <c r="W16" s="94"/>
      <c r="X16" s="120">
        <v>24</v>
      </c>
      <c r="Y16" s="120">
        <v>27144</v>
      </c>
      <c r="Z16" s="120">
        <v>8143</v>
      </c>
      <c r="AA16" s="94" t="s">
        <v>605</v>
      </c>
      <c r="AB16" s="94" t="s">
        <v>1197</v>
      </c>
      <c r="AC16" s="94"/>
      <c r="AD16" s="94"/>
      <c r="AE16" s="120">
        <v>1620</v>
      </c>
    </row>
    <row r="17" spans="1:31">
      <c r="A17" s="94" t="s">
        <v>1184</v>
      </c>
      <c r="B17" s="94" t="s">
        <v>596</v>
      </c>
      <c r="C17" s="94" t="s">
        <v>523</v>
      </c>
      <c r="D17" s="93" t="s">
        <v>1202</v>
      </c>
      <c r="E17" s="94" t="s">
        <v>1267</v>
      </c>
      <c r="F17" s="94" t="s">
        <v>1268</v>
      </c>
      <c r="G17" s="93"/>
      <c r="H17" s="93" t="s">
        <v>599</v>
      </c>
      <c r="I17" s="93" t="s">
        <v>566</v>
      </c>
      <c r="J17" s="93" t="s">
        <v>606</v>
      </c>
      <c r="K17" s="93" t="s">
        <v>607</v>
      </c>
      <c r="L17" s="93" t="s">
        <v>611</v>
      </c>
      <c r="M17" s="94" t="s">
        <v>612</v>
      </c>
      <c r="N17" s="94" t="s">
        <v>613</v>
      </c>
      <c r="O17" s="94" t="s">
        <v>602</v>
      </c>
      <c r="P17" s="94" t="s">
        <v>603</v>
      </c>
      <c r="Q17" s="94" t="s">
        <v>568</v>
      </c>
      <c r="R17" s="93" t="s">
        <v>604</v>
      </c>
      <c r="S17" s="94" t="s">
        <v>1174</v>
      </c>
      <c r="T17" s="94" t="s">
        <v>740</v>
      </c>
      <c r="U17" s="94"/>
      <c r="V17" s="94"/>
      <c r="W17" s="94"/>
      <c r="X17" s="120">
        <v>24</v>
      </c>
      <c r="Y17" s="120">
        <v>27144</v>
      </c>
      <c r="Z17" s="120">
        <v>0</v>
      </c>
      <c r="AA17" s="94" t="s">
        <v>605</v>
      </c>
      <c r="AB17" s="94" t="s">
        <v>1197</v>
      </c>
      <c r="AC17" s="94"/>
      <c r="AD17" s="94"/>
      <c r="AE17" s="120">
        <v>270</v>
      </c>
    </row>
    <row r="18" spans="1:31">
      <c r="A18" s="94" t="s">
        <v>1184</v>
      </c>
      <c r="B18" s="94" t="s">
        <v>596</v>
      </c>
      <c r="C18" s="94" t="s">
        <v>523</v>
      </c>
      <c r="D18" s="93" t="s">
        <v>1203</v>
      </c>
      <c r="E18" s="94" t="s">
        <v>1267</v>
      </c>
      <c r="F18" s="94" t="s">
        <v>1268</v>
      </c>
      <c r="G18" s="93"/>
      <c r="H18" s="93" t="s">
        <v>599</v>
      </c>
      <c r="I18" s="93" t="s">
        <v>566</v>
      </c>
      <c r="J18" s="93" t="s">
        <v>606</v>
      </c>
      <c r="K18" s="93" t="s">
        <v>607</v>
      </c>
      <c r="L18" s="93" t="s">
        <v>683</v>
      </c>
      <c r="M18" s="94" t="s">
        <v>684</v>
      </c>
      <c r="N18" s="94" t="s">
        <v>1172</v>
      </c>
      <c r="O18" s="94" t="s">
        <v>602</v>
      </c>
      <c r="P18" s="94" t="s">
        <v>603</v>
      </c>
      <c r="Q18" s="94" t="s">
        <v>568</v>
      </c>
      <c r="R18" s="93" t="s">
        <v>604</v>
      </c>
      <c r="S18" s="94" t="s">
        <v>1204</v>
      </c>
      <c r="T18" s="94" t="s">
        <v>704</v>
      </c>
      <c r="U18" s="94"/>
      <c r="V18" s="94"/>
      <c r="W18" s="94"/>
      <c r="X18" s="120">
        <v>24</v>
      </c>
      <c r="Y18" s="120">
        <v>30977</v>
      </c>
      <c r="Z18" s="120">
        <v>9293</v>
      </c>
      <c r="AA18" s="94" t="s">
        <v>605</v>
      </c>
      <c r="AB18" s="94" t="s">
        <v>1205</v>
      </c>
      <c r="AC18" s="94"/>
      <c r="AD18" s="94"/>
      <c r="AE18" s="120">
        <v>1850</v>
      </c>
    </row>
    <row r="19" spans="1:31">
      <c r="A19" s="94" t="s">
        <v>1184</v>
      </c>
      <c r="B19" s="94" t="s">
        <v>596</v>
      </c>
      <c r="C19" s="94" t="s">
        <v>523</v>
      </c>
      <c r="D19" s="93" t="s">
        <v>1203</v>
      </c>
      <c r="E19" s="94" t="s">
        <v>1267</v>
      </c>
      <c r="F19" s="94" t="s">
        <v>1268</v>
      </c>
      <c r="G19" s="93"/>
      <c r="H19" s="93" t="s">
        <v>599</v>
      </c>
      <c r="I19" s="93" t="s">
        <v>566</v>
      </c>
      <c r="J19" s="93" t="s">
        <v>606</v>
      </c>
      <c r="K19" s="93" t="s">
        <v>607</v>
      </c>
      <c r="L19" s="93" t="s">
        <v>683</v>
      </c>
      <c r="M19" s="94" t="s">
        <v>684</v>
      </c>
      <c r="N19" s="94" t="s">
        <v>1172</v>
      </c>
      <c r="O19" s="94" t="s">
        <v>602</v>
      </c>
      <c r="P19" s="94" t="s">
        <v>603</v>
      </c>
      <c r="Q19" s="94" t="s">
        <v>568</v>
      </c>
      <c r="R19" s="93" t="s">
        <v>604</v>
      </c>
      <c r="S19" s="94" t="s">
        <v>1204</v>
      </c>
      <c r="T19" s="94" t="s">
        <v>704</v>
      </c>
      <c r="U19" s="94"/>
      <c r="V19" s="94"/>
      <c r="W19" s="94"/>
      <c r="X19" s="120">
        <v>24</v>
      </c>
      <c r="Y19" s="120">
        <v>30977</v>
      </c>
      <c r="Z19" s="120">
        <v>0</v>
      </c>
      <c r="AA19" s="94" t="s">
        <v>605</v>
      </c>
      <c r="AB19" s="94" t="s">
        <v>1205</v>
      </c>
      <c r="AC19" s="94"/>
      <c r="AD19" s="94"/>
      <c r="AE19" s="120">
        <v>300</v>
      </c>
    </row>
    <row r="20" spans="1:31">
      <c r="A20" s="94" t="s">
        <v>1184</v>
      </c>
      <c r="B20" s="94" t="s">
        <v>596</v>
      </c>
      <c r="C20" s="94" t="s">
        <v>523</v>
      </c>
      <c r="D20" s="93" t="s">
        <v>1206</v>
      </c>
      <c r="E20" s="94" t="s">
        <v>1267</v>
      </c>
      <c r="F20" s="94" t="s">
        <v>1268</v>
      </c>
      <c r="G20" s="93"/>
      <c r="H20" s="93" t="s">
        <v>599</v>
      </c>
      <c r="I20" s="93" t="s">
        <v>566</v>
      </c>
      <c r="J20" s="93" t="s">
        <v>606</v>
      </c>
      <c r="K20" s="93" t="s">
        <v>607</v>
      </c>
      <c r="L20" s="93" t="s">
        <v>625</v>
      </c>
      <c r="M20" s="94" t="s">
        <v>626</v>
      </c>
      <c r="N20" s="94" t="s">
        <v>1194</v>
      </c>
      <c r="O20" s="94" t="s">
        <v>602</v>
      </c>
      <c r="P20" s="94" t="s">
        <v>603</v>
      </c>
      <c r="Q20" s="94" t="s">
        <v>568</v>
      </c>
      <c r="R20" s="93" t="s">
        <v>610</v>
      </c>
      <c r="S20" s="94" t="s">
        <v>1207</v>
      </c>
      <c r="T20" s="94" t="s">
        <v>776</v>
      </c>
      <c r="U20" s="94"/>
      <c r="V20" s="94"/>
      <c r="W20" s="94"/>
      <c r="X20" s="120">
        <v>24</v>
      </c>
      <c r="Y20" s="120">
        <v>21390</v>
      </c>
      <c r="Z20" s="120">
        <v>6417</v>
      </c>
      <c r="AA20" s="94" t="s">
        <v>605</v>
      </c>
      <c r="AB20" s="94" t="s">
        <v>1189</v>
      </c>
      <c r="AC20" s="94"/>
      <c r="AD20" s="94"/>
      <c r="AE20" s="120">
        <v>1280</v>
      </c>
    </row>
    <row r="21" spans="1:31">
      <c r="A21" s="94" t="s">
        <v>1184</v>
      </c>
      <c r="B21" s="94" t="s">
        <v>596</v>
      </c>
      <c r="C21" s="94" t="s">
        <v>523</v>
      </c>
      <c r="D21" s="93" t="s">
        <v>1206</v>
      </c>
      <c r="E21" s="94" t="s">
        <v>1267</v>
      </c>
      <c r="F21" s="94" t="s">
        <v>1268</v>
      </c>
      <c r="G21" s="93"/>
      <c r="H21" s="93" t="s">
        <v>599</v>
      </c>
      <c r="I21" s="93" t="s">
        <v>566</v>
      </c>
      <c r="J21" s="93" t="s">
        <v>606</v>
      </c>
      <c r="K21" s="93" t="s">
        <v>607</v>
      </c>
      <c r="L21" s="93" t="s">
        <v>625</v>
      </c>
      <c r="M21" s="94" t="s">
        <v>626</v>
      </c>
      <c r="N21" s="94" t="s">
        <v>1194</v>
      </c>
      <c r="O21" s="94" t="s">
        <v>602</v>
      </c>
      <c r="P21" s="94" t="s">
        <v>603</v>
      </c>
      <c r="Q21" s="94" t="s">
        <v>568</v>
      </c>
      <c r="R21" s="93" t="s">
        <v>610</v>
      </c>
      <c r="S21" s="94" t="s">
        <v>1207</v>
      </c>
      <c r="T21" s="94" t="s">
        <v>776</v>
      </c>
      <c r="U21" s="94"/>
      <c r="V21" s="94"/>
      <c r="W21" s="94"/>
      <c r="X21" s="120">
        <v>24</v>
      </c>
      <c r="Y21" s="120">
        <v>21390</v>
      </c>
      <c r="Z21" s="120">
        <v>0</v>
      </c>
      <c r="AA21" s="94" t="s">
        <v>605</v>
      </c>
      <c r="AB21" s="94" t="s">
        <v>1189</v>
      </c>
      <c r="AC21" s="94"/>
      <c r="AD21" s="94"/>
      <c r="AE21" s="120">
        <v>210</v>
      </c>
    </row>
    <row r="22" spans="1:31">
      <c r="A22" s="94" t="s">
        <v>1184</v>
      </c>
      <c r="B22" s="94" t="s">
        <v>596</v>
      </c>
      <c r="C22" s="94" t="s">
        <v>197</v>
      </c>
      <c r="D22" s="93" t="s">
        <v>791</v>
      </c>
      <c r="E22" s="94" t="s">
        <v>1267</v>
      </c>
      <c r="F22" s="94" t="s">
        <v>1268</v>
      </c>
      <c r="G22" s="93"/>
      <c r="H22" s="93" t="s">
        <v>599</v>
      </c>
      <c r="I22" s="93" t="s">
        <v>566</v>
      </c>
      <c r="J22" s="93" t="s">
        <v>606</v>
      </c>
      <c r="K22" s="93" t="s">
        <v>607</v>
      </c>
      <c r="L22" s="93" t="s">
        <v>617</v>
      </c>
      <c r="M22" s="94" t="s">
        <v>618</v>
      </c>
      <c r="N22" s="94" t="s">
        <v>619</v>
      </c>
      <c r="O22" s="94"/>
      <c r="P22" s="94" t="s">
        <v>603</v>
      </c>
      <c r="Q22" s="94" t="s">
        <v>568</v>
      </c>
      <c r="R22" s="93" t="s">
        <v>620</v>
      </c>
      <c r="S22" s="94" t="s">
        <v>1174</v>
      </c>
      <c r="T22" s="94" t="s">
        <v>792</v>
      </c>
      <c r="U22" s="94"/>
      <c r="V22" s="94"/>
      <c r="W22" s="94"/>
      <c r="X22" s="120">
        <v>24</v>
      </c>
      <c r="Y22" s="120">
        <v>23880</v>
      </c>
      <c r="Z22" s="120"/>
      <c r="AA22" s="94" t="s">
        <v>605</v>
      </c>
      <c r="AB22" s="94" t="s">
        <v>1195</v>
      </c>
      <c r="AC22" s="94"/>
      <c r="AD22" s="94"/>
      <c r="AE22" s="120">
        <v>1650</v>
      </c>
    </row>
    <row r="23" spans="1:31">
      <c r="A23" s="94" t="s">
        <v>1184</v>
      </c>
      <c r="B23" s="94" t="s">
        <v>596</v>
      </c>
      <c r="C23" s="94" t="s">
        <v>197</v>
      </c>
      <c r="D23" s="93" t="s">
        <v>796</v>
      </c>
      <c r="E23" s="94" t="s">
        <v>1267</v>
      </c>
      <c r="F23" s="94" t="s">
        <v>1268</v>
      </c>
      <c r="G23" s="93"/>
      <c r="H23" s="93" t="s">
        <v>599</v>
      </c>
      <c r="I23" s="93" t="s">
        <v>566</v>
      </c>
      <c r="J23" s="93" t="s">
        <v>606</v>
      </c>
      <c r="K23" s="93" t="s">
        <v>607</v>
      </c>
      <c r="L23" s="93" t="s">
        <v>617</v>
      </c>
      <c r="M23" s="94" t="s">
        <v>618</v>
      </c>
      <c r="N23" s="94" t="s">
        <v>619</v>
      </c>
      <c r="O23" s="94"/>
      <c r="P23" s="94" t="s">
        <v>603</v>
      </c>
      <c r="Q23" s="94" t="s">
        <v>568</v>
      </c>
      <c r="R23" s="93" t="s">
        <v>620</v>
      </c>
      <c r="S23" s="94" t="s">
        <v>1174</v>
      </c>
      <c r="T23" s="94" t="s">
        <v>797</v>
      </c>
      <c r="U23" s="94"/>
      <c r="V23" s="94"/>
      <c r="W23" s="94"/>
      <c r="X23" s="120">
        <v>24</v>
      </c>
      <c r="Y23" s="120">
        <v>10730</v>
      </c>
      <c r="Z23" s="120"/>
      <c r="AA23" s="94" t="s">
        <v>605</v>
      </c>
      <c r="AB23" s="94" t="s">
        <v>1197</v>
      </c>
      <c r="AC23" s="94"/>
      <c r="AD23" s="94"/>
      <c r="AE23" s="120">
        <v>740</v>
      </c>
    </row>
    <row r="24" spans="1:31">
      <c r="A24" s="94" t="s">
        <v>1184</v>
      </c>
      <c r="B24" s="94" t="s">
        <v>596</v>
      </c>
      <c r="C24" s="94" t="s">
        <v>197</v>
      </c>
      <c r="D24" s="93" t="s">
        <v>793</v>
      </c>
      <c r="E24" s="94" t="s">
        <v>1267</v>
      </c>
      <c r="F24" s="94" t="s">
        <v>1268</v>
      </c>
      <c r="G24" s="93"/>
      <c r="H24" s="93" t="s">
        <v>599</v>
      </c>
      <c r="I24" s="93" t="s">
        <v>566</v>
      </c>
      <c r="J24" s="93" t="s">
        <v>606</v>
      </c>
      <c r="K24" s="93" t="s">
        <v>607</v>
      </c>
      <c r="L24" s="93" t="s">
        <v>639</v>
      </c>
      <c r="M24" s="94" t="s">
        <v>640</v>
      </c>
      <c r="N24" s="94" t="s">
        <v>789</v>
      </c>
      <c r="O24" s="94"/>
      <c r="P24" s="94" t="s">
        <v>603</v>
      </c>
      <c r="Q24" s="94" t="s">
        <v>568</v>
      </c>
      <c r="R24" s="93" t="s">
        <v>794</v>
      </c>
      <c r="S24" s="94" t="s">
        <v>1208</v>
      </c>
      <c r="T24" s="94" t="s">
        <v>671</v>
      </c>
      <c r="U24" s="94"/>
      <c r="V24" s="94"/>
      <c r="W24" s="94"/>
      <c r="X24" s="120">
        <v>24</v>
      </c>
      <c r="Y24" s="120">
        <v>46080</v>
      </c>
      <c r="Z24" s="120"/>
      <c r="AA24" s="94" t="s">
        <v>605</v>
      </c>
      <c r="AB24" s="94" t="s">
        <v>1195</v>
      </c>
      <c r="AC24" s="94"/>
      <c r="AD24" s="94"/>
      <c r="AE24" s="120">
        <v>1610</v>
      </c>
    </row>
    <row r="25" spans="1:31">
      <c r="A25" s="94" t="s">
        <v>1184</v>
      </c>
      <c r="B25" s="94" t="s">
        <v>596</v>
      </c>
      <c r="C25" s="94" t="s">
        <v>524</v>
      </c>
      <c r="D25" s="93" t="s">
        <v>806</v>
      </c>
      <c r="E25" s="94" t="s">
        <v>1267</v>
      </c>
      <c r="F25" s="94" t="s">
        <v>1268</v>
      </c>
      <c r="G25" s="93"/>
      <c r="H25" s="93" t="s">
        <v>599</v>
      </c>
      <c r="I25" s="93" t="s">
        <v>566</v>
      </c>
      <c r="J25" s="93" t="s">
        <v>606</v>
      </c>
      <c r="K25" s="93" t="s">
        <v>607</v>
      </c>
      <c r="L25" s="93" t="s">
        <v>622</v>
      </c>
      <c r="M25" s="94" t="s">
        <v>623</v>
      </c>
      <c r="N25" s="94" t="s">
        <v>1209</v>
      </c>
      <c r="O25" s="94"/>
      <c r="P25" s="94" t="s">
        <v>603</v>
      </c>
      <c r="Q25" s="94" t="s">
        <v>568</v>
      </c>
      <c r="R25" s="93" t="s">
        <v>801</v>
      </c>
      <c r="S25" s="94" t="s">
        <v>1210</v>
      </c>
      <c r="T25" s="94" t="s">
        <v>730</v>
      </c>
      <c r="U25" s="94"/>
      <c r="V25" s="94"/>
      <c r="W25" s="94"/>
      <c r="X25" s="120">
        <v>24</v>
      </c>
      <c r="Y25" s="120">
        <v>54228</v>
      </c>
      <c r="Z25" s="120">
        <v>10845</v>
      </c>
      <c r="AA25" s="94" t="s">
        <v>605</v>
      </c>
      <c r="AB25" s="94" t="s">
        <v>1211</v>
      </c>
      <c r="AC25" s="94"/>
      <c r="AD25" s="94"/>
      <c r="AE25" s="120">
        <v>108</v>
      </c>
    </row>
    <row r="26" spans="1:31">
      <c r="A26" s="94" t="s">
        <v>1184</v>
      </c>
      <c r="B26" s="94" t="s">
        <v>596</v>
      </c>
      <c r="C26" s="94" t="s">
        <v>524</v>
      </c>
      <c r="D26" s="93" t="s">
        <v>806</v>
      </c>
      <c r="E26" s="94" t="s">
        <v>1267</v>
      </c>
      <c r="F26" s="94" t="s">
        <v>1268</v>
      </c>
      <c r="G26" s="93"/>
      <c r="H26" s="93" t="s">
        <v>599</v>
      </c>
      <c r="I26" s="93" t="s">
        <v>566</v>
      </c>
      <c r="J26" s="93" t="s">
        <v>606</v>
      </c>
      <c r="K26" s="93" t="s">
        <v>607</v>
      </c>
      <c r="L26" s="93" t="s">
        <v>622</v>
      </c>
      <c r="M26" s="94" t="s">
        <v>623</v>
      </c>
      <c r="N26" s="94" t="s">
        <v>1209</v>
      </c>
      <c r="O26" s="94"/>
      <c r="P26" s="94" t="s">
        <v>603</v>
      </c>
      <c r="Q26" s="94" t="s">
        <v>568</v>
      </c>
      <c r="R26" s="93" t="s">
        <v>801</v>
      </c>
      <c r="S26" s="94" t="s">
        <v>1210</v>
      </c>
      <c r="T26" s="94" t="s">
        <v>730</v>
      </c>
      <c r="U26" s="94"/>
      <c r="V26" s="94"/>
      <c r="W26" s="94"/>
      <c r="X26" s="120">
        <v>24</v>
      </c>
      <c r="Y26" s="120">
        <v>54228</v>
      </c>
      <c r="Z26" s="120">
        <v>10845</v>
      </c>
      <c r="AA26" s="94" t="s">
        <v>605</v>
      </c>
      <c r="AB26" s="94" t="s">
        <v>1211</v>
      </c>
      <c r="AC26" s="94"/>
      <c r="AD26" s="94"/>
      <c r="AE26" s="120">
        <v>2710</v>
      </c>
    </row>
    <row r="27" spans="1:31">
      <c r="A27" s="94" t="s">
        <v>1184</v>
      </c>
      <c r="B27" s="94" t="s">
        <v>596</v>
      </c>
      <c r="C27" s="94" t="s">
        <v>524</v>
      </c>
      <c r="D27" s="93" t="s">
        <v>804</v>
      </c>
      <c r="E27" s="94" t="s">
        <v>1267</v>
      </c>
      <c r="F27" s="94" t="s">
        <v>1268</v>
      </c>
      <c r="G27" s="93"/>
      <c r="H27" s="93" t="s">
        <v>599</v>
      </c>
      <c r="I27" s="93" t="s">
        <v>566</v>
      </c>
      <c r="J27" s="93" t="s">
        <v>606</v>
      </c>
      <c r="K27" s="93" t="s">
        <v>607</v>
      </c>
      <c r="L27" s="93" t="s">
        <v>622</v>
      </c>
      <c r="M27" s="94" t="s">
        <v>623</v>
      </c>
      <c r="N27" s="94" t="s">
        <v>1209</v>
      </c>
      <c r="O27" s="94"/>
      <c r="P27" s="94" t="s">
        <v>603</v>
      </c>
      <c r="Q27" s="94" t="s">
        <v>568</v>
      </c>
      <c r="R27" s="93" t="s">
        <v>801</v>
      </c>
      <c r="S27" s="94" t="s">
        <v>1208</v>
      </c>
      <c r="T27" s="94" t="s">
        <v>790</v>
      </c>
      <c r="U27" s="94"/>
      <c r="V27" s="94"/>
      <c r="W27" s="94"/>
      <c r="X27" s="120">
        <v>24</v>
      </c>
      <c r="Y27" s="120">
        <v>52369</v>
      </c>
      <c r="Z27" s="120">
        <v>10473</v>
      </c>
      <c r="AA27" s="94" t="s">
        <v>605</v>
      </c>
      <c r="AB27" s="94" t="s">
        <v>1211</v>
      </c>
      <c r="AC27" s="94"/>
      <c r="AD27" s="94"/>
      <c r="AE27" s="120">
        <v>417</v>
      </c>
    </row>
    <row r="28" spans="1:31">
      <c r="A28" s="94" t="s">
        <v>1184</v>
      </c>
      <c r="B28" s="94" t="s">
        <v>596</v>
      </c>
      <c r="C28" s="94" t="s">
        <v>524</v>
      </c>
      <c r="D28" s="93" t="s">
        <v>805</v>
      </c>
      <c r="E28" s="94" t="s">
        <v>1267</v>
      </c>
      <c r="F28" s="94" t="s">
        <v>1268</v>
      </c>
      <c r="G28" s="93"/>
      <c r="H28" s="93" t="s">
        <v>599</v>
      </c>
      <c r="I28" s="93" t="s">
        <v>566</v>
      </c>
      <c r="J28" s="93" t="s">
        <v>606</v>
      </c>
      <c r="K28" s="93" t="s">
        <v>607</v>
      </c>
      <c r="L28" s="93" t="s">
        <v>622</v>
      </c>
      <c r="M28" s="94" t="s">
        <v>623</v>
      </c>
      <c r="N28" s="94" t="s">
        <v>1209</v>
      </c>
      <c r="O28" s="94"/>
      <c r="P28" s="94" t="s">
        <v>603</v>
      </c>
      <c r="Q28" s="94" t="s">
        <v>568</v>
      </c>
      <c r="R28" s="93" t="s">
        <v>801</v>
      </c>
      <c r="S28" s="94" t="s">
        <v>1171</v>
      </c>
      <c r="T28" s="94" t="s">
        <v>723</v>
      </c>
      <c r="U28" s="94"/>
      <c r="V28" s="94"/>
      <c r="W28" s="94"/>
      <c r="X28" s="120">
        <v>24</v>
      </c>
      <c r="Y28" s="120">
        <v>7208</v>
      </c>
      <c r="Z28" s="120">
        <v>1441</v>
      </c>
      <c r="AA28" s="94" t="s">
        <v>605</v>
      </c>
      <c r="AB28" s="94" t="s">
        <v>1195</v>
      </c>
      <c r="AC28" s="94"/>
      <c r="AD28" s="94"/>
      <c r="AE28" s="120">
        <v>360</v>
      </c>
    </row>
    <row r="29" spans="1:31">
      <c r="A29" s="94" t="s">
        <v>1184</v>
      </c>
      <c r="B29" s="94" t="s">
        <v>596</v>
      </c>
      <c r="C29" s="94" t="s">
        <v>524</v>
      </c>
      <c r="D29" s="93" t="s">
        <v>807</v>
      </c>
      <c r="E29" s="94" t="s">
        <v>1267</v>
      </c>
      <c r="F29" s="94" t="s">
        <v>1268</v>
      </c>
      <c r="G29" s="93"/>
      <c r="H29" s="93" t="s">
        <v>599</v>
      </c>
      <c r="I29" s="93" t="s">
        <v>566</v>
      </c>
      <c r="J29" s="93" t="s">
        <v>606</v>
      </c>
      <c r="K29" s="93" t="s">
        <v>607</v>
      </c>
      <c r="L29" s="93" t="s">
        <v>608</v>
      </c>
      <c r="M29" s="94" t="s">
        <v>609</v>
      </c>
      <c r="N29" s="94" t="s">
        <v>1212</v>
      </c>
      <c r="O29" s="94"/>
      <c r="P29" s="94" t="s">
        <v>603</v>
      </c>
      <c r="Q29" s="94" t="s">
        <v>568</v>
      </c>
      <c r="R29" s="93" t="s">
        <v>801</v>
      </c>
      <c r="S29" s="94" t="s">
        <v>1170</v>
      </c>
      <c r="T29" s="94" t="s">
        <v>788</v>
      </c>
      <c r="U29" s="94"/>
      <c r="V29" s="94"/>
      <c r="W29" s="94"/>
      <c r="X29" s="120">
        <v>24</v>
      </c>
      <c r="Y29" s="120">
        <v>24461</v>
      </c>
      <c r="Z29" s="120">
        <v>4890</v>
      </c>
      <c r="AA29" s="94" t="s">
        <v>605</v>
      </c>
      <c r="AB29" s="94" t="s">
        <v>1213</v>
      </c>
      <c r="AC29" s="94"/>
      <c r="AD29" s="94"/>
      <c r="AE29" s="120">
        <v>193</v>
      </c>
    </row>
    <row r="30" spans="1:31">
      <c r="A30" s="94" t="s">
        <v>1184</v>
      </c>
      <c r="B30" s="94" t="s">
        <v>596</v>
      </c>
      <c r="C30" s="94" t="s">
        <v>524</v>
      </c>
      <c r="D30" s="93" t="s">
        <v>807</v>
      </c>
      <c r="E30" s="94" t="s">
        <v>1267</v>
      </c>
      <c r="F30" s="94" t="s">
        <v>1268</v>
      </c>
      <c r="G30" s="93"/>
      <c r="H30" s="93" t="s">
        <v>599</v>
      </c>
      <c r="I30" s="93" t="s">
        <v>566</v>
      </c>
      <c r="J30" s="93" t="s">
        <v>606</v>
      </c>
      <c r="K30" s="93" t="s">
        <v>607</v>
      </c>
      <c r="L30" s="93" t="s">
        <v>608</v>
      </c>
      <c r="M30" s="94" t="s">
        <v>609</v>
      </c>
      <c r="N30" s="94" t="s">
        <v>1212</v>
      </c>
      <c r="O30" s="94"/>
      <c r="P30" s="94" t="s">
        <v>603</v>
      </c>
      <c r="Q30" s="94" t="s">
        <v>568</v>
      </c>
      <c r="R30" s="93" t="s">
        <v>801</v>
      </c>
      <c r="S30" s="94" t="s">
        <v>1170</v>
      </c>
      <c r="T30" s="94" t="s">
        <v>788</v>
      </c>
      <c r="U30" s="94"/>
      <c r="V30" s="94"/>
      <c r="W30" s="94"/>
      <c r="X30" s="120">
        <v>24</v>
      </c>
      <c r="Y30" s="120">
        <v>24461</v>
      </c>
      <c r="Z30" s="120">
        <v>4890</v>
      </c>
      <c r="AA30" s="94" t="s">
        <v>605</v>
      </c>
      <c r="AB30" s="94" t="s">
        <v>1213</v>
      </c>
      <c r="AC30" s="94"/>
      <c r="AD30" s="94"/>
      <c r="AE30" s="120">
        <v>1221</v>
      </c>
    </row>
    <row r="31" spans="1:31">
      <c r="A31" s="94" t="s">
        <v>1184</v>
      </c>
      <c r="B31" s="94" t="s">
        <v>596</v>
      </c>
      <c r="C31" s="94" t="s">
        <v>524</v>
      </c>
      <c r="D31" s="93" t="s">
        <v>802</v>
      </c>
      <c r="E31" s="94" t="s">
        <v>1267</v>
      </c>
      <c r="F31" s="94" t="s">
        <v>1268</v>
      </c>
      <c r="G31" s="93"/>
      <c r="H31" s="93" t="s">
        <v>599</v>
      </c>
      <c r="I31" s="93" t="s">
        <v>566</v>
      </c>
      <c r="J31" s="93" t="s">
        <v>606</v>
      </c>
      <c r="K31" s="93" t="s">
        <v>607</v>
      </c>
      <c r="L31" s="93" t="s">
        <v>686</v>
      </c>
      <c r="M31" s="94" t="s">
        <v>687</v>
      </c>
      <c r="N31" s="94" t="s">
        <v>1175</v>
      </c>
      <c r="O31" s="94"/>
      <c r="P31" s="94" t="s">
        <v>603</v>
      </c>
      <c r="Q31" s="94" t="s">
        <v>568</v>
      </c>
      <c r="R31" s="93" t="s">
        <v>801</v>
      </c>
      <c r="S31" s="94" t="s">
        <v>1214</v>
      </c>
      <c r="T31" s="94" t="s">
        <v>803</v>
      </c>
      <c r="U31" s="94"/>
      <c r="V31" s="94"/>
      <c r="W31" s="94"/>
      <c r="X31" s="120">
        <v>24</v>
      </c>
      <c r="Y31" s="120">
        <v>64513</v>
      </c>
      <c r="Z31" s="120">
        <v>12901</v>
      </c>
      <c r="AA31" s="94" t="s">
        <v>605</v>
      </c>
      <c r="AB31" s="94" t="s">
        <v>1211</v>
      </c>
      <c r="AC31" s="94"/>
      <c r="AD31" s="94"/>
      <c r="AE31" s="120">
        <v>127</v>
      </c>
    </row>
    <row r="32" spans="1:31">
      <c r="A32" s="94" t="s">
        <v>1184</v>
      </c>
      <c r="B32" s="94" t="s">
        <v>596</v>
      </c>
      <c r="C32" s="94" t="s">
        <v>524</v>
      </c>
      <c r="D32" s="93" t="s">
        <v>802</v>
      </c>
      <c r="E32" s="94" t="s">
        <v>1267</v>
      </c>
      <c r="F32" s="94" t="s">
        <v>1268</v>
      </c>
      <c r="G32" s="93"/>
      <c r="H32" s="93" t="s">
        <v>599</v>
      </c>
      <c r="I32" s="93" t="s">
        <v>566</v>
      </c>
      <c r="J32" s="93" t="s">
        <v>606</v>
      </c>
      <c r="K32" s="93" t="s">
        <v>607</v>
      </c>
      <c r="L32" s="93" t="s">
        <v>686</v>
      </c>
      <c r="M32" s="94" t="s">
        <v>687</v>
      </c>
      <c r="N32" s="94" t="s">
        <v>1175</v>
      </c>
      <c r="O32" s="94"/>
      <c r="P32" s="94" t="s">
        <v>603</v>
      </c>
      <c r="Q32" s="94" t="s">
        <v>568</v>
      </c>
      <c r="R32" s="93" t="s">
        <v>801</v>
      </c>
      <c r="S32" s="94" t="s">
        <v>1214</v>
      </c>
      <c r="T32" s="94" t="s">
        <v>803</v>
      </c>
      <c r="U32" s="94"/>
      <c r="V32" s="94"/>
      <c r="W32" s="94"/>
      <c r="X32" s="120">
        <v>24</v>
      </c>
      <c r="Y32" s="120">
        <v>64513</v>
      </c>
      <c r="Z32" s="120">
        <v>12901</v>
      </c>
      <c r="AA32" s="94" t="s">
        <v>605</v>
      </c>
      <c r="AB32" s="94" t="s">
        <v>1211</v>
      </c>
      <c r="AC32" s="94"/>
      <c r="AD32" s="94"/>
      <c r="AE32" s="120">
        <v>3224</v>
      </c>
    </row>
    <row r="33" spans="1:31">
      <c r="A33" s="94" t="s">
        <v>1184</v>
      </c>
      <c r="B33" s="94" t="s">
        <v>596</v>
      </c>
      <c r="C33" s="94" t="s">
        <v>524</v>
      </c>
      <c r="D33" s="93" t="s">
        <v>799</v>
      </c>
      <c r="E33" s="94" t="s">
        <v>1267</v>
      </c>
      <c r="F33" s="94" t="s">
        <v>1268</v>
      </c>
      <c r="G33" s="93"/>
      <c r="H33" s="93" t="s">
        <v>599</v>
      </c>
      <c r="I33" s="93" t="s">
        <v>566</v>
      </c>
      <c r="J33" s="93" t="s">
        <v>606</v>
      </c>
      <c r="K33" s="93" t="s">
        <v>607</v>
      </c>
      <c r="L33" s="93" t="s">
        <v>608</v>
      </c>
      <c r="M33" s="94" t="s">
        <v>609</v>
      </c>
      <c r="N33" s="94" t="s">
        <v>1212</v>
      </c>
      <c r="O33" s="94"/>
      <c r="P33" s="94" t="s">
        <v>603</v>
      </c>
      <c r="Q33" s="94" t="s">
        <v>568</v>
      </c>
      <c r="R33" s="93" t="s">
        <v>621</v>
      </c>
      <c r="S33" s="94" t="s">
        <v>1215</v>
      </c>
      <c r="T33" s="94" t="s">
        <v>798</v>
      </c>
      <c r="U33" s="94"/>
      <c r="V33" s="94"/>
      <c r="W33" s="94"/>
      <c r="X33" s="120">
        <v>24</v>
      </c>
      <c r="Y33" s="120">
        <v>6973</v>
      </c>
      <c r="Z33" s="120">
        <v>689</v>
      </c>
      <c r="AA33" s="94" t="s">
        <v>605</v>
      </c>
      <c r="AB33" s="94" t="s">
        <v>1189</v>
      </c>
      <c r="AC33" s="94"/>
      <c r="AD33" s="94"/>
      <c r="AE33" s="120">
        <v>168</v>
      </c>
    </row>
    <row r="34" spans="1:31">
      <c r="A34" s="94" t="s">
        <v>1184</v>
      </c>
      <c r="B34" s="94" t="s">
        <v>596</v>
      </c>
      <c r="C34" s="94" t="s">
        <v>524</v>
      </c>
      <c r="D34" s="93" t="s">
        <v>804</v>
      </c>
      <c r="E34" s="94" t="s">
        <v>1267</v>
      </c>
      <c r="F34" s="94" t="s">
        <v>1268</v>
      </c>
      <c r="G34" s="93"/>
      <c r="H34" s="93" t="s">
        <v>599</v>
      </c>
      <c r="I34" s="93" t="s">
        <v>566</v>
      </c>
      <c r="J34" s="93" t="s">
        <v>606</v>
      </c>
      <c r="K34" s="93" t="s">
        <v>607</v>
      </c>
      <c r="L34" s="93" t="s">
        <v>622</v>
      </c>
      <c r="M34" s="94" t="s">
        <v>623</v>
      </c>
      <c r="N34" s="94" t="s">
        <v>1209</v>
      </c>
      <c r="O34" s="94"/>
      <c r="P34" s="94" t="s">
        <v>603</v>
      </c>
      <c r="Q34" s="94" t="s">
        <v>568</v>
      </c>
      <c r="R34" s="93" t="s">
        <v>801</v>
      </c>
      <c r="S34" s="94" t="s">
        <v>1208</v>
      </c>
      <c r="T34" s="94" t="s">
        <v>790</v>
      </c>
      <c r="U34" s="94"/>
      <c r="V34" s="94"/>
      <c r="W34" s="94"/>
      <c r="X34" s="120">
        <v>24</v>
      </c>
      <c r="Y34" s="120">
        <v>52369</v>
      </c>
      <c r="Z34" s="120">
        <v>10473</v>
      </c>
      <c r="AA34" s="94" t="s">
        <v>605</v>
      </c>
      <c r="AB34" s="94" t="s">
        <v>1211</v>
      </c>
      <c r="AC34" s="94"/>
      <c r="AD34" s="94"/>
      <c r="AE34" s="120">
        <v>2617</v>
      </c>
    </row>
    <row r="35" spans="1:31">
      <c r="A35" s="94" t="s">
        <v>1184</v>
      </c>
      <c r="B35" s="94" t="s">
        <v>596</v>
      </c>
      <c r="C35" s="94" t="s">
        <v>524</v>
      </c>
      <c r="D35" s="93" t="s">
        <v>805</v>
      </c>
      <c r="E35" s="94" t="s">
        <v>1267</v>
      </c>
      <c r="F35" s="94" t="s">
        <v>1268</v>
      </c>
      <c r="G35" s="93"/>
      <c r="H35" s="93" t="s">
        <v>599</v>
      </c>
      <c r="I35" s="93" t="s">
        <v>566</v>
      </c>
      <c r="J35" s="93" t="s">
        <v>606</v>
      </c>
      <c r="K35" s="93" t="s">
        <v>607</v>
      </c>
      <c r="L35" s="93" t="s">
        <v>622</v>
      </c>
      <c r="M35" s="94" t="s">
        <v>623</v>
      </c>
      <c r="N35" s="94" t="s">
        <v>1209</v>
      </c>
      <c r="O35" s="94"/>
      <c r="P35" s="94" t="s">
        <v>603</v>
      </c>
      <c r="Q35" s="94" t="s">
        <v>568</v>
      </c>
      <c r="R35" s="93" t="s">
        <v>801</v>
      </c>
      <c r="S35" s="94" t="s">
        <v>1171</v>
      </c>
      <c r="T35" s="94" t="s">
        <v>723</v>
      </c>
      <c r="U35" s="94"/>
      <c r="V35" s="94"/>
      <c r="W35" s="94"/>
      <c r="X35" s="120">
        <v>24</v>
      </c>
      <c r="Y35" s="120">
        <v>7208</v>
      </c>
      <c r="Z35" s="120">
        <v>1441</v>
      </c>
      <c r="AA35" s="94" t="s">
        <v>605</v>
      </c>
      <c r="AB35" s="94" t="s">
        <v>1195</v>
      </c>
      <c r="AC35" s="94"/>
      <c r="AD35" s="94"/>
      <c r="AE35" s="120">
        <v>56</v>
      </c>
    </row>
    <row r="36" spans="1:31">
      <c r="A36" s="94" t="s">
        <v>1184</v>
      </c>
      <c r="B36" s="94" t="s">
        <v>596</v>
      </c>
      <c r="C36" s="94" t="s">
        <v>524</v>
      </c>
      <c r="D36" s="93" t="s">
        <v>800</v>
      </c>
      <c r="E36" s="94" t="s">
        <v>1267</v>
      </c>
      <c r="F36" s="94" t="s">
        <v>1268</v>
      </c>
      <c r="G36" s="93"/>
      <c r="H36" s="93" t="s">
        <v>599</v>
      </c>
      <c r="I36" s="93" t="s">
        <v>566</v>
      </c>
      <c r="J36" s="93" t="s">
        <v>606</v>
      </c>
      <c r="K36" s="93" t="s">
        <v>607</v>
      </c>
      <c r="L36" s="93" t="s">
        <v>608</v>
      </c>
      <c r="M36" s="94" t="s">
        <v>609</v>
      </c>
      <c r="N36" s="94" t="s">
        <v>1212</v>
      </c>
      <c r="O36" s="94"/>
      <c r="P36" s="94" t="s">
        <v>603</v>
      </c>
      <c r="Q36" s="94" t="s">
        <v>568</v>
      </c>
      <c r="R36" s="93" t="s">
        <v>621</v>
      </c>
      <c r="S36" s="94" t="s">
        <v>1215</v>
      </c>
      <c r="T36" s="94" t="s">
        <v>798</v>
      </c>
      <c r="U36" s="94"/>
      <c r="V36" s="94"/>
      <c r="W36" s="94"/>
      <c r="X36" s="120">
        <v>24</v>
      </c>
      <c r="Y36" s="120">
        <v>6621</v>
      </c>
      <c r="Z36" s="120">
        <v>656</v>
      </c>
      <c r="AA36" s="94" t="s">
        <v>605</v>
      </c>
      <c r="AB36" s="94" t="s">
        <v>1189</v>
      </c>
      <c r="AC36" s="94"/>
      <c r="AD36" s="94"/>
      <c r="AE36" s="120">
        <v>159</v>
      </c>
    </row>
    <row r="37" spans="1:31">
      <c r="A37" s="94" t="s">
        <v>1184</v>
      </c>
      <c r="B37" s="94" t="s">
        <v>596</v>
      </c>
      <c r="C37" s="94" t="s">
        <v>196</v>
      </c>
      <c r="D37" s="93" t="s">
        <v>1216</v>
      </c>
      <c r="E37" s="94" t="s">
        <v>1267</v>
      </c>
      <c r="F37" s="94" t="s">
        <v>1268</v>
      </c>
      <c r="G37" s="93"/>
      <c r="H37" s="93" t="s">
        <v>599</v>
      </c>
      <c r="I37" s="93" t="s">
        <v>566</v>
      </c>
      <c r="J37" s="93" t="s">
        <v>606</v>
      </c>
      <c r="K37" s="93" t="s">
        <v>607</v>
      </c>
      <c r="L37" s="93" t="s">
        <v>622</v>
      </c>
      <c r="M37" s="94" t="s">
        <v>623</v>
      </c>
      <c r="N37" s="94" t="s">
        <v>624</v>
      </c>
      <c r="O37" s="94"/>
      <c r="P37" s="94" t="s">
        <v>603</v>
      </c>
      <c r="Q37" s="94" t="s">
        <v>568</v>
      </c>
      <c r="R37" s="93" t="s">
        <v>916</v>
      </c>
      <c r="S37" s="94" t="s">
        <v>1204</v>
      </c>
      <c r="T37" s="94" t="s">
        <v>732</v>
      </c>
      <c r="U37" s="94"/>
      <c r="V37" s="94"/>
      <c r="W37" s="94"/>
      <c r="X37" s="120">
        <v>24</v>
      </c>
      <c r="Y37" s="120">
        <v>71039</v>
      </c>
      <c r="Z37" s="120"/>
      <c r="AA37" s="94" t="s">
        <v>605</v>
      </c>
      <c r="AB37" s="94" t="s">
        <v>1217</v>
      </c>
      <c r="AC37" s="94"/>
      <c r="AD37" s="94"/>
      <c r="AE37" s="120">
        <v>710</v>
      </c>
    </row>
    <row r="38" spans="1:31">
      <c r="A38" s="94" t="s">
        <v>1184</v>
      </c>
      <c r="B38" s="94" t="s">
        <v>596</v>
      </c>
      <c r="C38" s="94" t="s">
        <v>198</v>
      </c>
      <c r="D38" s="93" t="s">
        <v>1218</v>
      </c>
      <c r="E38" s="94" t="s">
        <v>1267</v>
      </c>
      <c r="F38" s="94" t="s">
        <v>1268</v>
      </c>
      <c r="G38" s="93"/>
      <c r="H38" s="93" t="s">
        <v>599</v>
      </c>
      <c r="I38" s="93" t="s">
        <v>566</v>
      </c>
      <c r="J38" s="93" t="s">
        <v>606</v>
      </c>
      <c r="K38" s="93" t="s">
        <v>607</v>
      </c>
      <c r="L38" s="93" t="s">
        <v>617</v>
      </c>
      <c r="M38" s="94" t="s">
        <v>618</v>
      </c>
      <c r="N38" s="94" t="s">
        <v>629</v>
      </c>
      <c r="O38" s="94"/>
      <c r="P38" s="94" t="s">
        <v>603</v>
      </c>
      <c r="Q38" s="94" t="s">
        <v>568</v>
      </c>
      <c r="R38" s="93" t="s">
        <v>630</v>
      </c>
      <c r="S38" s="94" t="s">
        <v>1199</v>
      </c>
      <c r="T38" s="94" t="s">
        <v>920</v>
      </c>
      <c r="U38" s="94"/>
      <c r="V38" s="94"/>
      <c r="W38" s="94"/>
      <c r="X38" s="120">
        <v>24</v>
      </c>
      <c r="Y38" s="120">
        <v>13160</v>
      </c>
      <c r="Z38" s="120">
        <v>3948</v>
      </c>
      <c r="AA38" s="94" t="s">
        <v>605</v>
      </c>
      <c r="AB38" s="94" t="s">
        <v>1189</v>
      </c>
      <c r="AC38" s="94"/>
      <c r="AD38" s="94"/>
      <c r="AE38" s="120">
        <v>78</v>
      </c>
    </row>
    <row r="39" spans="1:31">
      <c r="A39" s="94" t="s">
        <v>1184</v>
      </c>
      <c r="B39" s="94" t="s">
        <v>596</v>
      </c>
      <c r="C39" s="94" t="s">
        <v>198</v>
      </c>
      <c r="D39" s="93" t="s">
        <v>1219</v>
      </c>
      <c r="E39" s="94" t="s">
        <v>1267</v>
      </c>
      <c r="F39" s="94" t="s">
        <v>1268</v>
      </c>
      <c r="G39" s="93"/>
      <c r="H39" s="93" t="s">
        <v>599</v>
      </c>
      <c r="I39" s="93" t="s">
        <v>566</v>
      </c>
      <c r="J39" s="93" t="s">
        <v>606</v>
      </c>
      <c r="K39" s="93" t="s">
        <v>607</v>
      </c>
      <c r="L39" s="93" t="s">
        <v>622</v>
      </c>
      <c r="M39" s="94" t="s">
        <v>623</v>
      </c>
      <c r="N39" s="94" t="s">
        <v>1220</v>
      </c>
      <c r="O39" s="94"/>
      <c r="P39" s="94" t="s">
        <v>603</v>
      </c>
      <c r="Q39" s="94" t="s">
        <v>568</v>
      </c>
      <c r="R39" s="93" t="s">
        <v>628</v>
      </c>
      <c r="S39" s="94" t="s">
        <v>1201</v>
      </c>
      <c r="T39" s="94" t="s">
        <v>723</v>
      </c>
      <c r="U39" s="94"/>
      <c r="V39" s="94"/>
      <c r="W39" s="94"/>
      <c r="X39" s="120">
        <v>24</v>
      </c>
      <c r="Y39" s="120">
        <v>56550</v>
      </c>
      <c r="Z39" s="120">
        <v>16965</v>
      </c>
      <c r="AA39" s="94" t="s">
        <v>605</v>
      </c>
      <c r="AB39" s="94" t="s">
        <v>1195</v>
      </c>
      <c r="AC39" s="94"/>
      <c r="AD39" s="94"/>
      <c r="AE39" s="120">
        <v>339</v>
      </c>
    </row>
    <row r="40" spans="1:31">
      <c r="A40" s="94" t="s">
        <v>1184</v>
      </c>
      <c r="B40" s="94" t="s">
        <v>596</v>
      </c>
      <c r="C40" s="94" t="s">
        <v>198</v>
      </c>
      <c r="D40" s="93" t="s">
        <v>1221</v>
      </c>
      <c r="E40" s="94" t="s">
        <v>1267</v>
      </c>
      <c r="F40" s="94" t="s">
        <v>1268</v>
      </c>
      <c r="G40" s="93"/>
      <c r="H40" s="93" t="s">
        <v>599</v>
      </c>
      <c r="I40" s="93" t="s">
        <v>566</v>
      </c>
      <c r="J40" s="93" t="s">
        <v>606</v>
      </c>
      <c r="K40" s="93" t="s">
        <v>607</v>
      </c>
      <c r="L40" s="93" t="s">
        <v>622</v>
      </c>
      <c r="M40" s="94" t="s">
        <v>623</v>
      </c>
      <c r="N40" s="94" t="s">
        <v>1220</v>
      </c>
      <c r="O40" s="94"/>
      <c r="P40" s="94" t="s">
        <v>603</v>
      </c>
      <c r="Q40" s="94" t="s">
        <v>568</v>
      </c>
      <c r="R40" s="93" t="s">
        <v>628</v>
      </c>
      <c r="S40" s="94" t="s">
        <v>1174</v>
      </c>
      <c r="T40" s="94" t="s">
        <v>922</v>
      </c>
      <c r="U40" s="94"/>
      <c r="V40" s="94"/>
      <c r="W40" s="94"/>
      <c r="X40" s="120">
        <v>24</v>
      </c>
      <c r="Y40" s="120">
        <v>53450</v>
      </c>
      <c r="Z40" s="120">
        <v>16035</v>
      </c>
      <c r="AA40" s="94" t="s">
        <v>605</v>
      </c>
      <c r="AB40" s="94" t="s">
        <v>1195</v>
      </c>
      <c r="AC40" s="94"/>
      <c r="AD40" s="94"/>
      <c r="AE40" s="120">
        <v>320</v>
      </c>
    </row>
    <row r="41" spans="1:31">
      <c r="A41" s="94" t="s">
        <v>1184</v>
      </c>
      <c r="B41" s="94" t="s">
        <v>596</v>
      </c>
      <c r="C41" s="94" t="s">
        <v>198</v>
      </c>
      <c r="D41" s="93" t="s">
        <v>1222</v>
      </c>
      <c r="E41" s="94" t="s">
        <v>1267</v>
      </c>
      <c r="F41" s="94" t="s">
        <v>1268</v>
      </c>
      <c r="G41" s="93"/>
      <c r="H41" s="93" t="s">
        <v>599</v>
      </c>
      <c r="I41" s="93" t="s">
        <v>566</v>
      </c>
      <c r="J41" s="93" t="s">
        <v>606</v>
      </c>
      <c r="K41" s="93" t="s">
        <v>607</v>
      </c>
      <c r="L41" s="93" t="s">
        <v>625</v>
      </c>
      <c r="M41" s="94" t="s">
        <v>626</v>
      </c>
      <c r="N41" s="94" t="s">
        <v>627</v>
      </c>
      <c r="O41" s="94"/>
      <c r="P41" s="94" t="s">
        <v>603</v>
      </c>
      <c r="Q41" s="94" t="s">
        <v>568</v>
      </c>
      <c r="R41" s="93" t="s">
        <v>630</v>
      </c>
      <c r="S41" s="94" t="s">
        <v>1215</v>
      </c>
      <c r="T41" s="94" t="s">
        <v>923</v>
      </c>
      <c r="U41" s="94"/>
      <c r="V41" s="94"/>
      <c r="W41" s="94"/>
      <c r="X41" s="120">
        <v>24</v>
      </c>
      <c r="Y41" s="120">
        <v>60770</v>
      </c>
      <c r="Z41" s="120">
        <v>11329</v>
      </c>
      <c r="AA41" s="94" t="s">
        <v>605</v>
      </c>
      <c r="AB41" s="94" t="s">
        <v>1189</v>
      </c>
      <c r="AC41" s="94"/>
      <c r="AD41" s="94"/>
      <c r="AE41" s="120">
        <v>226</v>
      </c>
    </row>
    <row r="42" spans="1:31">
      <c r="A42" s="94" t="s">
        <v>1184</v>
      </c>
      <c r="B42" s="94" t="s">
        <v>596</v>
      </c>
      <c r="C42" s="94" t="s">
        <v>198</v>
      </c>
      <c r="D42" s="93" t="s">
        <v>1223</v>
      </c>
      <c r="E42" s="94" t="s">
        <v>1267</v>
      </c>
      <c r="F42" s="94" t="s">
        <v>1268</v>
      </c>
      <c r="G42" s="93"/>
      <c r="H42" s="93" t="s">
        <v>599</v>
      </c>
      <c r="I42" s="93" t="s">
        <v>566</v>
      </c>
      <c r="J42" s="93" t="s">
        <v>606</v>
      </c>
      <c r="K42" s="93" t="s">
        <v>607</v>
      </c>
      <c r="L42" s="93" t="s">
        <v>622</v>
      </c>
      <c r="M42" s="94" t="s">
        <v>623</v>
      </c>
      <c r="N42" s="94" t="s">
        <v>1220</v>
      </c>
      <c r="O42" s="94"/>
      <c r="P42" s="94" t="s">
        <v>603</v>
      </c>
      <c r="Q42" s="94" t="s">
        <v>568</v>
      </c>
      <c r="R42" s="93" t="s">
        <v>630</v>
      </c>
      <c r="S42" s="94" t="s">
        <v>1174</v>
      </c>
      <c r="T42" s="94" t="s">
        <v>682</v>
      </c>
      <c r="U42" s="94"/>
      <c r="V42" s="94"/>
      <c r="W42" s="94"/>
      <c r="X42" s="120">
        <v>24</v>
      </c>
      <c r="Y42" s="120">
        <v>48080</v>
      </c>
      <c r="Z42" s="120">
        <v>8190</v>
      </c>
      <c r="AA42" s="94" t="s">
        <v>605</v>
      </c>
      <c r="AB42" s="94" t="s">
        <v>1197</v>
      </c>
      <c r="AC42" s="94"/>
      <c r="AD42" s="94"/>
      <c r="AE42" s="120">
        <v>163</v>
      </c>
    </row>
    <row r="43" spans="1:31">
      <c r="A43" s="94" t="s">
        <v>1184</v>
      </c>
      <c r="B43" s="94" t="s">
        <v>596</v>
      </c>
      <c r="C43" s="94" t="s">
        <v>526</v>
      </c>
      <c r="D43" s="93" t="s">
        <v>1224</v>
      </c>
      <c r="E43" s="94" t="s">
        <v>1267</v>
      </c>
      <c r="F43" s="94" t="s">
        <v>1268</v>
      </c>
      <c r="G43" s="93"/>
      <c r="H43" s="93" t="s">
        <v>599</v>
      </c>
      <c r="I43" s="93" t="s">
        <v>566</v>
      </c>
      <c r="J43" s="93" t="s">
        <v>606</v>
      </c>
      <c r="K43" s="93" t="s">
        <v>607</v>
      </c>
      <c r="L43" s="93" t="s">
        <v>643</v>
      </c>
      <c r="M43" s="94" t="s">
        <v>644</v>
      </c>
      <c r="N43" s="94" t="s">
        <v>947</v>
      </c>
      <c r="O43" s="94"/>
      <c r="P43" s="94" t="s">
        <v>603</v>
      </c>
      <c r="Q43" s="94" t="s">
        <v>568</v>
      </c>
      <c r="R43" s="93" t="s">
        <v>983</v>
      </c>
      <c r="S43" s="94" t="s">
        <v>1201</v>
      </c>
      <c r="T43" s="94" t="s">
        <v>1114</v>
      </c>
      <c r="U43" s="94"/>
      <c r="V43" s="94"/>
      <c r="W43" s="94"/>
      <c r="X43" s="120">
        <v>24</v>
      </c>
      <c r="Y43" s="120">
        <v>24282</v>
      </c>
      <c r="Z43" s="120"/>
      <c r="AA43" s="94" t="s">
        <v>605</v>
      </c>
      <c r="AB43" s="94" t="s">
        <v>1195</v>
      </c>
      <c r="AC43" s="94"/>
      <c r="AD43" s="94"/>
      <c r="AE43" s="120">
        <v>1274</v>
      </c>
    </row>
    <row r="44" spans="1:31">
      <c r="C44" s="94" t="s">
        <v>523</v>
      </c>
      <c r="D44" s="93" t="s">
        <v>1185</v>
      </c>
      <c r="E44" s="94">
        <v>1</v>
      </c>
      <c r="F44" s="94"/>
      <c r="G44" s="93" t="s">
        <v>603</v>
      </c>
    </row>
    <row r="45" spans="1:31">
      <c r="C45" s="94" t="s">
        <v>523</v>
      </c>
      <c r="D45" s="93" t="s">
        <v>1187</v>
      </c>
      <c r="E45" s="94">
        <v>1</v>
      </c>
      <c r="F45" s="94"/>
      <c r="G45" s="93" t="s">
        <v>603</v>
      </c>
    </row>
    <row r="46" spans="1:31">
      <c r="C46" s="94" t="s">
        <v>523</v>
      </c>
      <c r="D46" s="93" t="s">
        <v>1190</v>
      </c>
      <c r="E46" s="94">
        <v>1</v>
      </c>
      <c r="F46" s="94"/>
      <c r="G46" s="93" t="s">
        <v>603</v>
      </c>
    </row>
    <row r="47" spans="1:31">
      <c r="C47" s="94" t="s">
        <v>523</v>
      </c>
      <c r="D47" s="93" t="s">
        <v>1193</v>
      </c>
      <c r="E47" s="94">
        <v>1</v>
      </c>
      <c r="F47" s="94"/>
      <c r="G47" s="93" t="s">
        <v>603</v>
      </c>
    </row>
    <row r="48" spans="1:31">
      <c r="C48" s="94" t="s">
        <v>523</v>
      </c>
      <c r="D48" s="93" t="s">
        <v>1196</v>
      </c>
      <c r="E48" s="94">
        <v>1</v>
      </c>
      <c r="F48" s="94"/>
      <c r="G48" s="93" t="s">
        <v>603</v>
      </c>
    </row>
    <row r="49" spans="3:7">
      <c r="C49" s="94" t="s">
        <v>523</v>
      </c>
      <c r="D49" s="93" t="s">
        <v>1185</v>
      </c>
      <c r="E49" s="94">
        <v>1</v>
      </c>
      <c r="F49" s="94"/>
      <c r="G49" s="93" t="s">
        <v>603</v>
      </c>
    </row>
    <row r="50" spans="3:7">
      <c r="C50" s="94" t="s">
        <v>523</v>
      </c>
      <c r="D50" s="93" t="s">
        <v>1198</v>
      </c>
      <c r="E50" s="94">
        <v>1</v>
      </c>
      <c r="F50" s="94"/>
      <c r="G50" s="93" t="s">
        <v>603</v>
      </c>
    </row>
    <row r="51" spans="3:7">
      <c r="C51" s="94" t="s">
        <v>523</v>
      </c>
      <c r="D51" s="93" t="s">
        <v>1193</v>
      </c>
      <c r="E51" s="94">
        <v>1</v>
      </c>
      <c r="F51" s="94"/>
      <c r="G51" s="93" t="s">
        <v>603</v>
      </c>
    </row>
    <row r="52" spans="3:7">
      <c r="C52" s="94" t="s">
        <v>523</v>
      </c>
      <c r="D52" s="93" t="s">
        <v>1198</v>
      </c>
      <c r="E52" s="94">
        <v>1</v>
      </c>
      <c r="F52" s="94"/>
      <c r="G52" s="93" t="s">
        <v>603</v>
      </c>
    </row>
    <row r="53" spans="3:7">
      <c r="C53" s="94" t="s">
        <v>523</v>
      </c>
      <c r="D53" s="93" t="s">
        <v>1200</v>
      </c>
      <c r="E53" s="94">
        <v>1</v>
      </c>
      <c r="F53" s="94"/>
      <c r="G53" s="93" t="s">
        <v>603</v>
      </c>
    </row>
    <row r="54" spans="3:7">
      <c r="C54" s="94" t="s">
        <v>523</v>
      </c>
      <c r="D54" s="93" t="s">
        <v>1200</v>
      </c>
      <c r="E54" s="94">
        <v>1</v>
      </c>
      <c r="F54" s="94"/>
      <c r="G54" s="93" t="s">
        <v>603</v>
      </c>
    </row>
    <row r="55" spans="3:7">
      <c r="C55" s="94" t="s">
        <v>523</v>
      </c>
      <c r="D55" s="93" t="s">
        <v>1190</v>
      </c>
      <c r="E55" s="94">
        <v>1</v>
      </c>
      <c r="F55" s="94"/>
      <c r="G55" s="93" t="s">
        <v>603</v>
      </c>
    </row>
    <row r="56" spans="3:7">
      <c r="C56" s="94" t="s">
        <v>523</v>
      </c>
      <c r="D56" s="93" t="s">
        <v>1196</v>
      </c>
      <c r="E56" s="94">
        <v>1</v>
      </c>
      <c r="F56" s="94"/>
      <c r="G56" s="93" t="s">
        <v>603</v>
      </c>
    </row>
    <row r="57" spans="3:7">
      <c r="C57" s="94" t="s">
        <v>523</v>
      </c>
      <c r="D57" s="93" t="s">
        <v>1187</v>
      </c>
      <c r="E57" s="94">
        <v>1</v>
      </c>
      <c r="F57" s="94"/>
      <c r="G57" s="93" t="s">
        <v>603</v>
      </c>
    </row>
    <row r="58" spans="3:7">
      <c r="C58" s="94" t="s">
        <v>523</v>
      </c>
      <c r="D58" s="93" t="s">
        <v>1202</v>
      </c>
      <c r="E58" s="94">
        <v>1</v>
      </c>
      <c r="F58" s="94"/>
      <c r="G58" s="93" t="s">
        <v>603</v>
      </c>
    </row>
    <row r="59" spans="3:7">
      <c r="C59" s="94" t="s">
        <v>523</v>
      </c>
      <c r="D59" s="93" t="s">
        <v>1202</v>
      </c>
      <c r="E59" s="94">
        <v>1</v>
      </c>
      <c r="F59" s="94"/>
      <c r="G59" s="93" t="s">
        <v>603</v>
      </c>
    </row>
    <row r="60" spans="3:7">
      <c r="C60" s="94" t="s">
        <v>523</v>
      </c>
      <c r="D60" s="93" t="s">
        <v>1203</v>
      </c>
      <c r="E60" s="94">
        <v>1</v>
      </c>
      <c r="F60" s="94"/>
      <c r="G60" s="93" t="s">
        <v>603</v>
      </c>
    </row>
    <row r="61" spans="3:7">
      <c r="C61" s="94" t="s">
        <v>523</v>
      </c>
      <c r="D61" s="93" t="s">
        <v>1203</v>
      </c>
      <c r="E61" s="94">
        <v>1</v>
      </c>
      <c r="F61" s="94"/>
      <c r="G61" s="93" t="s">
        <v>603</v>
      </c>
    </row>
    <row r="62" spans="3:7">
      <c r="C62" s="94" t="s">
        <v>523</v>
      </c>
      <c r="D62" s="93" t="s">
        <v>1206</v>
      </c>
      <c r="E62" s="94">
        <v>1</v>
      </c>
      <c r="F62" s="94"/>
      <c r="G62" s="93" t="s">
        <v>603</v>
      </c>
    </row>
    <row r="63" spans="3:7">
      <c r="C63" s="94" t="s">
        <v>523</v>
      </c>
      <c r="D63" s="93" t="s">
        <v>1206</v>
      </c>
      <c r="E63" s="94">
        <v>1</v>
      </c>
      <c r="F63" s="94"/>
      <c r="G63" s="93" t="s">
        <v>603</v>
      </c>
    </row>
    <row r="64" spans="3:7">
      <c r="C64" s="94" t="s">
        <v>197</v>
      </c>
      <c r="D64" s="93" t="s">
        <v>791</v>
      </c>
      <c r="E64" s="94">
        <v>1</v>
      </c>
      <c r="F64" s="94"/>
      <c r="G64" s="93" t="s">
        <v>603</v>
      </c>
    </row>
    <row r="65" spans="3:7">
      <c r="C65" s="94" t="s">
        <v>197</v>
      </c>
      <c r="D65" s="93" t="s">
        <v>796</v>
      </c>
      <c r="E65" s="94">
        <v>1</v>
      </c>
      <c r="F65" s="94"/>
      <c r="G65" s="93" t="s">
        <v>603</v>
      </c>
    </row>
    <row r="66" spans="3:7">
      <c r="C66" s="94" t="s">
        <v>197</v>
      </c>
      <c r="D66" s="93" t="s">
        <v>793</v>
      </c>
      <c r="E66" s="94">
        <v>1</v>
      </c>
      <c r="F66" s="94"/>
      <c r="G66" s="93" t="s">
        <v>603</v>
      </c>
    </row>
    <row r="67" spans="3:7">
      <c r="C67" s="94" t="s">
        <v>524</v>
      </c>
      <c r="D67" s="93" t="s">
        <v>806</v>
      </c>
      <c r="E67" s="94">
        <v>1</v>
      </c>
      <c r="F67" s="94"/>
      <c r="G67" s="93" t="s">
        <v>603</v>
      </c>
    </row>
    <row r="68" spans="3:7">
      <c r="C68" s="94" t="s">
        <v>524</v>
      </c>
      <c r="D68" s="93" t="s">
        <v>806</v>
      </c>
      <c r="E68" s="94">
        <v>1</v>
      </c>
      <c r="F68" s="94"/>
      <c r="G68" s="93" t="s">
        <v>603</v>
      </c>
    </row>
    <row r="69" spans="3:7">
      <c r="C69" s="94" t="s">
        <v>524</v>
      </c>
      <c r="D69" s="93" t="s">
        <v>804</v>
      </c>
      <c r="E69" s="94">
        <v>1</v>
      </c>
      <c r="F69" s="94"/>
      <c r="G69" s="93" t="s">
        <v>603</v>
      </c>
    </row>
    <row r="70" spans="3:7">
      <c r="C70" s="94" t="s">
        <v>524</v>
      </c>
      <c r="D70" s="93" t="s">
        <v>805</v>
      </c>
      <c r="E70" s="94">
        <v>1</v>
      </c>
      <c r="F70" s="94"/>
      <c r="G70" s="93" t="s">
        <v>603</v>
      </c>
    </row>
    <row r="71" spans="3:7">
      <c r="C71" s="94" t="s">
        <v>524</v>
      </c>
      <c r="D71" s="93" t="s">
        <v>807</v>
      </c>
      <c r="E71" s="94">
        <v>1</v>
      </c>
      <c r="F71" s="94"/>
      <c r="G71" s="93" t="s">
        <v>603</v>
      </c>
    </row>
    <row r="72" spans="3:7">
      <c r="C72" s="94" t="s">
        <v>524</v>
      </c>
      <c r="D72" s="93" t="s">
        <v>807</v>
      </c>
      <c r="E72" s="94">
        <v>1</v>
      </c>
      <c r="F72" s="94"/>
      <c r="G72" s="93" t="s">
        <v>603</v>
      </c>
    </row>
    <row r="73" spans="3:7">
      <c r="C73" s="94" t="s">
        <v>524</v>
      </c>
      <c r="D73" s="93" t="s">
        <v>802</v>
      </c>
      <c r="E73" s="94">
        <v>1</v>
      </c>
      <c r="F73" s="94"/>
      <c r="G73" s="93" t="s">
        <v>603</v>
      </c>
    </row>
    <row r="74" spans="3:7">
      <c r="C74" s="94" t="s">
        <v>524</v>
      </c>
      <c r="D74" s="93" t="s">
        <v>802</v>
      </c>
      <c r="E74" s="94">
        <v>1</v>
      </c>
      <c r="F74" s="94"/>
      <c r="G74" s="93" t="s">
        <v>603</v>
      </c>
    </row>
    <row r="75" spans="3:7">
      <c r="C75" s="94" t="s">
        <v>524</v>
      </c>
      <c r="D75" s="93" t="s">
        <v>799</v>
      </c>
      <c r="E75" s="94">
        <v>1</v>
      </c>
      <c r="F75" s="94"/>
      <c r="G75" s="93" t="s">
        <v>603</v>
      </c>
    </row>
    <row r="76" spans="3:7">
      <c r="C76" s="94" t="s">
        <v>524</v>
      </c>
      <c r="D76" s="93" t="s">
        <v>804</v>
      </c>
      <c r="E76" s="94">
        <v>1</v>
      </c>
      <c r="F76" s="94"/>
      <c r="G76" s="93" t="s">
        <v>603</v>
      </c>
    </row>
    <row r="77" spans="3:7">
      <c r="C77" s="94" t="s">
        <v>524</v>
      </c>
      <c r="D77" s="93" t="s">
        <v>805</v>
      </c>
      <c r="E77" s="94">
        <v>1</v>
      </c>
      <c r="F77" s="94"/>
      <c r="G77" s="93" t="s">
        <v>603</v>
      </c>
    </row>
    <row r="78" spans="3:7">
      <c r="C78" s="94" t="s">
        <v>524</v>
      </c>
      <c r="D78" s="93" t="s">
        <v>800</v>
      </c>
      <c r="E78" s="94">
        <v>1</v>
      </c>
      <c r="F78" s="94"/>
      <c r="G78" s="93" t="s">
        <v>603</v>
      </c>
    </row>
    <row r="79" spans="3:7">
      <c r="C79" s="94" t="s">
        <v>196</v>
      </c>
      <c r="D79" s="93" t="s">
        <v>1216</v>
      </c>
      <c r="E79" s="94">
        <v>1</v>
      </c>
      <c r="F79" s="94"/>
      <c r="G79" s="93" t="s">
        <v>603</v>
      </c>
    </row>
    <row r="80" spans="3:7">
      <c r="C80" s="94" t="s">
        <v>198</v>
      </c>
      <c r="D80" s="93" t="s">
        <v>1218</v>
      </c>
      <c r="E80" s="94">
        <v>1</v>
      </c>
      <c r="F80" s="94"/>
      <c r="G80" s="93" t="s">
        <v>603</v>
      </c>
    </row>
    <row r="81" spans="3:7">
      <c r="C81" s="94" t="s">
        <v>198</v>
      </c>
      <c r="D81" s="93" t="s">
        <v>1219</v>
      </c>
      <c r="E81" s="94">
        <v>1</v>
      </c>
      <c r="F81" s="94"/>
      <c r="G81" s="93" t="s">
        <v>603</v>
      </c>
    </row>
    <row r="82" spans="3:7">
      <c r="C82" s="94" t="s">
        <v>198</v>
      </c>
      <c r="D82" s="93" t="s">
        <v>1221</v>
      </c>
      <c r="E82" s="94">
        <v>1</v>
      </c>
      <c r="F82" s="94"/>
      <c r="G82" s="93" t="s">
        <v>603</v>
      </c>
    </row>
    <row r="83" spans="3:7">
      <c r="C83" s="94" t="s">
        <v>198</v>
      </c>
      <c r="D83" s="93" t="s">
        <v>1222</v>
      </c>
      <c r="E83" s="94">
        <v>1</v>
      </c>
      <c r="F83" s="94"/>
      <c r="G83" s="93" t="s">
        <v>603</v>
      </c>
    </row>
    <row r="84" spans="3:7">
      <c r="C84" s="94" t="s">
        <v>198</v>
      </c>
      <c r="D84" s="93" t="s">
        <v>1223</v>
      </c>
      <c r="E84" s="94">
        <v>1</v>
      </c>
      <c r="F84" s="94"/>
      <c r="G84" s="93" t="s">
        <v>603</v>
      </c>
    </row>
    <row r="85" spans="3:7">
      <c r="C85" s="94" t="s">
        <v>526</v>
      </c>
      <c r="D85" s="93" t="s">
        <v>1224</v>
      </c>
      <c r="E85" s="94">
        <v>1</v>
      </c>
      <c r="F85" s="94"/>
      <c r="G85" s="93" t="s">
        <v>603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O525"/>
  <sheetViews>
    <sheetView topLeftCell="AC121" workbookViewId="0">
      <selection activeCell="AE127" sqref="AE127"/>
    </sheetView>
  </sheetViews>
  <sheetFormatPr defaultRowHeight="17.399999999999999"/>
  <cols>
    <col min="35" max="35" width="9" style="121"/>
  </cols>
  <sheetData>
    <row r="1" spans="1:41">
      <c r="A1" t="s">
        <v>571</v>
      </c>
      <c r="B1" t="s">
        <v>572</v>
      </c>
      <c r="C1" t="s">
        <v>573</v>
      </c>
      <c r="D1" t="s">
        <v>0</v>
      </c>
      <c r="E1" t="s">
        <v>574</v>
      </c>
      <c r="F1" t="s">
        <v>575</v>
      </c>
      <c r="G1" t="s">
        <v>576</v>
      </c>
      <c r="H1" t="s">
        <v>577</v>
      </c>
      <c r="I1" t="s">
        <v>4</v>
      </c>
      <c r="J1" t="s">
        <v>578</v>
      </c>
      <c r="K1" t="s">
        <v>579</v>
      </c>
      <c r="L1" t="s">
        <v>503</v>
      </c>
      <c r="M1" t="s">
        <v>580</v>
      </c>
      <c r="N1" t="s">
        <v>581</v>
      </c>
      <c r="O1" t="s">
        <v>582</v>
      </c>
      <c r="P1" t="s">
        <v>583</v>
      </c>
      <c r="Q1" t="s">
        <v>567</v>
      </c>
      <c r="R1" t="s">
        <v>584</v>
      </c>
      <c r="S1" t="s">
        <v>504</v>
      </c>
      <c r="T1" t="s">
        <v>585</v>
      </c>
      <c r="U1" t="s">
        <v>586</v>
      </c>
      <c r="V1" t="s">
        <v>587</v>
      </c>
      <c r="W1" t="s">
        <v>588</v>
      </c>
      <c r="X1" t="s">
        <v>155</v>
      </c>
      <c r="Y1" t="s">
        <v>589</v>
      </c>
      <c r="Z1" t="s">
        <v>590</v>
      </c>
      <c r="AA1" t="s">
        <v>591</v>
      </c>
      <c r="AB1" t="s">
        <v>592</v>
      </c>
      <c r="AC1" t="s">
        <v>593</v>
      </c>
      <c r="AD1" t="s">
        <v>594</v>
      </c>
      <c r="AE1" t="s">
        <v>595</v>
      </c>
      <c r="AF1" t="s">
        <v>926</v>
      </c>
      <c r="AG1" t="s">
        <v>774</v>
      </c>
      <c r="AH1" t="s">
        <v>927</v>
      </c>
      <c r="AI1" s="121" t="s">
        <v>645</v>
      </c>
      <c r="AJ1" t="s">
        <v>775</v>
      </c>
      <c r="AK1" t="s">
        <v>928</v>
      </c>
      <c r="AL1" t="s">
        <v>925</v>
      </c>
      <c r="AM1" t="s">
        <v>924</v>
      </c>
      <c r="AN1" t="s">
        <v>597</v>
      </c>
      <c r="AO1" t="s">
        <v>1270</v>
      </c>
    </row>
    <row r="2" spans="1:41">
      <c r="A2">
        <v>201903</v>
      </c>
      <c r="B2">
        <v>25</v>
      </c>
      <c r="C2" t="s">
        <v>526</v>
      </c>
      <c r="D2">
        <v>3190457842801</v>
      </c>
      <c r="E2" t="s">
        <v>53</v>
      </c>
      <c r="F2" t="s">
        <v>597</v>
      </c>
      <c r="G2" t="s">
        <v>598</v>
      </c>
      <c r="H2" t="s">
        <v>599</v>
      </c>
      <c r="I2" t="s">
        <v>661</v>
      </c>
      <c r="J2" t="s">
        <v>661</v>
      </c>
      <c r="K2" t="s">
        <v>662</v>
      </c>
      <c r="L2" t="s">
        <v>698</v>
      </c>
      <c r="M2" t="s">
        <v>699</v>
      </c>
      <c r="N2" t="s">
        <v>964</v>
      </c>
      <c r="P2" t="s">
        <v>603</v>
      </c>
      <c r="Q2" t="s">
        <v>648</v>
      </c>
      <c r="R2" t="s">
        <v>980</v>
      </c>
      <c r="S2">
        <v>20181018</v>
      </c>
      <c r="T2" t="s">
        <v>829</v>
      </c>
      <c r="X2">
        <v>5</v>
      </c>
      <c r="Y2">
        <v>78538</v>
      </c>
      <c r="AA2" t="s">
        <v>605</v>
      </c>
      <c r="AB2">
        <v>20190220</v>
      </c>
      <c r="AE2">
        <f>AO2-AI2</f>
        <v>0</v>
      </c>
      <c r="AF2">
        <v>0</v>
      </c>
      <c r="AG2">
        <v>0</v>
      </c>
      <c r="AH2">
        <v>0</v>
      </c>
      <c r="AI2" s="121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1:41">
      <c r="A3">
        <v>201903</v>
      </c>
      <c r="B3">
        <v>25</v>
      </c>
      <c r="C3" t="s">
        <v>526</v>
      </c>
      <c r="D3">
        <v>3190485056251</v>
      </c>
      <c r="E3" t="s">
        <v>53</v>
      </c>
      <c r="F3" t="s">
        <v>597</v>
      </c>
      <c r="G3" t="s">
        <v>598</v>
      </c>
      <c r="H3" t="s">
        <v>599</v>
      </c>
      <c r="I3" t="s">
        <v>661</v>
      </c>
      <c r="J3" t="s">
        <v>661</v>
      </c>
      <c r="K3" t="s">
        <v>662</v>
      </c>
      <c r="L3" t="s">
        <v>700</v>
      </c>
      <c r="M3" t="s">
        <v>701</v>
      </c>
      <c r="N3" t="s">
        <v>962</v>
      </c>
      <c r="P3" t="s">
        <v>603</v>
      </c>
      <c r="Q3" t="s">
        <v>648</v>
      </c>
      <c r="R3" t="s">
        <v>984</v>
      </c>
      <c r="S3">
        <v>20190130</v>
      </c>
      <c r="T3" t="s">
        <v>898</v>
      </c>
      <c r="X3">
        <v>2</v>
      </c>
      <c r="Y3">
        <v>39000</v>
      </c>
      <c r="AA3" t="s">
        <v>605</v>
      </c>
      <c r="AB3">
        <v>20190211</v>
      </c>
      <c r="AE3">
        <f t="shared" ref="AE3:AE66" si="0">AO3-AI3</f>
        <v>0</v>
      </c>
      <c r="AF3">
        <v>0</v>
      </c>
      <c r="AG3">
        <v>0</v>
      </c>
      <c r="AH3">
        <v>0</v>
      </c>
      <c r="AI3" s="121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1:41">
      <c r="A4">
        <v>201903</v>
      </c>
      <c r="B4">
        <v>25</v>
      </c>
      <c r="C4" t="s">
        <v>526</v>
      </c>
      <c r="D4">
        <v>3190477409601</v>
      </c>
      <c r="E4" t="s">
        <v>53</v>
      </c>
      <c r="F4" t="s">
        <v>597</v>
      </c>
      <c r="G4" t="s">
        <v>598</v>
      </c>
      <c r="H4" t="s">
        <v>599</v>
      </c>
      <c r="I4" t="s">
        <v>661</v>
      </c>
      <c r="J4" t="s">
        <v>661</v>
      </c>
      <c r="K4" t="s">
        <v>662</v>
      </c>
      <c r="L4" t="s">
        <v>700</v>
      </c>
      <c r="M4" t="s">
        <v>701</v>
      </c>
      <c r="N4" t="s">
        <v>962</v>
      </c>
      <c r="P4" t="s">
        <v>603</v>
      </c>
      <c r="Q4" t="s">
        <v>648</v>
      </c>
      <c r="R4" t="s">
        <v>996</v>
      </c>
      <c r="S4">
        <v>20181226</v>
      </c>
      <c r="T4" t="s">
        <v>906</v>
      </c>
      <c r="X4">
        <v>3</v>
      </c>
      <c r="Y4">
        <v>54500</v>
      </c>
      <c r="AA4" t="s">
        <v>605</v>
      </c>
      <c r="AB4">
        <v>20190220</v>
      </c>
      <c r="AE4">
        <f t="shared" si="0"/>
        <v>0</v>
      </c>
      <c r="AF4">
        <v>0</v>
      </c>
      <c r="AG4">
        <v>0</v>
      </c>
      <c r="AH4">
        <v>0</v>
      </c>
      <c r="AI4" s="121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1:41">
      <c r="A5">
        <v>201903</v>
      </c>
      <c r="B5">
        <v>25</v>
      </c>
      <c r="C5" t="s">
        <v>526</v>
      </c>
      <c r="D5">
        <v>3190487703061</v>
      </c>
      <c r="E5" t="s">
        <v>53</v>
      </c>
      <c r="F5" t="s">
        <v>690</v>
      </c>
      <c r="G5" t="s">
        <v>598</v>
      </c>
      <c r="H5" t="s">
        <v>599</v>
      </c>
      <c r="I5" t="s">
        <v>661</v>
      </c>
      <c r="L5" t="s">
        <v>669</v>
      </c>
      <c r="M5" t="s">
        <v>670</v>
      </c>
      <c r="N5" t="s">
        <v>949</v>
      </c>
      <c r="P5" t="s">
        <v>691</v>
      </c>
      <c r="Q5" t="s">
        <v>648</v>
      </c>
      <c r="R5" t="s">
        <v>984</v>
      </c>
      <c r="S5">
        <v>20190208</v>
      </c>
      <c r="T5" t="s">
        <v>997</v>
      </c>
      <c r="X5">
        <v>1</v>
      </c>
      <c r="Y5">
        <v>51000</v>
      </c>
      <c r="Z5">
        <v>120233</v>
      </c>
      <c r="AA5" t="s">
        <v>605</v>
      </c>
      <c r="AB5">
        <v>20190208</v>
      </c>
      <c r="AE5">
        <f t="shared" si="0"/>
        <v>258500</v>
      </c>
      <c r="AF5">
        <v>258500</v>
      </c>
      <c r="AG5">
        <v>0</v>
      </c>
      <c r="AH5">
        <v>0</v>
      </c>
      <c r="AI5" s="121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258500</v>
      </c>
    </row>
    <row r="6" spans="1:41">
      <c r="A6">
        <v>201903</v>
      </c>
      <c r="B6">
        <v>25</v>
      </c>
      <c r="C6" t="s">
        <v>526</v>
      </c>
      <c r="D6">
        <v>3190039789081</v>
      </c>
      <c r="E6" t="s">
        <v>53</v>
      </c>
      <c r="F6" t="s">
        <v>597</v>
      </c>
      <c r="G6" t="s">
        <v>598</v>
      </c>
      <c r="H6" t="s">
        <v>599</v>
      </c>
      <c r="I6" t="s">
        <v>606</v>
      </c>
      <c r="J6" t="s">
        <v>606</v>
      </c>
      <c r="K6" t="s">
        <v>607</v>
      </c>
      <c r="L6" t="s">
        <v>625</v>
      </c>
      <c r="M6" t="s">
        <v>626</v>
      </c>
      <c r="N6" t="s">
        <v>941</v>
      </c>
      <c r="P6" t="s">
        <v>603</v>
      </c>
      <c r="Q6" t="s">
        <v>648</v>
      </c>
      <c r="R6" t="s">
        <v>1037</v>
      </c>
      <c r="S6">
        <v>20160428</v>
      </c>
      <c r="T6" t="s">
        <v>878</v>
      </c>
      <c r="X6">
        <v>35</v>
      </c>
      <c r="Y6">
        <v>202000</v>
      </c>
      <c r="AA6" t="s">
        <v>605</v>
      </c>
      <c r="AB6">
        <v>20190220</v>
      </c>
      <c r="AE6">
        <f t="shared" si="0"/>
        <v>0</v>
      </c>
      <c r="AF6">
        <v>0</v>
      </c>
      <c r="AG6">
        <v>0</v>
      </c>
      <c r="AH6">
        <v>0</v>
      </c>
      <c r="AI6" s="121">
        <v>1515</v>
      </c>
      <c r="AJ6">
        <v>0</v>
      </c>
      <c r="AK6">
        <v>0</v>
      </c>
      <c r="AL6">
        <v>0</v>
      </c>
      <c r="AM6">
        <v>0</v>
      </c>
      <c r="AN6">
        <v>0</v>
      </c>
      <c r="AO6">
        <v>1515</v>
      </c>
    </row>
    <row r="7" spans="1:41">
      <c r="A7">
        <v>201903</v>
      </c>
      <c r="B7">
        <v>25</v>
      </c>
      <c r="C7" t="s">
        <v>526</v>
      </c>
      <c r="D7">
        <v>3190076022641</v>
      </c>
      <c r="E7" t="s">
        <v>53</v>
      </c>
      <c r="F7" t="s">
        <v>597</v>
      </c>
      <c r="G7" t="s">
        <v>598</v>
      </c>
      <c r="H7" t="s">
        <v>599</v>
      </c>
      <c r="I7" t="s">
        <v>702</v>
      </c>
      <c r="J7" t="s">
        <v>702</v>
      </c>
      <c r="K7" t="s">
        <v>703</v>
      </c>
      <c r="L7" t="s">
        <v>513</v>
      </c>
      <c r="M7" t="s">
        <v>512</v>
      </c>
      <c r="N7" t="s">
        <v>930</v>
      </c>
      <c r="P7" t="s">
        <v>603</v>
      </c>
      <c r="Q7" t="s">
        <v>648</v>
      </c>
      <c r="R7" t="s">
        <v>1066</v>
      </c>
      <c r="S7">
        <v>20170331</v>
      </c>
      <c r="T7" t="s">
        <v>1033</v>
      </c>
      <c r="X7">
        <v>24</v>
      </c>
      <c r="Y7">
        <v>65000</v>
      </c>
      <c r="AA7" t="s">
        <v>605</v>
      </c>
      <c r="AB7">
        <v>20190220</v>
      </c>
      <c r="AE7">
        <f t="shared" si="0"/>
        <v>0</v>
      </c>
      <c r="AF7">
        <v>0</v>
      </c>
      <c r="AG7">
        <v>0</v>
      </c>
      <c r="AH7">
        <v>0</v>
      </c>
      <c r="AI7" s="121">
        <v>325</v>
      </c>
      <c r="AJ7">
        <v>0</v>
      </c>
      <c r="AK7">
        <v>0</v>
      </c>
      <c r="AL7">
        <v>0</v>
      </c>
      <c r="AM7">
        <v>0</v>
      </c>
      <c r="AN7">
        <v>0</v>
      </c>
      <c r="AO7">
        <v>325</v>
      </c>
    </row>
    <row r="8" spans="1:41">
      <c r="A8">
        <v>201903</v>
      </c>
      <c r="B8">
        <v>25</v>
      </c>
      <c r="C8" t="s">
        <v>526</v>
      </c>
      <c r="D8">
        <v>3190459144921</v>
      </c>
      <c r="E8" t="s">
        <v>53</v>
      </c>
      <c r="F8" t="s">
        <v>597</v>
      </c>
      <c r="G8" t="s">
        <v>598</v>
      </c>
      <c r="H8" t="s">
        <v>599</v>
      </c>
      <c r="I8" t="s">
        <v>661</v>
      </c>
      <c r="J8" t="s">
        <v>661</v>
      </c>
      <c r="K8" t="s">
        <v>662</v>
      </c>
      <c r="L8" t="s">
        <v>698</v>
      </c>
      <c r="M8" t="s">
        <v>699</v>
      </c>
      <c r="N8" t="s">
        <v>964</v>
      </c>
      <c r="P8" t="s">
        <v>603</v>
      </c>
      <c r="Q8" t="s">
        <v>648</v>
      </c>
      <c r="R8" t="s">
        <v>980</v>
      </c>
      <c r="S8">
        <v>20181022</v>
      </c>
      <c r="T8" t="s">
        <v>830</v>
      </c>
      <c r="X8">
        <v>5</v>
      </c>
      <c r="Y8">
        <v>66947</v>
      </c>
      <c r="AA8" t="s">
        <v>605</v>
      </c>
      <c r="AB8">
        <v>20190220</v>
      </c>
      <c r="AE8">
        <f t="shared" si="0"/>
        <v>0</v>
      </c>
      <c r="AF8">
        <v>0</v>
      </c>
      <c r="AG8">
        <v>0</v>
      </c>
      <c r="AH8">
        <v>0</v>
      </c>
      <c r="AI8" s="121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1:41">
      <c r="A9">
        <v>201903</v>
      </c>
      <c r="B9">
        <v>25</v>
      </c>
      <c r="C9" t="s">
        <v>526</v>
      </c>
      <c r="D9">
        <v>3190491370421</v>
      </c>
      <c r="E9" t="s">
        <v>53</v>
      </c>
      <c r="F9" t="s">
        <v>690</v>
      </c>
      <c r="G9" t="s">
        <v>598</v>
      </c>
      <c r="H9" t="s">
        <v>599</v>
      </c>
      <c r="I9" t="s">
        <v>661</v>
      </c>
      <c r="L9" t="s">
        <v>669</v>
      </c>
      <c r="M9" t="s">
        <v>670</v>
      </c>
      <c r="N9" t="s">
        <v>949</v>
      </c>
      <c r="P9" t="s">
        <v>691</v>
      </c>
      <c r="Q9" t="s">
        <v>648</v>
      </c>
      <c r="R9" t="s">
        <v>984</v>
      </c>
      <c r="S9">
        <v>20190215</v>
      </c>
      <c r="T9" t="s">
        <v>893</v>
      </c>
      <c r="X9">
        <v>1</v>
      </c>
      <c r="Y9">
        <v>53000</v>
      </c>
      <c r="Z9">
        <v>124948</v>
      </c>
      <c r="AA9" t="s">
        <v>605</v>
      </c>
      <c r="AB9">
        <v>20190215</v>
      </c>
      <c r="AE9">
        <f t="shared" si="0"/>
        <v>268638</v>
      </c>
      <c r="AF9">
        <v>268638</v>
      </c>
      <c r="AG9">
        <v>0</v>
      </c>
      <c r="AH9">
        <v>0</v>
      </c>
      <c r="AI9" s="121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268638</v>
      </c>
    </row>
    <row r="10" spans="1:41">
      <c r="A10">
        <v>201903</v>
      </c>
      <c r="B10">
        <v>25</v>
      </c>
      <c r="C10" t="s">
        <v>526</v>
      </c>
      <c r="D10">
        <v>3190042378081</v>
      </c>
      <c r="E10" t="s">
        <v>53</v>
      </c>
      <c r="F10" t="s">
        <v>597</v>
      </c>
      <c r="G10" t="s">
        <v>598</v>
      </c>
      <c r="H10" t="s">
        <v>599</v>
      </c>
      <c r="I10" t="s">
        <v>646</v>
      </c>
      <c r="J10" t="s">
        <v>646</v>
      </c>
      <c r="K10" t="s">
        <v>647</v>
      </c>
      <c r="L10" t="s">
        <v>651</v>
      </c>
      <c r="M10" t="s">
        <v>652</v>
      </c>
      <c r="N10" t="s">
        <v>1160</v>
      </c>
      <c r="P10" t="s">
        <v>603</v>
      </c>
      <c r="Q10" t="s">
        <v>727</v>
      </c>
      <c r="R10" t="s">
        <v>1140</v>
      </c>
      <c r="S10">
        <v>20160527</v>
      </c>
      <c r="T10" t="s">
        <v>1161</v>
      </c>
      <c r="X10">
        <v>34</v>
      </c>
      <c r="Y10">
        <v>87000</v>
      </c>
      <c r="AA10" t="s">
        <v>605</v>
      </c>
      <c r="AB10">
        <v>20190207</v>
      </c>
      <c r="AE10">
        <f t="shared" si="0"/>
        <v>0</v>
      </c>
      <c r="AF10">
        <v>0</v>
      </c>
      <c r="AG10">
        <v>0</v>
      </c>
      <c r="AH10">
        <v>0</v>
      </c>
      <c r="AI10" s="121">
        <v>435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435</v>
      </c>
    </row>
    <row r="11" spans="1:41">
      <c r="A11">
        <v>201903</v>
      </c>
      <c r="B11">
        <v>25</v>
      </c>
      <c r="C11" t="s">
        <v>526</v>
      </c>
      <c r="D11">
        <v>3190077664121</v>
      </c>
      <c r="E11" t="s">
        <v>53</v>
      </c>
      <c r="F11" t="s">
        <v>597</v>
      </c>
      <c r="G11" t="s">
        <v>598</v>
      </c>
      <c r="H11" t="s">
        <v>599</v>
      </c>
      <c r="I11" t="s">
        <v>606</v>
      </c>
      <c r="J11" t="s">
        <v>606</v>
      </c>
      <c r="K11" t="s">
        <v>607</v>
      </c>
      <c r="L11" t="s">
        <v>639</v>
      </c>
      <c r="M11" t="s">
        <v>640</v>
      </c>
      <c r="N11" t="s">
        <v>1007</v>
      </c>
      <c r="P11" t="s">
        <v>603</v>
      </c>
      <c r="Q11" t="s">
        <v>648</v>
      </c>
      <c r="R11" t="s">
        <v>1050</v>
      </c>
      <c r="S11">
        <v>20170417</v>
      </c>
      <c r="T11" t="s">
        <v>1078</v>
      </c>
      <c r="X11">
        <v>23</v>
      </c>
      <c r="Y11">
        <v>74000</v>
      </c>
      <c r="AA11" t="s">
        <v>605</v>
      </c>
      <c r="AB11">
        <v>20190220</v>
      </c>
      <c r="AE11">
        <f t="shared" si="0"/>
        <v>0</v>
      </c>
      <c r="AF11">
        <v>0</v>
      </c>
      <c r="AG11">
        <v>0</v>
      </c>
      <c r="AH11">
        <v>0</v>
      </c>
      <c r="AI11" s="121">
        <v>370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370</v>
      </c>
    </row>
    <row r="12" spans="1:41">
      <c r="A12">
        <v>201903</v>
      </c>
      <c r="B12">
        <v>25</v>
      </c>
      <c r="C12" t="s">
        <v>526</v>
      </c>
      <c r="D12">
        <v>3190077701741</v>
      </c>
      <c r="E12" t="s">
        <v>53</v>
      </c>
      <c r="F12" t="s">
        <v>597</v>
      </c>
      <c r="G12" t="s">
        <v>598</v>
      </c>
      <c r="H12" t="s">
        <v>599</v>
      </c>
      <c r="I12" t="s">
        <v>606</v>
      </c>
      <c r="J12" t="s">
        <v>606</v>
      </c>
      <c r="K12" t="s">
        <v>607</v>
      </c>
      <c r="L12" t="s">
        <v>639</v>
      </c>
      <c r="M12" t="s">
        <v>640</v>
      </c>
      <c r="N12" t="s">
        <v>1007</v>
      </c>
      <c r="P12" t="s">
        <v>603</v>
      </c>
      <c r="Q12" t="s">
        <v>648</v>
      </c>
      <c r="R12" t="s">
        <v>1079</v>
      </c>
      <c r="S12">
        <v>20170414</v>
      </c>
      <c r="T12" t="s">
        <v>868</v>
      </c>
      <c r="X12">
        <v>21</v>
      </c>
      <c r="Y12">
        <v>43988</v>
      </c>
      <c r="AA12" t="s">
        <v>605</v>
      </c>
      <c r="AB12">
        <v>20190228</v>
      </c>
      <c r="AE12">
        <f t="shared" si="0"/>
        <v>0</v>
      </c>
      <c r="AF12">
        <v>0</v>
      </c>
      <c r="AG12">
        <v>0</v>
      </c>
      <c r="AH12">
        <v>0</v>
      </c>
      <c r="AI12" s="121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</row>
    <row r="13" spans="1:41">
      <c r="A13">
        <v>201903</v>
      </c>
      <c r="B13">
        <v>25</v>
      </c>
      <c r="C13" t="s">
        <v>526</v>
      </c>
      <c r="D13">
        <v>3190460484501</v>
      </c>
      <c r="E13" t="s">
        <v>53</v>
      </c>
      <c r="F13" t="s">
        <v>597</v>
      </c>
      <c r="G13" t="s">
        <v>598</v>
      </c>
      <c r="H13" t="s">
        <v>599</v>
      </c>
      <c r="L13" t="s">
        <v>759</v>
      </c>
      <c r="M13" t="s">
        <v>751</v>
      </c>
      <c r="N13" t="s">
        <v>1233</v>
      </c>
      <c r="P13" t="s">
        <v>603</v>
      </c>
      <c r="Q13" t="s">
        <v>648</v>
      </c>
      <c r="R13" t="s">
        <v>996</v>
      </c>
      <c r="S13">
        <v>20181026</v>
      </c>
      <c r="T13" t="s">
        <v>904</v>
      </c>
      <c r="X13">
        <v>5</v>
      </c>
      <c r="Y13">
        <v>82000</v>
      </c>
      <c r="AA13" t="s">
        <v>605</v>
      </c>
      <c r="AB13">
        <v>20190220</v>
      </c>
      <c r="AE13">
        <f t="shared" si="0"/>
        <v>0</v>
      </c>
      <c r="AF13">
        <v>0</v>
      </c>
      <c r="AG13">
        <v>0</v>
      </c>
      <c r="AH13">
        <v>0</v>
      </c>
      <c r="AI13" s="121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</row>
    <row r="14" spans="1:41">
      <c r="A14">
        <v>201903</v>
      </c>
      <c r="B14">
        <v>25</v>
      </c>
      <c r="C14" t="s">
        <v>526</v>
      </c>
      <c r="D14">
        <v>3190047825361</v>
      </c>
      <c r="E14" t="s">
        <v>53</v>
      </c>
      <c r="F14" t="s">
        <v>597</v>
      </c>
      <c r="G14" t="s">
        <v>598</v>
      </c>
      <c r="H14" t="s">
        <v>599</v>
      </c>
      <c r="I14" t="s">
        <v>606</v>
      </c>
      <c r="J14" t="s">
        <v>606</v>
      </c>
      <c r="K14" t="s">
        <v>607</v>
      </c>
      <c r="L14" t="s">
        <v>614</v>
      </c>
      <c r="M14" t="s">
        <v>615</v>
      </c>
      <c r="N14" t="s">
        <v>1226</v>
      </c>
      <c r="P14" t="s">
        <v>603</v>
      </c>
      <c r="Q14" t="s">
        <v>648</v>
      </c>
      <c r="R14" t="s">
        <v>1138</v>
      </c>
      <c r="S14">
        <v>20160713</v>
      </c>
      <c r="T14" t="s">
        <v>1139</v>
      </c>
      <c r="X14">
        <v>32</v>
      </c>
      <c r="Y14">
        <v>25000</v>
      </c>
      <c r="AA14" t="s">
        <v>605</v>
      </c>
      <c r="AB14">
        <v>20190211</v>
      </c>
      <c r="AE14">
        <f t="shared" si="0"/>
        <v>0</v>
      </c>
      <c r="AF14">
        <v>0</v>
      </c>
      <c r="AG14">
        <v>0</v>
      </c>
      <c r="AH14">
        <v>0</v>
      </c>
      <c r="AI14" s="121">
        <v>125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125</v>
      </c>
    </row>
    <row r="15" spans="1:41">
      <c r="A15">
        <v>201903</v>
      </c>
      <c r="B15">
        <v>25</v>
      </c>
      <c r="C15" t="s">
        <v>526</v>
      </c>
      <c r="D15">
        <v>3190048753651</v>
      </c>
      <c r="E15" t="s">
        <v>53</v>
      </c>
      <c r="F15" t="s">
        <v>597</v>
      </c>
      <c r="G15" t="s">
        <v>598</v>
      </c>
      <c r="H15" t="s">
        <v>599</v>
      </c>
      <c r="I15" t="s">
        <v>702</v>
      </c>
      <c r="J15" t="s">
        <v>702</v>
      </c>
      <c r="K15" t="s">
        <v>703</v>
      </c>
      <c r="L15" t="s">
        <v>513</v>
      </c>
      <c r="M15" t="s">
        <v>512</v>
      </c>
      <c r="N15" t="s">
        <v>930</v>
      </c>
      <c r="P15" t="s">
        <v>603</v>
      </c>
      <c r="Q15" t="s">
        <v>648</v>
      </c>
      <c r="R15" t="s">
        <v>1047</v>
      </c>
      <c r="S15">
        <v>20160722</v>
      </c>
      <c r="T15" t="s">
        <v>1057</v>
      </c>
      <c r="X15">
        <v>32</v>
      </c>
      <c r="Y15">
        <v>22000</v>
      </c>
      <c r="AA15" t="s">
        <v>605</v>
      </c>
      <c r="AB15">
        <v>20190220</v>
      </c>
      <c r="AE15">
        <f t="shared" si="0"/>
        <v>0</v>
      </c>
      <c r="AF15">
        <v>0</v>
      </c>
      <c r="AG15">
        <v>0</v>
      </c>
      <c r="AH15">
        <v>0</v>
      </c>
      <c r="AI15" s="121">
        <v>110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110</v>
      </c>
    </row>
    <row r="16" spans="1:41">
      <c r="A16">
        <v>201903</v>
      </c>
      <c r="B16">
        <v>25</v>
      </c>
      <c r="C16" t="s">
        <v>526</v>
      </c>
      <c r="D16">
        <v>3190022848761</v>
      </c>
      <c r="E16" t="s">
        <v>53</v>
      </c>
      <c r="F16" t="s">
        <v>597</v>
      </c>
      <c r="G16" t="s">
        <v>598</v>
      </c>
      <c r="H16" t="s">
        <v>599</v>
      </c>
      <c r="I16" t="s">
        <v>646</v>
      </c>
      <c r="J16" t="s">
        <v>646</v>
      </c>
      <c r="K16" t="s">
        <v>647</v>
      </c>
      <c r="L16" t="s">
        <v>725</v>
      </c>
      <c r="M16" t="s">
        <v>726</v>
      </c>
      <c r="N16" t="s">
        <v>970</v>
      </c>
      <c r="P16" t="s">
        <v>603</v>
      </c>
      <c r="Q16" t="s">
        <v>727</v>
      </c>
      <c r="R16" t="s">
        <v>971</v>
      </c>
      <c r="S16">
        <v>20151112</v>
      </c>
      <c r="T16" t="s">
        <v>847</v>
      </c>
      <c r="W16">
        <v>0</v>
      </c>
      <c r="X16">
        <v>40</v>
      </c>
      <c r="Y16">
        <v>20000</v>
      </c>
      <c r="AA16" t="s">
        <v>605</v>
      </c>
      <c r="AB16">
        <v>20190220</v>
      </c>
      <c r="AE16">
        <f t="shared" si="0"/>
        <v>0</v>
      </c>
      <c r="AF16">
        <v>0</v>
      </c>
      <c r="AG16">
        <v>0</v>
      </c>
      <c r="AH16">
        <v>0</v>
      </c>
      <c r="AI16" s="121">
        <v>100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100</v>
      </c>
    </row>
    <row r="17" spans="1:41">
      <c r="A17">
        <v>201903</v>
      </c>
      <c r="B17">
        <v>25</v>
      </c>
      <c r="C17" t="s">
        <v>526</v>
      </c>
      <c r="D17">
        <v>3190049261361</v>
      </c>
      <c r="E17" t="s">
        <v>53</v>
      </c>
      <c r="F17" t="s">
        <v>597</v>
      </c>
      <c r="G17" t="s">
        <v>598</v>
      </c>
      <c r="H17" t="s">
        <v>599</v>
      </c>
      <c r="I17" t="s">
        <v>702</v>
      </c>
      <c r="L17" t="s">
        <v>515</v>
      </c>
      <c r="M17" t="s">
        <v>514</v>
      </c>
      <c r="N17" t="s">
        <v>935</v>
      </c>
      <c r="P17" t="s">
        <v>603</v>
      </c>
      <c r="Q17" t="s">
        <v>648</v>
      </c>
      <c r="R17" t="s">
        <v>1047</v>
      </c>
      <c r="S17">
        <v>20160726</v>
      </c>
      <c r="T17" t="s">
        <v>1244</v>
      </c>
      <c r="X17">
        <v>32</v>
      </c>
      <c r="Y17">
        <v>50000</v>
      </c>
      <c r="AA17" t="s">
        <v>605</v>
      </c>
      <c r="AB17">
        <v>20190225</v>
      </c>
      <c r="AE17">
        <f t="shared" si="0"/>
        <v>0</v>
      </c>
      <c r="AF17">
        <v>0</v>
      </c>
      <c r="AG17">
        <v>0</v>
      </c>
      <c r="AH17">
        <v>0</v>
      </c>
      <c r="AI17" s="121">
        <v>250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250</v>
      </c>
    </row>
    <row r="18" spans="1:41">
      <c r="A18">
        <v>201903</v>
      </c>
      <c r="B18">
        <v>25</v>
      </c>
      <c r="C18" t="s">
        <v>526</v>
      </c>
      <c r="D18">
        <v>3190050884091</v>
      </c>
      <c r="E18" t="s">
        <v>53</v>
      </c>
      <c r="F18" t="s">
        <v>597</v>
      </c>
      <c r="G18" t="s">
        <v>598</v>
      </c>
      <c r="H18" t="s">
        <v>599</v>
      </c>
      <c r="I18" t="s">
        <v>606</v>
      </c>
      <c r="J18" t="s">
        <v>606</v>
      </c>
      <c r="K18" t="s">
        <v>607</v>
      </c>
      <c r="L18" t="s">
        <v>769</v>
      </c>
      <c r="M18" t="s">
        <v>738</v>
      </c>
      <c r="N18" t="s">
        <v>941</v>
      </c>
      <c r="P18" t="s">
        <v>603</v>
      </c>
      <c r="Q18" t="s">
        <v>648</v>
      </c>
      <c r="R18" t="s">
        <v>1047</v>
      </c>
      <c r="S18">
        <v>20160818</v>
      </c>
      <c r="T18" t="s">
        <v>868</v>
      </c>
      <c r="X18">
        <v>31</v>
      </c>
      <c r="Y18">
        <v>31000</v>
      </c>
      <c r="AA18" t="s">
        <v>605</v>
      </c>
      <c r="AB18">
        <v>20190220</v>
      </c>
      <c r="AE18">
        <f t="shared" si="0"/>
        <v>0</v>
      </c>
      <c r="AF18">
        <v>0</v>
      </c>
      <c r="AG18">
        <v>0</v>
      </c>
      <c r="AH18">
        <v>0</v>
      </c>
      <c r="AI18" s="121">
        <v>155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155</v>
      </c>
    </row>
    <row r="19" spans="1:41">
      <c r="A19">
        <v>201903</v>
      </c>
      <c r="B19">
        <v>25</v>
      </c>
      <c r="C19" t="s">
        <v>526</v>
      </c>
      <c r="D19">
        <v>3190092328951</v>
      </c>
      <c r="E19" t="s">
        <v>53</v>
      </c>
      <c r="F19" t="s">
        <v>597</v>
      </c>
      <c r="G19" t="s">
        <v>598</v>
      </c>
      <c r="H19" t="s">
        <v>599</v>
      </c>
      <c r="I19" t="s">
        <v>606</v>
      </c>
      <c r="J19" t="s">
        <v>606</v>
      </c>
      <c r="K19" t="s">
        <v>607</v>
      </c>
      <c r="L19" t="s">
        <v>744</v>
      </c>
      <c r="M19" t="s">
        <v>745</v>
      </c>
      <c r="N19" t="s">
        <v>1260</v>
      </c>
      <c r="P19" t="s">
        <v>603</v>
      </c>
      <c r="Q19" t="s">
        <v>727</v>
      </c>
      <c r="R19" t="s">
        <v>1176</v>
      </c>
      <c r="S19">
        <v>20170728</v>
      </c>
      <c r="T19" t="s">
        <v>850</v>
      </c>
      <c r="X19">
        <v>18</v>
      </c>
      <c r="Y19">
        <v>1000000</v>
      </c>
      <c r="AA19" t="s">
        <v>605</v>
      </c>
      <c r="AB19">
        <v>20190228</v>
      </c>
      <c r="AE19">
        <f t="shared" si="0"/>
        <v>0</v>
      </c>
      <c r="AF19">
        <v>0</v>
      </c>
      <c r="AG19">
        <v>0</v>
      </c>
      <c r="AH19">
        <v>0</v>
      </c>
      <c r="AI19" s="121">
        <v>5000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5000</v>
      </c>
    </row>
    <row r="20" spans="1:41">
      <c r="A20">
        <v>201903</v>
      </c>
      <c r="B20">
        <v>25</v>
      </c>
      <c r="C20" t="s">
        <v>526</v>
      </c>
      <c r="D20">
        <v>3190441476271</v>
      </c>
      <c r="E20" t="s">
        <v>53</v>
      </c>
      <c r="F20" t="s">
        <v>597</v>
      </c>
      <c r="G20" t="s">
        <v>598</v>
      </c>
      <c r="H20" t="s">
        <v>599</v>
      </c>
      <c r="I20" t="s">
        <v>606</v>
      </c>
      <c r="J20" t="s">
        <v>606</v>
      </c>
      <c r="K20" t="s">
        <v>607</v>
      </c>
      <c r="L20" t="s">
        <v>622</v>
      </c>
      <c r="M20" t="s">
        <v>623</v>
      </c>
      <c r="N20" t="s">
        <v>936</v>
      </c>
      <c r="P20" t="s">
        <v>603</v>
      </c>
      <c r="Q20" t="s">
        <v>648</v>
      </c>
      <c r="R20" t="s">
        <v>980</v>
      </c>
      <c r="S20">
        <v>20180810</v>
      </c>
      <c r="T20" t="s">
        <v>818</v>
      </c>
      <c r="X20">
        <v>7</v>
      </c>
      <c r="Y20">
        <v>30274</v>
      </c>
      <c r="AA20" t="s">
        <v>605</v>
      </c>
      <c r="AB20">
        <v>20190220</v>
      </c>
      <c r="AE20">
        <f t="shared" si="0"/>
        <v>25006</v>
      </c>
      <c r="AF20">
        <v>0</v>
      </c>
      <c r="AG20">
        <v>25006</v>
      </c>
      <c r="AH20">
        <v>0</v>
      </c>
      <c r="AI20" s="121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25006</v>
      </c>
    </row>
    <row r="21" spans="1:41">
      <c r="A21">
        <v>201903</v>
      </c>
      <c r="B21">
        <v>25</v>
      </c>
      <c r="C21" t="s">
        <v>526</v>
      </c>
      <c r="D21">
        <v>3190465788671</v>
      </c>
      <c r="E21" t="s">
        <v>53</v>
      </c>
      <c r="F21" t="s">
        <v>597</v>
      </c>
      <c r="G21" t="s">
        <v>598</v>
      </c>
      <c r="H21" t="s">
        <v>599</v>
      </c>
      <c r="I21" t="s">
        <v>661</v>
      </c>
      <c r="J21" t="s">
        <v>661</v>
      </c>
      <c r="K21" t="s">
        <v>662</v>
      </c>
      <c r="L21" t="s">
        <v>665</v>
      </c>
      <c r="M21" t="s">
        <v>666</v>
      </c>
      <c r="N21" t="s">
        <v>1000</v>
      </c>
      <c r="P21" t="s">
        <v>603</v>
      </c>
      <c r="Q21" t="s">
        <v>648</v>
      </c>
      <c r="R21" t="s">
        <v>1228</v>
      </c>
      <c r="S21">
        <v>20181126</v>
      </c>
      <c r="T21" t="s">
        <v>1236</v>
      </c>
      <c r="X21">
        <v>4</v>
      </c>
      <c r="Y21">
        <v>40000</v>
      </c>
      <c r="AA21" t="s">
        <v>605</v>
      </c>
      <c r="AB21">
        <v>20190225</v>
      </c>
      <c r="AE21">
        <f t="shared" si="0"/>
        <v>0</v>
      </c>
      <c r="AF21">
        <v>0</v>
      </c>
      <c r="AG21">
        <v>0</v>
      </c>
      <c r="AH21">
        <v>0</v>
      </c>
      <c r="AI21" s="1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</row>
    <row r="22" spans="1:41">
      <c r="A22">
        <v>201903</v>
      </c>
      <c r="B22">
        <v>25</v>
      </c>
      <c r="C22" t="s">
        <v>526</v>
      </c>
      <c r="D22">
        <v>3190094971141</v>
      </c>
      <c r="E22" t="s">
        <v>53</v>
      </c>
      <c r="F22" t="s">
        <v>597</v>
      </c>
      <c r="G22" t="s">
        <v>598</v>
      </c>
      <c r="H22" t="s">
        <v>599</v>
      </c>
      <c r="I22" t="s">
        <v>661</v>
      </c>
      <c r="L22" t="s">
        <v>669</v>
      </c>
      <c r="M22" t="s">
        <v>670</v>
      </c>
      <c r="N22" t="s">
        <v>949</v>
      </c>
      <c r="P22" t="s">
        <v>603</v>
      </c>
      <c r="Q22" t="s">
        <v>648</v>
      </c>
      <c r="R22" t="s">
        <v>1041</v>
      </c>
      <c r="S22">
        <v>20170818</v>
      </c>
      <c r="T22" t="s">
        <v>839</v>
      </c>
      <c r="X22">
        <v>18</v>
      </c>
      <c r="Y22">
        <v>61000</v>
      </c>
      <c r="AA22" t="s">
        <v>605</v>
      </c>
      <c r="AB22">
        <v>20190228</v>
      </c>
      <c r="AE22">
        <f t="shared" si="0"/>
        <v>0</v>
      </c>
      <c r="AF22">
        <v>0</v>
      </c>
      <c r="AG22">
        <v>0</v>
      </c>
      <c r="AH22">
        <v>0</v>
      </c>
      <c r="AI22" s="121">
        <v>457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457</v>
      </c>
    </row>
    <row r="23" spans="1:41">
      <c r="A23">
        <v>201903</v>
      </c>
      <c r="B23">
        <v>25</v>
      </c>
      <c r="C23" t="s">
        <v>526</v>
      </c>
      <c r="D23">
        <v>3190466686551</v>
      </c>
      <c r="E23" t="s">
        <v>53</v>
      </c>
      <c r="F23" t="s">
        <v>597</v>
      </c>
      <c r="G23" t="s">
        <v>598</v>
      </c>
      <c r="H23" t="s">
        <v>599</v>
      </c>
      <c r="I23" t="s">
        <v>661</v>
      </c>
      <c r="L23" t="s">
        <v>669</v>
      </c>
      <c r="M23" t="s">
        <v>670</v>
      </c>
      <c r="N23" t="s">
        <v>949</v>
      </c>
      <c r="P23" t="s">
        <v>603</v>
      </c>
      <c r="Q23" t="s">
        <v>648</v>
      </c>
      <c r="R23" t="s">
        <v>1228</v>
      </c>
      <c r="S23">
        <v>20181116</v>
      </c>
      <c r="T23" t="s">
        <v>1010</v>
      </c>
      <c r="X23">
        <v>4</v>
      </c>
      <c r="Y23">
        <v>71000</v>
      </c>
      <c r="AA23" t="s">
        <v>605</v>
      </c>
      <c r="AB23">
        <v>20190220</v>
      </c>
      <c r="AE23">
        <f t="shared" si="0"/>
        <v>0</v>
      </c>
      <c r="AF23">
        <v>0</v>
      </c>
      <c r="AG23">
        <v>0</v>
      </c>
      <c r="AH23">
        <v>0</v>
      </c>
      <c r="AI23" s="121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</row>
    <row r="24" spans="1:41">
      <c r="A24">
        <v>201903</v>
      </c>
      <c r="B24">
        <v>25</v>
      </c>
      <c r="C24" t="s">
        <v>526</v>
      </c>
      <c r="D24">
        <v>3190467318371</v>
      </c>
      <c r="E24" t="s">
        <v>53</v>
      </c>
      <c r="F24" t="s">
        <v>597</v>
      </c>
      <c r="G24" t="s">
        <v>598</v>
      </c>
      <c r="H24" t="s">
        <v>599</v>
      </c>
      <c r="I24" t="s">
        <v>661</v>
      </c>
      <c r="L24" t="s">
        <v>669</v>
      </c>
      <c r="M24" t="s">
        <v>670</v>
      </c>
      <c r="N24" t="s">
        <v>949</v>
      </c>
      <c r="P24" t="s">
        <v>603</v>
      </c>
      <c r="Q24" t="s">
        <v>648</v>
      </c>
      <c r="R24" t="s">
        <v>980</v>
      </c>
      <c r="S24">
        <v>20181116</v>
      </c>
      <c r="T24" t="s">
        <v>852</v>
      </c>
      <c r="X24">
        <v>4</v>
      </c>
      <c r="Y24">
        <v>119188</v>
      </c>
      <c r="AA24" t="s">
        <v>605</v>
      </c>
      <c r="AB24">
        <v>20190220</v>
      </c>
      <c r="AE24">
        <f t="shared" si="0"/>
        <v>0</v>
      </c>
      <c r="AF24">
        <v>0</v>
      </c>
      <c r="AG24">
        <v>0</v>
      </c>
      <c r="AH24">
        <v>0</v>
      </c>
      <c r="AI24" s="121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</row>
    <row r="25" spans="1:41">
      <c r="A25">
        <v>201903</v>
      </c>
      <c r="B25">
        <v>25</v>
      </c>
      <c r="C25" t="s">
        <v>526</v>
      </c>
      <c r="D25">
        <v>3190023360591</v>
      </c>
      <c r="E25" t="s">
        <v>53</v>
      </c>
      <c r="F25" t="s">
        <v>597</v>
      </c>
      <c r="G25" t="s">
        <v>598</v>
      </c>
      <c r="H25" t="s">
        <v>599</v>
      </c>
      <c r="I25" t="s">
        <v>649</v>
      </c>
      <c r="J25" t="s">
        <v>649</v>
      </c>
      <c r="K25" t="s">
        <v>650</v>
      </c>
      <c r="L25" t="s">
        <v>657</v>
      </c>
      <c r="M25" t="s">
        <v>658</v>
      </c>
      <c r="N25" t="s">
        <v>932</v>
      </c>
      <c r="P25" t="s">
        <v>603</v>
      </c>
      <c r="Q25" t="s">
        <v>648</v>
      </c>
      <c r="R25" t="s">
        <v>929</v>
      </c>
      <c r="S25">
        <v>20151116</v>
      </c>
      <c r="T25" t="s">
        <v>867</v>
      </c>
      <c r="W25">
        <v>0</v>
      </c>
      <c r="X25">
        <v>40</v>
      </c>
      <c r="Y25">
        <v>30000</v>
      </c>
      <c r="AA25" t="s">
        <v>605</v>
      </c>
      <c r="AB25">
        <v>20190228</v>
      </c>
      <c r="AE25">
        <f t="shared" si="0"/>
        <v>0</v>
      </c>
      <c r="AF25">
        <v>0</v>
      </c>
      <c r="AG25">
        <v>0</v>
      </c>
      <c r="AH25">
        <v>0</v>
      </c>
      <c r="AI25" s="121">
        <v>150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150</v>
      </c>
    </row>
    <row r="26" spans="1:41">
      <c r="A26">
        <v>201903</v>
      </c>
      <c r="B26">
        <v>25</v>
      </c>
      <c r="C26" t="s">
        <v>526</v>
      </c>
      <c r="D26">
        <v>3190053654321</v>
      </c>
      <c r="E26" t="s">
        <v>53</v>
      </c>
      <c r="F26" t="s">
        <v>597</v>
      </c>
      <c r="G26" t="s">
        <v>598</v>
      </c>
      <c r="H26" t="s">
        <v>599</v>
      </c>
      <c r="I26" t="s">
        <v>702</v>
      </c>
      <c r="J26" t="s">
        <v>702</v>
      </c>
      <c r="K26" t="s">
        <v>703</v>
      </c>
      <c r="L26" t="s">
        <v>513</v>
      </c>
      <c r="M26" t="s">
        <v>512</v>
      </c>
      <c r="N26" t="s">
        <v>930</v>
      </c>
      <c r="P26" t="s">
        <v>603</v>
      </c>
      <c r="Q26" t="s">
        <v>727</v>
      </c>
      <c r="R26" t="s">
        <v>1040</v>
      </c>
      <c r="S26">
        <v>20160927</v>
      </c>
      <c r="T26" t="s">
        <v>823</v>
      </c>
      <c r="X26">
        <v>30</v>
      </c>
      <c r="Y26">
        <v>70000</v>
      </c>
      <c r="AA26" t="s">
        <v>605</v>
      </c>
      <c r="AB26">
        <v>20190220</v>
      </c>
      <c r="AE26">
        <f t="shared" si="0"/>
        <v>0</v>
      </c>
      <c r="AF26">
        <v>0</v>
      </c>
      <c r="AG26">
        <v>0</v>
      </c>
      <c r="AH26">
        <v>0</v>
      </c>
      <c r="AI26" s="121">
        <v>350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350</v>
      </c>
    </row>
    <row r="27" spans="1:41">
      <c r="A27">
        <v>201903</v>
      </c>
      <c r="B27">
        <v>25</v>
      </c>
      <c r="C27" t="s">
        <v>526</v>
      </c>
      <c r="D27">
        <v>3190099593011</v>
      </c>
      <c r="E27" t="s">
        <v>53</v>
      </c>
      <c r="F27" t="s">
        <v>597</v>
      </c>
      <c r="G27" t="s">
        <v>598</v>
      </c>
      <c r="H27" t="s">
        <v>599</v>
      </c>
      <c r="I27" t="s">
        <v>1167</v>
      </c>
      <c r="J27" t="s">
        <v>734</v>
      </c>
      <c r="K27" t="s">
        <v>735</v>
      </c>
      <c r="L27" t="s">
        <v>736</v>
      </c>
      <c r="M27" t="s">
        <v>737</v>
      </c>
      <c r="N27" t="s">
        <v>1052</v>
      </c>
      <c r="P27" t="s">
        <v>603</v>
      </c>
      <c r="Q27" t="s">
        <v>648</v>
      </c>
      <c r="R27" t="s">
        <v>1041</v>
      </c>
      <c r="S27">
        <v>20170922</v>
      </c>
      <c r="T27" t="s">
        <v>1073</v>
      </c>
      <c r="V27">
        <v>0</v>
      </c>
      <c r="W27">
        <v>0</v>
      </c>
      <c r="X27">
        <v>18</v>
      </c>
      <c r="Y27">
        <v>46500</v>
      </c>
      <c r="AA27" t="s">
        <v>605</v>
      </c>
      <c r="AB27">
        <v>20190220</v>
      </c>
      <c r="AE27">
        <f t="shared" si="0"/>
        <v>0</v>
      </c>
      <c r="AF27">
        <v>0</v>
      </c>
      <c r="AG27">
        <v>0</v>
      </c>
      <c r="AH27">
        <v>0</v>
      </c>
      <c r="AI27" s="121">
        <v>348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348</v>
      </c>
    </row>
    <row r="28" spans="1:41">
      <c r="A28">
        <v>201903</v>
      </c>
      <c r="B28">
        <v>25</v>
      </c>
      <c r="C28" t="s">
        <v>526</v>
      </c>
      <c r="D28">
        <v>3190444331011</v>
      </c>
      <c r="E28" t="s">
        <v>53</v>
      </c>
      <c r="F28" t="s">
        <v>597</v>
      </c>
      <c r="G28" t="s">
        <v>598</v>
      </c>
      <c r="H28" t="s">
        <v>599</v>
      </c>
      <c r="I28" t="s">
        <v>674</v>
      </c>
      <c r="L28" t="s">
        <v>705</v>
      </c>
      <c r="M28" t="s">
        <v>706</v>
      </c>
      <c r="N28" t="s">
        <v>966</v>
      </c>
      <c r="P28" t="s">
        <v>603</v>
      </c>
      <c r="Q28" t="s">
        <v>648</v>
      </c>
      <c r="R28" t="s">
        <v>989</v>
      </c>
      <c r="S28">
        <v>20180827</v>
      </c>
      <c r="T28" t="s">
        <v>781</v>
      </c>
      <c r="V28">
        <v>0</v>
      </c>
      <c r="W28">
        <v>0</v>
      </c>
      <c r="X28">
        <v>7</v>
      </c>
      <c r="Y28">
        <v>24000</v>
      </c>
      <c r="AA28" t="s">
        <v>605</v>
      </c>
      <c r="AB28">
        <v>20190225</v>
      </c>
      <c r="AE28">
        <f t="shared" si="0"/>
        <v>19488</v>
      </c>
      <c r="AF28">
        <v>0</v>
      </c>
      <c r="AG28">
        <v>19488</v>
      </c>
      <c r="AH28">
        <v>0</v>
      </c>
      <c r="AI28" s="121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19488</v>
      </c>
    </row>
    <row r="29" spans="1:41">
      <c r="A29">
        <v>201903</v>
      </c>
      <c r="B29">
        <v>25</v>
      </c>
      <c r="C29" t="s">
        <v>526</v>
      </c>
      <c r="D29">
        <v>3190468434201</v>
      </c>
      <c r="E29" t="s">
        <v>53</v>
      </c>
      <c r="F29" t="s">
        <v>597</v>
      </c>
      <c r="G29" t="s">
        <v>598</v>
      </c>
      <c r="H29" t="s">
        <v>599</v>
      </c>
      <c r="I29" t="s">
        <v>661</v>
      </c>
      <c r="J29" t="s">
        <v>661</v>
      </c>
      <c r="K29" t="s">
        <v>662</v>
      </c>
      <c r="L29" t="s">
        <v>665</v>
      </c>
      <c r="M29" t="s">
        <v>666</v>
      </c>
      <c r="N29" t="s">
        <v>1000</v>
      </c>
      <c r="P29" t="s">
        <v>603</v>
      </c>
      <c r="Q29" t="s">
        <v>648</v>
      </c>
      <c r="R29" t="s">
        <v>1228</v>
      </c>
      <c r="S29">
        <v>20181127</v>
      </c>
      <c r="T29" t="s">
        <v>843</v>
      </c>
      <c r="X29">
        <v>4</v>
      </c>
      <c r="Y29">
        <v>38000</v>
      </c>
      <c r="AA29" t="s">
        <v>605</v>
      </c>
      <c r="AB29">
        <v>20190225</v>
      </c>
      <c r="AE29">
        <f t="shared" si="0"/>
        <v>0</v>
      </c>
      <c r="AF29">
        <v>0</v>
      </c>
      <c r="AG29">
        <v>0</v>
      </c>
      <c r="AH29">
        <v>0</v>
      </c>
      <c r="AI29" s="121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</row>
    <row r="30" spans="1:41">
      <c r="A30">
        <v>201903</v>
      </c>
      <c r="B30">
        <v>25</v>
      </c>
      <c r="C30" t="s">
        <v>526</v>
      </c>
      <c r="D30">
        <v>3190051684031</v>
      </c>
      <c r="E30" t="s">
        <v>53</v>
      </c>
      <c r="F30" t="s">
        <v>597</v>
      </c>
      <c r="G30" t="s">
        <v>598</v>
      </c>
      <c r="H30" t="s">
        <v>599</v>
      </c>
      <c r="I30" t="s">
        <v>606</v>
      </c>
      <c r="J30" t="s">
        <v>606</v>
      </c>
      <c r="K30" t="s">
        <v>607</v>
      </c>
      <c r="L30" t="s">
        <v>639</v>
      </c>
      <c r="M30" t="s">
        <v>640</v>
      </c>
      <c r="N30" t="s">
        <v>1007</v>
      </c>
      <c r="P30" t="s">
        <v>603</v>
      </c>
      <c r="Q30" t="s">
        <v>648</v>
      </c>
      <c r="R30" t="s">
        <v>1037</v>
      </c>
      <c r="S30">
        <v>20160830</v>
      </c>
      <c r="T30" t="s">
        <v>1178</v>
      </c>
      <c r="X30">
        <v>30</v>
      </c>
      <c r="Y30">
        <v>36104</v>
      </c>
      <c r="AA30" t="s">
        <v>605</v>
      </c>
      <c r="AB30">
        <v>20190228</v>
      </c>
      <c r="AE30">
        <f t="shared" si="0"/>
        <v>0</v>
      </c>
      <c r="AF30">
        <v>0</v>
      </c>
      <c r="AG30">
        <v>0</v>
      </c>
      <c r="AH30">
        <v>0</v>
      </c>
      <c r="AI30" s="121">
        <v>540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540</v>
      </c>
    </row>
    <row r="31" spans="1:41">
      <c r="A31">
        <v>201903</v>
      </c>
      <c r="B31">
        <v>25</v>
      </c>
      <c r="C31" t="s">
        <v>526</v>
      </c>
      <c r="D31">
        <v>3190025624591</v>
      </c>
      <c r="E31" t="s">
        <v>53</v>
      </c>
      <c r="F31" t="s">
        <v>597</v>
      </c>
      <c r="G31" t="s">
        <v>598</v>
      </c>
      <c r="H31" t="s">
        <v>599</v>
      </c>
      <c r="I31" t="s">
        <v>702</v>
      </c>
      <c r="J31" t="s">
        <v>702</v>
      </c>
      <c r="K31" t="s">
        <v>703</v>
      </c>
      <c r="L31" t="s">
        <v>513</v>
      </c>
      <c r="M31" t="s">
        <v>512</v>
      </c>
      <c r="N31" t="s">
        <v>930</v>
      </c>
      <c r="P31" t="s">
        <v>603</v>
      </c>
      <c r="Q31" t="s">
        <v>648</v>
      </c>
      <c r="R31" t="s">
        <v>929</v>
      </c>
      <c r="S31">
        <v>20151214</v>
      </c>
      <c r="T31" t="s">
        <v>944</v>
      </c>
      <c r="W31">
        <v>0</v>
      </c>
      <c r="X31">
        <v>39</v>
      </c>
      <c r="Y31">
        <v>211000</v>
      </c>
      <c r="AA31" t="s">
        <v>605</v>
      </c>
      <c r="AB31">
        <v>20190208</v>
      </c>
      <c r="AE31">
        <f t="shared" si="0"/>
        <v>0</v>
      </c>
      <c r="AF31">
        <v>0</v>
      </c>
      <c r="AG31">
        <v>0</v>
      </c>
      <c r="AH31">
        <v>0</v>
      </c>
      <c r="AI31" s="121">
        <v>1055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1055</v>
      </c>
    </row>
    <row r="32" spans="1:41">
      <c r="A32">
        <v>201903</v>
      </c>
      <c r="B32">
        <v>25</v>
      </c>
      <c r="C32" t="s">
        <v>526</v>
      </c>
      <c r="D32">
        <v>3190026838701</v>
      </c>
      <c r="E32" t="s">
        <v>53</v>
      </c>
      <c r="F32" t="s">
        <v>597</v>
      </c>
      <c r="G32" t="s">
        <v>598</v>
      </c>
      <c r="H32" t="s">
        <v>599</v>
      </c>
      <c r="I32" t="s">
        <v>646</v>
      </c>
      <c r="J32" t="s">
        <v>646</v>
      </c>
      <c r="K32" t="s">
        <v>647</v>
      </c>
      <c r="L32" t="s">
        <v>667</v>
      </c>
      <c r="M32" t="s">
        <v>668</v>
      </c>
      <c r="N32" t="s">
        <v>953</v>
      </c>
      <c r="P32" t="s">
        <v>603</v>
      </c>
      <c r="Q32" t="s">
        <v>648</v>
      </c>
      <c r="R32" t="s">
        <v>945</v>
      </c>
      <c r="S32">
        <v>20151228</v>
      </c>
      <c r="T32" t="s">
        <v>954</v>
      </c>
      <c r="W32">
        <v>0</v>
      </c>
      <c r="X32">
        <v>39</v>
      </c>
      <c r="Y32">
        <v>53000</v>
      </c>
      <c r="AA32" t="s">
        <v>605</v>
      </c>
      <c r="AB32">
        <v>20190215</v>
      </c>
      <c r="AE32">
        <f t="shared" si="0"/>
        <v>0</v>
      </c>
      <c r="AF32">
        <v>0</v>
      </c>
      <c r="AG32">
        <v>0</v>
      </c>
      <c r="AH32">
        <v>0</v>
      </c>
      <c r="AI32" s="121">
        <v>265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265</v>
      </c>
    </row>
    <row r="33" spans="1:41">
      <c r="A33">
        <v>201903</v>
      </c>
      <c r="B33">
        <v>25</v>
      </c>
      <c r="C33" t="s">
        <v>526</v>
      </c>
      <c r="D33">
        <v>3190059944431</v>
      </c>
      <c r="E33" t="s">
        <v>53</v>
      </c>
      <c r="F33" t="s">
        <v>597</v>
      </c>
      <c r="G33" t="s">
        <v>598</v>
      </c>
      <c r="H33" t="s">
        <v>599</v>
      </c>
      <c r="I33" t="s">
        <v>661</v>
      </c>
      <c r="L33" t="s">
        <v>669</v>
      </c>
      <c r="M33" t="s">
        <v>670</v>
      </c>
      <c r="N33" t="s">
        <v>949</v>
      </c>
      <c r="P33" t="s">
        <v>603</v>
      </c>
      <c r="Q33" t="s">
        <v>648</v>
      </c>
      <c r="R33" t="s">
        <v>1037</v>
      </c>
      <c r="S33">
        <v>20161219</v>
      </c>
      <c r="T33" t="s">
        <v>869</v>
      </c>
      <c r="X33">
        <v>27</v>
      </c>
      <c r="Y33">
        <v>120000</v>
      </c>
      <c r="AA33" t="s">
        <v>605</v>
      </c>
      <c r="AB33">
        <v>20190219</v>
      </c>
      <c r="AE33">
        <f t="shared" si="0"/>
        <v>0</v>
      </c>
      <c r="AF33">
        <v>0</v>
      </c>
      <c r="AG33">
        <v>0</v>
      </c>
      <c r="AH33">
        <v>0</v>
      </c>
      <c r="AI33" s="121">
        <v>900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900</v>
      </c>
    </row>
    <row r="34" spans="1:41">
      <c r="A34">
        <v>201903</v>
      </c>
      <c r="B34">
        <v>25</v>
      </c>
      <c r="C34" t="s">
        <v>526</v>
      </c>
      <c r="D34">
        <v>3190470074551</v>
      </c>
      <c r="E34" t="s">
        <v>53</v>
      </c>
      <c r="F34" t="s">
        <v>597</v>
      </c>
      <c r="G34" t="s">
        <v>598</v>
      </c>
      <c r="H34" t="s">
        <v>599</v>
      </c>
      <c r="I34" t="s">
        <v>661</v>
      </c>
      <c r="J34" t="s">
        <v>661</v>
      </c>
      <c r="K34" t="s">
        <v>662</v>
      </c>
      <c r="L34" t="s">
        <v>700</v>
      </c>
      <c r="M34" t="s">
        <v>701</v>
      </c>
      <c r="N34" t="s">
        <v>962</v>
      </c>
      <c r="P34" t="s">
        <v>603</v>
      </c>
      <c r="Q34" t="s">
        <v>648</v>
      </c>
      <c r="R34" t="s">
        <v>1228</v>
      </c>
      <c r="S34">
        <v>20181127</v>
      </c>
      <c r="T34" t="s">
        <v>906</v>
      </c>
      <c r="X34">
        <v>4</v>
      </c>
      <c r="Y34">
        <v>32000</v>
      </c>
      <c r="AA34" t="s">
        <v>605</v>
      </c>
      <c r="AB34">
        <v>20190220</v>
      </c>
      <c r="AE34">
        <f t="shared" si="0"/>
        <v>0</v>
      </c>
      <c r="AF34">
        <v>0</v>
      </c>
      <c r="AG34">
        <v>0</v>
      </c>
      <c r="AH34">
        <v>0</v>
      </c>
      <c r="AI34" s="121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</row>
    <row r="35" spans="1:41">
      <c r="A35">
        <v>201903</v>
      </c>
      <c r="B35">
        <v>25</v>
      </c>
      <c r="C35" t="s">
        <v>526</v>
      </c>
      <c r="D35">
        <v>3190074539111</v>
      </c>
      <c r="E35" t="s">
        <v>53</v>
      </c>
      <c r="F35" t="s">
        <v>597</v>
      </c>
      <c r="G35" t="s">
        <v>598</v>
      </c>
      <c r="H35" t="s">
        <v>599</v>
      </c>
      <c r="I35" t="s">
        <v>606</v>
      </c>
      <c r="J35" t="s">
        <v>606</v>
      </c>
      <c r="K35" t="s">
        <v>607</v>
      </c>
      <c r="L35" t="s">
        <v>608</v>
      </c>
      <c r="M35" t="s">
        <v>609</v>
      </c>
      <c r="N35" t="s">
        <v>943</v>
      </c>
      <c r="P35" t="s">
        <v>603</v>
      </c>
      <c r="Q35" t="s">
        <v>648</v>
      </c>
      <c r="R35" t="s">
        <v>1066</v>
      </c>
      <c r="S35">
        <v>20170328</v>
      </c>
      <c r="T35" t="s">
        <v>1014</v>
      </c>
      <c r="X35">
        <v>24</v>
      </c>
      <c r="Y35">
        <v>66000</v>
      </c>
      <c r="AA35" t="s">
        <v>605</v>
      </c>
      <c r="AB35">
        <v>20190220</v>
      </c>
      <c r="AE35">
        <f t="shared" si="0"/>
        <v>0</v>
      </c>
      <c r="AF35">
        <v>0</v>
      </c>
      <c r="AG35">
        <v>0</v>
      </c>
      <c r="AH35">
        <v>0</v>
      </c>
      <c r="AI35" s="121">
        <v>330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330</v>
      </c>
    </row>
    <row r="36" spans="1:41">
      <c r="A36">
        <v>201903</v>
      </c>
      <c r="B36">
        <v>25</v>
      </c>
      <c r="C36" t="s">
        <v>526</v>
      </c>
      <c r="D36">
        <v>3190061883911</v>
      </c>
      <c r="E36" t="s">
        <v>53</v>
      </c>
      <c r="F36" t="s">
        <v>597</v>
      </c>
      <c r="G36" t="s">
        <v>598</v>
      </c>
      <c r="H36" t="s">
        <v>599</v>
      </c>
      <c r="I36" t="s">
        <v>606</v>
      </c>
      <c r="J36" t="s">
        <v>606</v>
      </c>
      <c r="K36" t="s">
        <v>607</v>
      </c>
      <c r="L36" t="s">
        <v>622</v>
      </c>
      <c r="M36" t="s">
        <v>623</v>
      </c>
      <c r="N36" t="s">
        <v>936</v>
      </c>
      <c r="P36" t="s">
        <v>603</v>
      </c>
      <c r="Q36" t="s">
        <v>648</v>
      </c>
      <c r="R36" t="s">
        <v>1039</v>
      </c>
      <c r="S36">
        <v>20170109</v>
      </c>
      <c r="T36" t="s">
        <v>1032</v>
      </c>
      <c r="X36">
        <v>26</v>
      </c>
      <c r="Y36">
        <v>111700</v>
      </c>
      <c r="AA36" t="s">
        <v>605</v>
      </c>
      <c r="AB36">
        <v>20190228</v>
      </c>
      <c r="AE36">
        <f t="shared" si="0"/>
        <v>0</v>
      </c>
      <c r="AF36">
        <v>0</v>
      </c>
      <c r="AG36">
        <v>0</v>
      </c>
      <c r="AH36">
        <v>0</v>
      </c>
      <c r="AI36" s="121">
        <v>837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837</v>
      </c>
    </row>
    <row r="37" spans="1:41">
      <c r="A37">
        <v>201903</v>
      </c>
      <c r="B37">
        <v>25</v>
      </c>
      <c r="C37" t="s">
        <v>526</v>
      </c>
      <c r="D37">
        <v>3190105590901</v>
      </c>
      <c r="E37" t="s">
        <v>53</v>
      </c>
      <c r="F37" t="s">
        <v>597</v>
      </c>
      <c r="G37" t="s">
        <v>598</v>
      </c>
      <c r="H37" t="s">
        <v>599</v>
      </c>
      <c r="I37" t="s">
        <v>1167</v>
      </c>
      <c r="J37" t="s">
        <v>734</v>
      </c>
      <c r="K37" t="s">
        <v>735</v>
      </c>
      <c r="L37" t="s">
        <v>736</v>
      </c>
      <c r="M37" t="s">
        <v>737</v>
      </c>
      <c r="N37" t="s">
        <v>1052</v>
      </c>
      <c r="P37" t="s">
        <v>603</v>
      </c>
      <c r="Q37" t="s">
        <v>648</v>
      </c>
      <c r="R37" t="s">
        <v>1041</v>
      </c>
      <c r="S37">
        <v>20171107</v>
      </c>
      <c r="T37" t="s">
        <v>1261</v>
      </c>
      <c r="V37">
        <v>0</v>
      </c>
      <c r="W37">
        <v>0</v>
      </c>
      <c r="X37">
        <v>15</v>
      </c>
      <c r="Y37">
        <v>70078</v>
      </c>
      <c r="AA37" t="s">
        <v>605</v>
      </c>
      <c r="AB37">
        <v>20190228</v>
      </c>
      <c r="AE37">
        <f t="shared" si="0"/>
        <v>0</v>
      </c>
      <c r="AF37">
        <v>0</v>
      </c>
      <c r="AG37">
        <v>0</v>
      </c>
      <c r="AH37">
        <v>0</v>
      </c>
      <c r="AI37" s="121">
        <v>1050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1050</v>
      </c>
    </row>
    <row r="38" spans="1:41">
      <c r="A38">
        <v>201903</v>
      </c>
      <c r="B38">
        <v>25</v>
      </c>
      <c r="C38" t="s">
        <v>526</v>
      </c>
      <c r="D38">
        <v>3190063457911</v>
      </c>
      <c r="E38" t="s">
        <v>53</v>
      </c>
      <c r="F38" t="s">
        <v>597</v>
      </c>
      <c r="G38" t="s">
        <v>598</v>
      </c>
      <c r="H38" t="s">
        <v>599</v>
      </c>
      <c r="I38" t="s">
        <v>719</v>
      </c>
      <c r="J38" t="s">
        <v>720</v>
      </c>
      <c r="K38" t="s">
        <v>728</v>
      </c>
      <c r="L38" t="s">
        <v>733</v>
      </c>
      <c r="M38" t="s">
        <v>715</v>
      </c>
      <c r="N38" t="s">
        <v>1255</v>
      </c>
      <c r="P38" t="s">
        <v>603</v>
      </c>
      <c r="Q38" t="s">
        <v>648</v>
      </c>
      <c r="R38" t="s">
        <v>1039</v>
      </c>
      <c r="S38">
        <v>20170120</v>
      </c>
      <c r="T38" t="s">
        <v>850</v>
      </c>
      <c r="X38">
        <v>24</v>
      </c>
      <c r="Y38">
        <v>234000</v>
      </c>
      <c r="AA38" t="s">
        <v>605</v>
      </c>
      <c r="AB38">
        <v>20190228</v>
      </c>
      <c r="AE38">
        <f t="shared" si="0"/>
        <v>0</v>
      </c>
      <c r="AF38">
        <v>0</v>
      </c>
      <c r="AG38">
        <v>0</v>
      </c>
      <c r="AH38">
        <v>0</v>
      </c>
      <c r="AI38" s="121">
        <v>1755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1755</v>
      </c>
    </row>
    <row r="39" spans="1:41">
      <c r="A39">
        <v>201903</v>
      </c>
      <c r="B39">
        <v>25</v>
      </c>
      <c r="C39" t="s">
        <v>526</v>
      </c>
      <c r="D39">
        <v>3190389833871</v>
      </c>
      <c r="E39" t="s">
        <v>53</v>
      </c>
      <c r="F39" t="s">
        <v>597</v>
      </c>
      <c r="G39" t="s">
        <v>598</v>
      </c>
      <c r="H39" t="s">
        <v>599</v>
      </c>
      <c r="I39" t="s">
        <v>702</v>
      </c>
      <c r="L39" t="s">
        <v>515</v>
      </c>
      <c r="M39" t="s">
        <v>514</v>
      </c>
      <c r="N39" t="s">
        <v>935</v>
      </c>
      <c r="P39" t="s">
        <v>603</v>
      </c>
      <c r="Q39" t="s">
        <v>648</v>
      </c>
      <c r="R39" t="s">
        <v>1042</v>
      </c>
      <c r="S39">
        <v>20171116</v>
      </c>
      <c r="T39" t="s">
        <v>850</v>
      </c>
      <c r="X39">
        <v>16</v>
      </c>
      <c r="Y39">
        <v>75500</v>
      </c>
      <c r="AA39" t="s">
        <v>605</v>
      </c>
      <c r="AB39">
        <v>20190220</v>
      </c>
      <c r="AE39">
        <f t="shared" si="0"/>
        <v>0</v>
      </c>
      <c r="AF39">
        <v>0</v>
      </c>
      <c r="AG39">
        <v>0</v>
      </c>
      <c r="AH39">
        <v>0</v>
      </c>
      <c r="AI39" s="121">
        <v>377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377</v>
      </c>
    </row>
    <row r="40" spans="1:41">
      <c r="A40">
        <v>201903</v>
      </c>
      <c r="B40">
        <v>25</v>
      </c>
      <c r="C40" t="s">
        <v>526</v>
      </c>
      <c r="D40">
        <v>3190449110431</v>
      </c>
      <c r="E40" t="s">
        <v>53</v>
      </c>
      <c r="F40" t="s">
        <v>597</v>
      </c>
      <c r="G40" t="s">
        <v>598</v>
      </c>
      <c r="H40" t="s">
        <v>599</v>
      </c>
      <c r="I40" t="s">
        <v>661</v>
      </c>
      <c r="J40" t="s">
        <v>661</v>
      </c>
      <c r="K40" t="s">
        <v>662</v>
      </c>
      <c r="L40" t="s">
        <v>698</v>
      </c>
      <c r="M40" t="s">
        <v>699</v>
      </c>
      <c r="N40" t="s">
        <v>964</v>
      </c>
      <c r="P40" t="s">
        <v>603</v>
      </c>
      <c r="Q40" t="s">
        <v>648</v>
      </c>
      <c r="R40" t="s">
        <v>980</v>
      </c>
      <c r="S40">
        <v>20180914</v>
      </c>
      <c r="T40" t="s">
        <v>826</v>
      </c>
      <c r="X40">
        <v>6</v>
      </c>
      <c r="Y40">
        <v>63395</v>
      </c>
      <c r="AA40" t="s">
        <v>605</v>
      </c>
      <c r="AB40">
        <v>20190215</v>
      </c>
      <c r="AE40">
        <f t="shared" si="0"/>
        <v>0</v>
      </c>
      <c r="AF40">
        <v>0</v>
      </c>
      <c r="AG40">
        <v>0</v>
      </c>
      <c r="AH40">
        <v>0</v>
      </c>
      <c r="AI40" s="121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</row>
    <row r="41" spans="1:41">
      <c r="A41">
        <v>201903</v>
      </c>
      <c r="B41">
        <v>25</v>
      </c>
      <c r="C41" t="s">
        <v>526</v>
      </c>
      <c r="D41">
        <v>3190472533691</v>
      </c>
      <c r="E41" t="s">
        <v>53</v>
      </c>
      <c r="F41" t="s">
        <v>597</v>
      </c>
      <c r="G41" t="s">
        <v>598</v>
      </c>
      <c r="H41" t="s">
        <v>599</v>
      </c>
      <c r="I41" t="s">
        <v>719</v>
      </c>
      <c r="J41" t="s">
        <v>720</v>
      </c>
      <c r="L41" t="s">
        <v>721</v>
      </c>
      <c r="M41" t="s">
        <v>722</v>
      </c>
      <c r="N41" t="s">
        <v>977</v>
      </c>
      <c r="P41" t="s">
        <v>603</v>
      </c>
      <c r="Q41" t="s">
        <v>648</v>
      </c>
      <c r="R41" t="s">
        <v>1228</v>
      </c>
      <c r="S41">
        <v>20181206</v>
      </c>
      <c r="T41" t="s">
        <v>1003</v>
      </c>
      <c r="X41">
        <v>3</v>
      </c>
      <c r="Y41">
        <v>55500</v>
      </c>
      <c r="AA41" t="s">
        <v>605</v>
      </c>
      <c r="AB41">
        <v>20190225</v>
      </c>
      <c r="AE41">
        <f t="shared" si="0"/>
        <v>0</v>
      </c>
      <c r="AF41">
        <v>0</v>
      </c>
      <c r="AG41">
        <v>0</v>
      </c>
      <c r="AH41">
        <v>0</v>
      </c>
      <c r="AI41" s="12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</row>
    <row r="42" spans="1:41">
      <c r="A42">
        <v>201903</v>
      </c>
      <c r="B42">
        <v>25</v>
      </c>
      <c r="C42" t="s">
        <v>526</v>
      </c>
      <c r="D42">
        <v>3190105590901</v>
      </c>
      <c r="E42" t="s">
        <v>53</v>
      </c>
      <c r="F42" t="s">
        <v>597</v>
      </c>
      <c r="G42" t="s">
        <v>598</v>
      </c>
      <c r="H42" t="s">
        <v>599</v>
      </c>
      <c r="I42" t="s">
        <v>1167</v>
      </c>
      <c r="J42" t="s">
        <v>734</v>
      </c>
      <c r="K42" t="s">
        <v>735</v>
      </c>
      <c r="L42" t="s">
        <v>736</v>
      </c>
      <c r="M42" t="s">
        <v>737</v>
      </c>
      <c r="N42" t="s">
        <v>1052</v>
      </c>
      <c r="P42" t="s">
        <v>603</v>
      </c>
      <c r="Q42" t="s">
        <v>648</v>
      </c>
      <c r="R42" t="s">
        <v>1041</v>
      </c>
      <c r="S42">
        <v>20171107</v>
      </c>
      <c r="T42" t="s">
        <v>1261</v>
      </c>
      <c r="V42">
        <v>0</v>
      </c>
      <c r="W42">
        <v>0</v>
      </c>
      <c r="X42">
        <v>14</v>
      </c>
      <c r="Y42">
        <v>70078</v>
      </c>
      <c r="AA42" t="s">
        <v>605</v>
      </c>
      <c r="AB42">
        <v>20190228</v>
      </c>
      <c r="AE42">
        <f t="shared" si="0"/>
        <v>0</v>
      </c>
      <c r="AF42">
        <v>0</v>
      </c>
      <c r="AG42">
        <v>0</v>
      </c>
      <c r="AH42">
        <v>0</v>
      </c>
      <c r="AI42" s="121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</row>
    <row r="43" spans="1:41">
      <c r="A43">
        <v>201903</v>
      </c>
      <c r="B43">
        <v>25</v>
      </c>
      <c r="C43" t="s">
        <v>526</v>
      </c>
      <c r="D43">
        <v>3190031440081</v>
      </c>
      <c r="E43" t="s">
        <v>53</v>
      </c>
      <c r="F43" t="s">
        <v>597</v>
      </c>
      <c r="G43" t="s">
        <v>598</v>
      </c>
      <c r="H43" t="s">
        <v>599</v>
      </c>
      <c r="I43" t="s">
        <v>606</v>
      </c>
      <c r="J43" t="s">
        <v>606</v>
      </c>
      <c r="K43" t="s">
        <v>607</v>
      </c>
      <c r="L43" t="s">
        <v>622</v>
      </c>
      <c r="M43" t="s">
        <v>623</v>
      </c>
      <c r="N43" t="s">
        <v>936</v>
      </c>
      <c r="P43" t="s">
        <v>603</v>
      </c>
      <c r="Q43" t="s">
        <v>648</v>
      </c>
      <c r="R43" t="s">
        <v>945</v>
      </c>
      <c r="S43">
        <v>20160217</v>
      </c>
      <c r="T43" t="s">
        <v>975</v>
      </c>
      <c r="X43">
        <v>37</v>
      </c>
      <c r="Y43">
        <v>48000</v>
      </c>
      <c r="AA43" t="s">
        <v>605</v>
      </c>
      <c r="AB43">
        <v>20190220</v>
      </c>
      <c r="AE43">
        <f t="shared" si="0"/>
        <v>0</v>
      </c>
      <c r="AF43">
        <v>0</v>
      </c>
      <c r="AG43">
        <v>0</v>
      </c>
      <c r="AH43">
        <v>0</v>
      </c>
      <c r="AI43" s="121">
        <v>240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240</v>
      </c>
    </row>
    <row r="44" spans="1:41">
      <c r="A44">
        <v>201903</v>
      </c>
      <c r="B44">
        <v>25</v>
      </c>
      <c r="C44" t="s">
        <v>526</v>
      </c>
      <c r="D44">
        <v>3190392458011</v>
      </c>
      <c r="E44" t="s">
        <v>53</v>
      </c>
      <c r="F44" t="s">
        <v>597</v>
      </c>
      <c r="G44" t="s">
        <v>598</v>
      </c>
      <c r="H44" t="s">
        <v>599</v>
      </c>
      <c r="I44" t="s">
        <v>606</v>
      </c>
      <c r="J44" t="s">
        <v>606</v>
      </c>
      <c r="K44" t="s">
        <v>607</v>
      </c>
      <c r="L44" t="s">
        <v>622</v>
      </c>
      <c r="M44" t="s">
        <v>623</v>
      </c>
      <c r="N44" t="s">
        <v>936</v>
      </c>
      <c r="P44" t="s">
        <v>603</v>
      </c>
      <c r="Q44" t="s">
        <v>648</v>
      </c>
      <c r="R44" t="s">
        <v>1051</v>
      </c>
      <c r="S44">
        <v>20171129</v>
      </c>
      <c r="T44" t="s">
        <v>882</v>
      </c>
      <c r="X44">
        <v>16</v>
      </c>
      <c r="Y44">
        <v>30000</v>
      </c>
      <c r="AA44" t="s">
        <v>605</v>
      </c>
      <c r="AB44">
        <v>20190225</v>
      </c>
      <c r="AE44">
        <f t="shared" si="0"/>
        <v>0</v>
      </c>
      <c r="AF44">
        <v>0</v>
      </c>
      <c r="AG44">
        <v>0</v>
      </c>
      <c r="AH44">
        <v>0</v>
      </c>
      <c r="AI44" s="121">
        <v>150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150</v>
      </c>
    </row>
    <row r="45" spans="1:41">
      <c r="A45">
        <v>201903</v>
      </c>
      <c r="B45">
        <v>25</v>
      </c>
      <c r="C45" t="s">
        <v>526</v>
      </c>
      <c r="D45">
        <v>3190450317701</v>
      </c>
      <c r="E45" t="s">
        <v>53</v>
      </c>
      <c r="F45" t="s">
        <v>597</v>
      </c>
      <c r="G45" t="s">
        <v>598</v>
      </c>
      <c r="H45" t="s">
        <v>599</v>
      </c>
      <c r="I45" t="s">
        <v>674</v>
      </c>
      <c r="L45" t="s">
        <v>705</v>
      </c>
      <c r="M45" t="s">
        <v>706</v>
      </c>
      <c r="N45" t="s">
        <v>966</v>
      </c>
      <c r="P45" t="s">
        <v>603</v>
      </c>
      <c r="Q45" t="s">
        <v>648</v>
      </c>
      <c r="R45" t="s">
        <v>1024</v>
      </c>
      <c r="S45">
        <v>20180914</v>
      </c>
      <c r="T45" t="s">
        <v>1018</v>
      </c>
      <c r="X45">
        <v>6</v>
      </c>
      <c r="Y45">
        <v>23000</v>
      </c>
      <c r="AA45" t="s">
        <v>605</v>
      </c>
      <c r="AB45">
        <v>20190225</v>
      </c>
      <c r="AE45">
        <f t="shared" si="0"/>
        <v>0</v>
      </c>
      <c r="AF45">
        <v>0</v>
      </c>
      <c r="AG45">
        <v>0</v>
      </c>
      <c r="AH45">
        <v>0</v>
      </c>
      <c r="AI45" s="121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</row>
    <row r="46" spans="1:41">
      <c r="A46">
        <v>201903</v>
      </c>
      <c r="B46">
        <v>25</v>
      </c>
      <c r="C46" t="s">
        <v>526</v>
      </c>
      <c r="D46">
        <v>3190474989151</v>
      </c>
      <c r="E46" t="s">
        <v>53</v>
      </c>
      <c r="F46" t="s">
        <v>597</v>
      </c>
      <c r="G46" t="s">
        <v>598</v>
      </c>
      <c r="H46" t="s">
        <v>599</v>
      </c>
      <c r="I46" t="s">
        <v>661</v>
      </c>
      <c r="L46" t="s">
        <v>669</v>
      </c>
      <c r="M46" t="s">
        <v>670</v>
      </c>
      <c r="N46" t="s">
        <v>949</v>
      </c>
      <c r="P46" t="s">
        <v>603</v>
      </c>
      <c r="Q46" t="s">
        <v>727</v>
      </c>
      <c r="R46" t="s">
        <v>1002</v>
      </c>
      <c r="S46">
        <v>20181214</v>
      </c>
      <c r="T46" t="s">
        <v>773</v>
      </c>
      <c r="X46">
        <v>3</v>
      </c>
      <c r="Y46">
        <v>15000</v>
      </c>
      <c r="AA46" t="s">
        <v>605</v>
      </c>
      <c r="AB46">
        <v>20190220</v>
      </c>
      <c r="AE46">
        <f t="shared" si="0"/>
        <v>0</v>
      </c>
      <c r="AF46">
        <v>0</v>
      </c>
      <c r="AG46">
        <v>0</v>
      </c>
      <c r="AH46">
        <v>0</v>
      </c>
      <c r="AI46" s="121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</row>
    <row r="47" spans="1:41">
      <c r="A47">
        <v>201903</v>
      </c>
      <c r="B47">
        <v>25</v>
      </c>
      <c r="C47" t="s">
        <v>526</v>
      </c>
      <c r="D47">
        <v>3190402770171</v>
      </c>
      <c r="E47" t="s">
        <v>53</v>
      </c>
      <c r="F47" t="s">
        <v>597</v>
      </c>
      <c r="G47" t="s">
        <v>598</v>
      </c>
      <c r="H47" t="s">
        <v>599</v>
      </c>
      <c r="I47" t="s">
        <v>702</v>
      </c>
      <c r="L47" t="s">
        <v>515</v>
      </c>
      <c r="M47" t="s">
        <v>514</v>
      </c>
      <c r="N47" t="s">
        <v>935</v>
      </c>
      <c r="P47" t="s">
        <v>603</v>
      </c>
      <c r="Q47" t="s">
        <v>648</v>
      </c>
      <c r="R47" t="s">
        <v>1041</v>
      </c>
      <c r="S47">
        <v>20180124</v>
      </c>
      <c r="T47" t="s">
        <v>817</v>
      </c>
      <c r="X47">
        <v>14</v>
      </c>
      <c r="Y47">
        <v>30000</v>
      </c>
      <c r="AA47" t="s">
        <v>605</v>
      </c>
      <c r="AB47">
        <v>20190220</v>
      </c>
      <c r="AE47">
        <f t="shared" si="0"/>
        <v>0</v>
      </c>
      <c r="AF47">
        <v>0</v>
      </c>
      <c r="AG47">
        <v>0</v>
      </c>
      <c r="AH47">
        <v>0</v>
      </c>
      <c r="AI47" s="121">
        <v>225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225</v>
      </c>
    </row>
    <row r="48" spans="1:41">
      <c r="A48">
        <v>201903</v>
      </c>
      <c r="B48">
        <v>25</v>
      </c>
      <c r="C48" t="s">
        <v>526</v>
      </c>
      <c r="D48">
        <v>3190032763121</v>
      </c>
      <c r="E48" t="s">
        <v>53</v>
      </c>
      <c r="F48" t="s">
        <v>597</v>
      </c>
      <c r="G48" t="s">
        <v>598</v>
      </c>
      <c r="H48" t="s">
        <v>599</v>
      </c>
      <c r="I48" t="s">
        <v>606</v>
      </c>
      <c r="J48" t="s">
        <v>606</v>
      </c>
      <c r="K48" t="s">
        <v>607</v>
      </c>
      <c r="L48" t="s">
        <v>622</v>
      </c>
      <c r="M48" t="s">
        <v>623</v>
      </c>
      <c r="N48" t="s">
        <v>936</v>
      </c>
      <c r="P48" t="s">
        <v>603</v>
      </c>
      <c r="Q48" t="s">
        <v>648</v>
      </c>
      <c r="R48" t="s">
        <v>933</v>
      </c>
      <c r="S48">
        <v>20160229</v>
      </c>
      <c r="T48" t="s">
        <v>818</v>
      </c>
      <c r="X48">
        <v>37</v>
      </c>
      <c r="Y48">
        <v>88000</v>
      </c>
      <c r="AA48" t="s">
        <v>605</v>
      </c>
      <c r="AB48">
        <v>20190220</v>
      </c>
      <c r="AE48">
        <f t="shared" si="0"/>
        <v>0</v>
      </c>
      <c r="AF48">
        <v>0</v>
      </c>
      <c r="AG48">
        <v>0</v>
      </c>
      <c r="AH48">
        <v>0</v>
      </c>
      <c r="AI48" s="121">
        <v>440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440</v>
      </c>
    </row>
    <row r="49" spans="1:41">
      <c r="A49">
        <v>201903</v>
      </c>
      <c r="B49">
        <v>25</v>
      </c>
      <c r="C49" t="s">
        <v>526</v>
      </c>
      <c r="D49">
        <v>3190069613051</v>
      </c>
      <c r="E49" t="s">
        <v>53</v>
      </c>
      <c r="F49" t="s">
        <v>597</v>
      </c>
      <c r="G49" t="s">
        <v>598</v>
      </c>
      <c r="H49" t="s">
        <v>599</v>
      </c>
      <c r="I49" t="s">
        <v>606</v>
      </c>
      <c r="J49" t="s">
        <v>606</v>
      </c>
      <c r="K49" t="s">
        <v>607</v>
      </c>
      <c r="L49" t="s">
        <v>641</v>
      </c>
      <c r="M49" t="s">
        <v>642</v>
      </c>
      <c r="N49" t="s">
        <v>955</v>
      </c>
      <c r="P49" t="s">
        <v>603</v>
      </c>
      <c r="Q49" t="s">
        <v>648</v>
      </c>
      <c r="R49" t="s">
        <v>1047</v>
      </c>
      <c r="S49">
        <v>20170308</v>
      </c>
      <c r="T49" t="s">
        <v>1112</v>
      </c>
      <c r="X49">
        <v>24</v>
      </c>
      <c r="Y49">
        <v>54000</v>
      </c>
      <c r="AA49" t="s">
        <v>605</v>
      </c>
      <c r="AB49">
        <v>20190215</v>
      </c>
      <c r="AE49">
        <f t="shared" si="0"/>
        <v>0</v>
      </c>
      <c r="AF49">
        <v>0</v>
      </c>
      <c r="AG49">
        <v>0</v>
      </c>
      <c r="AH49">
        <v>0</v>
      </c>
      <c r="AI49" s="121">
        <v>270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270</v>
      </c>
    </row>
    <row r="50" spans="1:41">
      <c r="A50">
        <v>201903</v>
      </c>
      <c r="B50">
        <v>25</v>
      </c>
      <c r="C50" t="s">
        <v>526</v>
      </c>
      <c r="D50">
        <v>3190394782491</v>
      </c>
      <c r="E50" t="s">
        <v>53</v>
      </c>
      <c r="F50" t="s">
        <v>597</v>
      </c>
      <c r="G50" t="s">
        <v>598</v>
      </c>
      <c r="H50" t="s">
        <v>599</v>
      </c>
      <c r="I50" t="s">
        <v>606</v>
      </c>
      <c r="J50" t="s">
        <v>606</v>
      </c>
      <c r="K50" t="s">
        <v>607</v>
      </c>
      <c r="L50" t="s">
        <v>622</v>
      </c>
      <c r="M50" t="s">
        <v>623</v>
      </c>
      <c r="N50" t="s">
        <v>936</v>
      </c>
      <c r="P50" t="s">
        <v>603</v>
      </c>
      <c r="Q50" t="s">
        <v>648</v>
      </c>
      <c r="R50" t="s">
        <v>1042</v>
      </c>
      <c r="S50">
        <v>20171211</v>
      </c>
      <c r="T50" t="s">
        <v>1107</v>
      </c>
      <c r="X50">
        <v>15</v>
      </c>
      <c r="Y50">
        <v>34649</v>
      </c>
      <c r="AA50" t="s">
        <v>605</v>
      </c>
      <c r="AB50">
        <v>20190215</v>
      </c>
      <c r="AE50">
        <f t="shared" si="0"/>
        <v>0</v>
      </c>
      <c r="AF50">
        <v>0</v>
      </c>
      <c r="AG50">
        <v>0</v>
      </c>
      <c r="AH50">
        <v>0</v>
      </c>
      <c r="AI50" s="121">
        <v>173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173</v>
      </c>
    </row>
    <row r="51" spans="1:41">
      <c r="A51">
        <v>201903</v>
      </c>
      <c r="B51">
        <v>25</v>
      </c>
      <c r="C51" t="s">
        <v>526</v>
      </c>
      <c r="D51">
        <v>3190397062141</v>
      </c>
      <c r="E51" t="s">
        <v>53</v>
      </c>
      <c r="F51" t="s">
        <v>597</v>
      </c>
      <c r="G51" t="s">
        <v>598</v>
      </c>
      <c r="H51" t="s">
        <v>599</v>
      </c>
      <c r="I51" t="s">
        <v>649</v>
      </c>
      <c r="J51" t="s">
        <v>649</v>
      </c>
      <c r="K51" t="s">
        <v>650</v>
      </c>
      <c r="L51" t="s">
        <v>692</v>
      </c>
      <c r="M51" t="s">
        <v>693</v>
      </c>
      <c r="N51" t="s">
        <v>967</v>
      </c>
      <c r="P51" t="s">
        <v>603</v>
      </c>
      <c r="Q51" t="s">
        <v>648</v>
      </c>
      <c r="R51" t="s">
        <v>1041</v>
      </c>
      <c r="S51">
        <v>20171227</v>
      </c>
      <c r="T51" t="s">
        <v>1145</v>
      </c>
      <c r="X51">
        <v>15</v>
      </c>
      <c r="Y51">
        <v>30000</v>
      </c>
      <c r="AA51" t="s">
        <v>605</v>
      </c>
      <c r="AB51">
        <v>20190225</v>
      </c>
      <c r="AE51">
        <f t="shared" si="0"/>
        <v>0</v>
      </c>
      <c r="AF51">
        <v>0</v>
      </c>
      <c r="AG51">
        <v>0</v>
      </c>
      <c r="AH51">
        <v>0</v>
      </c>
      <c r="AI51" s="121">
        <v>225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225</v>
      </c>
    </row>
    <row r="52" spans="1:41">
      <c r="A52">
        <v>201903</v>
      </c>
      <c r="B52">
        <v>25</v>
      </c>
      <c r="C52" t="s">
        <v>526</v>
      </c>
      <c r="D52">
        <v>3190452157601</v>
      </c>
      <c r="E52" t="s">
        <v>53</v>
      </c>
      <c r="F52" t="s">
        <v>597</v>
      </c>
      <c r="G52" t="s">
        <v>598</v>
      </c>
      <c r="H52" t="s">
        <v>599</v>
      </c>
      <c r="I52" t="s">
        <v>649</v>
      </c>
      <c r="J52" t="s">
        <v>649</v>
      </c>
      <c r="K52" t="s">
        <v>650</v>
      </c>
      <c r="L52" t="s">
        <v>692</v>
      </c>
      <c r="M52" t="s">
        <v>693</v>
      </c>
      <c r="N52" t="s">
        <v>967</v>
      </c>
      <c r="P52" t="s">
        <v>603</v>
      </c>
      <c r="Q52" t="s">
        <v>648</v>
      </c>
      <c r="R52" t="s">
        <v>980</v>
      </c>
      <c r="S52">
        <v>20180921</v>
      </c>
      <c r="T52" t="s">
        <v>822</v>
      </c>
      <c r="X52">
        <v>5</v>
      </c>
      <c r="Y52">
        <v>51099</v>
      </c>
      <c r="AA52" t="s">
        <v>605</v>
      </c>
      <c r="AB52">
        <v>20190227</v>
      </c>
      <c r="AE52">
        <f t="shared" si="0"/>
        <v>0</v>
      </c>
      <c r="AF52">
        <v>0</v>
      </c>
      <c r="AG52">
        <v>0</v>
      </c>
      <c r="AH52">
        <v>0</v>
      </c>
      <c r="AI52" s="121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</row>
    <row r="53" spans="1:41">
      <c r="A53">
        <v>201903</v>
      </c>
      <c r="B53">
        <v>25</v>
      </c>
      <c r="C53" t="s">
        <v>526</v>
      </c>
      <c r="D53">
        <v>3190443858421</v>
      </c>
      <c r="E53" t="s">
        <v>53</v>
      </c>
      <c r="F53" t="s">
        <v>597</v>
      </c>
      <c r="G53" t="s">
        <v>598</v>
      </c>
      <c r="H53" t="s">
        <v>599</v>
      </c>
      <c r="I53" t="s">
        <v>702</v>
      </c>
      <c r="L53" t="s">
        <v>515</v>
      </c>
      <c r="M53" t="s">
        <v>514</v>
      </c>
      <c r="N53" t="s">
        <v>935</v>
      </c>
      <c r="P53" t="s">
        <v>603</v>
      </c>
      <c r="Q53" t="s">
        <v>648</v>
      </c>
      <c r="R53" t="s">
        <v>980</v>
      </c>
      <c r="S53">
        <v>20180823</v>
      </c>
      <c r="T53" t="s">
        <v>829</v>
      </c>
      <c r="X53">
        <v>7</v>
      </c>
      <c r="Y53">
        <v>28023</v>
      </c>
      <c r="AA53" t="s">
        <v>605</v>
      </c>
      <c r="AB53">
        <v>20190225</v>
      </c>
      <c r="AE53">
        <f t="shared" si="0"/>
        <v>23146</v>
      </c>
      <c r="AF53">
        <v>0</v>
      </c>
      <c r="AG53">
        <v>23146</v>
      </c>
      <c r="AH53">
        <v>0</v>
      </c>
      <c r="AI53" s="121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23146</v>
      </c>
    </row>
    <row r="54" spans="1:41">
      <c r="A54">
        <v>201903</v>
      </c>
      <c r="B54">
        <v>25</v>
      </c>
      <c r="C54" t="s">
        <v>526</v>
      </c>
      <c r="D54">
        <v>3190034346591</v>
      </c>
      <c r="E54" t="s">
        <v>53</v>
      </c>
      <c r="F54" t="s">
        <v>597</v>
      </c>
      <c r="G54" t="s">
        <v>598</v>
      </c>
      <c r="H54" t="s">
        <v>599</v>
      </c>
      <c r="I54" t="s">
        <v>649</v>
      </c>
      <c r="J54" t="s">
        <v>649</v>
      </c>
      <c r="K54" t="s">
        <v>650</v>
      </c>
      <c r="L54" t="s">
        <v>653</v>
      </c>
      <c r="M54" t="s">
        <v>654</v>
      </c>
      <c r="N54" t="s">
        <v>957</v>
      </c>
      <c r="P54" t="s">
        <v>603</v>
      </c>
      <c r="Q54" t="s">
        <v>648</v>
      </c>
      <c r="R54" t="s">
        <v>933</v>
      </c>
      <c r="S54">
        <v>20160322</v>
      </c>
      <c r="T54" t="s">
        <v>809</v>
      </c>
      <c r="X54">
        <v>36</v>
      </c>
      <c r="Y54">
        <v>33803</v>
      </c>
      <c r="AA54" t="s">
        <v>605</v>
      </c>
      <c r="AB54">
        <v>20190225</v>
      </c>
      <c r="AE54">
        <f t="shared" si="0"/>
        <v>0</v>
      </c>
      <c r="AF54">
        <v>0</v>
      </c>
      <c r="AG54">
        <v>0</v>
      </c>
      <c r="AH54">
        <v>0</v>
      </c>
      <c r="AI54" s="121">
        <v>169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169</v>
      </c>
    </row>
    <row r="55" spans="1:41">
      <c r="A55">
        <v>201903</v>
      </c>
      <c r="B55">
        <v>25</v>
      </c>
      <c r="C55" t="s">
        <v>526</v>
      </c>
      <c r="D55">
        <v>3190070773401</v>
      </c>
      <c r="E55" t="s">
        <v>53</v>
      </c>
      <c r="F55" t="s">
        <v>597</v>
      </c>
      <c r="G55" t="s">
        <v>598</v>
      </c>
      <c r="H55" t="s">
        <v>599</v>
      </c>
      <c r="I55" t="s">
        <v>606</v>
      </c>
      <c r="J55" t="s">
        <v>606</v>
      </c>
      <c r="K55" t="s">
        <v>607</v>
      </c>
      <c r="L55" t="s">
        <v>769</v>
      </c>
      <c r="M55" t="s">
        <v>738</v>
      </c>
      <c r="N55" t="s">
        <v>941</v>
      </c>
      <c r="P55" t="s">
        <v>603</v>
      </c>
      <c r="Q55" t="s">
        <v>648</v>
      </c>
      <c r="R55" t="s">
        <v>1039</v>
      </c>
      <c r="S55">
        <v>20170310</v>
      </c>
      <c r="T55" t="s">
        <v>1130</v>
      </c>
      <c r="X55">
        <v>24</v>
      </c>
      <c r="Y55">
        <v>64000</v>
      </c>
      <c r="AA55" t="s">
        <v>605</v>
      </c>
      <c r="AB55">
        <v>20190215</v>
      </c>
      <c r="AE55">
        <f t="shared" si="0"/>
        <v>0</v>
      </c>
      <c r="AF55">
        <v>0</v>
      </c>
      <c r="AG55">
        <v>0</v>
      </c>
      <c r="AH55">
        <v>0</v>
      </c>
      <c r="AI55" s="121">
        <v>480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480</v>
      </c>
    </row>
    <row r="56" spans="1:41">
      <c r="A56">
        <v>201903</v>
      </c>
      <c r="B56">
        <v>25</v>
      </c>
      <c r="C56" t="s">
        <v>526</v>
      </c>
      <c r="D56">
        <v>3190453699561</v>
      </c>
      <c r="E56" t="s">
        <v>53</v>
      </c>
      <c r="F56" t="s">
        <v>597</v>
      </c>
      <c r="G56" t="s">
        <v>598</v>
      </c>
      <c r="H56" t="s">
        <v>599</v>
      </c>
      <c r="I56" t="s">
        <v>1168</v>
      </c>
      <c r="L56" t="s">
        <v>675</v>
      </c>
      <c r="M56" t="s">
        <v>676</v>
      </c>
      <c r="N56" t="s">
        <v>988</v>
      </c>
      <c r="P56" t="s">
        <v>603</v>
      </c>
      <c r="Q56" t="s">
        <v>648</v>
      </c>
      <c r="R56" t="s">
        <v>989</v>
      </c>
      <c r="S56">
        <v>20181002</v>
      </c>
      <c r="T56" t="s">
        <v>993</v>
      </c>
      <c r="V56">
        <v>0</v>
      </c>
      <c r="W56">
        <v>0</v>
      </c>
      <c r="X56">
        <v>5</v>
      </c>
      <c r="Y56">
        <v>28000</v>
      </c>
      <c r="AA56" t="s">
        <v>605</v>
      </c>
      <c r="AB56">
        <v>20190215</v>
      </c>
      <c r="AE56">
        <f t="shared" si="0"/>
        <v>0</v>
      </c>
      <c r="AF56">
        <v>0</v>
      </c>
      <c r="AG56">
        <v>0</v>
      </c>
      <c r="AH56">
        <v>0</v>
      </c>
      <c r="AI56" s="121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</row>
    <row r="57" spans="1:41">
      <c r="A57">
        <v>201903</v>
      </c>
      <c r="B57">
        <v>25</v>
      </c>
      <c r="C57" t="s">
        <v>526</v>
      </c>
      <c r="D57">
        <v>3190477418261</v>
      </c>
      <c r="E57" t="s">
        <v>53</v>
      </c>
      <c r="F57" t="s">
        <v>597</v>
      </c>
      <c r="G57" t="s">
        <v>598</v>
      </c>
      <c r="H57" t="s">
        <v>599</v>
      </c>
      <c r="I57" t="s">
        <v>661</v>
      </c>
      <c r="J57" t="s">
        <v>661</v>
      </c>
      <c r="K57" t="s">
        <v>662</v>
      </c>
      <c r="L57" t="s">
        <v>679</v>
      </c>
      <c r="M57" t="s">
        <v>680</v>
      </c>
      <c r="N57" t="s">
        <v>974</v>
      </c>
      <c r="P57" t="s">
        <v>603</v>
      </c>
      <c r="Q57" t="s">
        <v>648</v>
      </c>
      <c r="R57" t="s">
        <v>996</v>
      </c>
      <c r="S57">
        <v>20181227</v>
      </c>
      <c r="T57" t="s">
        <v>862</v>
      </c>
      <c r="X57">
        <v>3</v>
      </c>
      <c r="Y57">
        <v>40000</v>
      </c>
      <c r="AA57" t="s">
        <v>605</v>
      </c>
      <c r="AB57">
        <v>20190208</v>
      </c>
      <c r="AE57">
        <f t="shared" si="0"/>
        <v>0</v>
      </c>
      <c r="AF57">
        <v>0</v>
      </c>
      <c r="AG57">
        <v>0</v>
      </c>
      <c r="AH57">
        <v>0</v>
      </c>
      <c r="AI57" s="121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</row>
    <row r="58" spans="1:41">
      <c r="A58">
        <v>201903</v>
      </c>
      <c r="B58">
        <v>25</v>
      </c>
      <c r="C58" t="s">
        <v>526</v>
      </c>
      <c r="D58">
        <v>3190035282841</v>
      </c>
      <c r="E58" t="s">
        <v>53</v>
      </c>
      <c r="F58" t="s">
        <v>597</v>
      </c>
      <c r="G58" t="s">
        <v>598</v>
      </c>
      <c r="H58" t="s">
        <v>599</v>
      </c>
      <c r="I58" t="s">
        <v>606</v>
      </c>
      <c r="J58" t="s">
        <v>606</v>
      </c>
      <c r="K58" t="s">
        <v>607</v>
      </c>
      <c r="L58" t="s">
        <v>614</v>
      </c>
      <c r="M58" t="s">
        <v>615</v>
      </c>
      <c r="N58" t="s">
        <v>1226</v>
      </c>
      <c r="P58" t="s">
        <v>603</v>
      </c>
      <c r="Q58" t="s">
        <v>648</v>
      </c>
      <c r="R58" t="s">
        <v>933</v>
      </c>
      <c r="S58">
        <v>20160322</v>
      </c>
      <c r="T58" t="s">
        <v>890</v>
      </c>
      <c r="X58">
        <v>36</v>
      </c>
      <c r="Y58">
        <v>45000</v>
      </c>
      <c r="AA58" t="s">
        <v>605</v>
      </c>
      <c r="AB58">
        <v>20190225</v>
      </c>
      <c r="AE58">
        <f t="shared" si="0"/>
        <v>0</v>
      </c>
      <c r="AF58">
        <v>0</v>
      </c>
      <c r="AG58">
        <v>0</v>
      </c>
      <c r="AH58">
        <v>0</v>
      </c>
      <c r="AI58" s="121">
        <v>225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225</v>
      </c>
    </row>
    <row r="59" spans="1:41">
      <c r="A59">
        <v>201903</v>
      </c>
      <c r="B59">
        <v>25</v>
      </c>
      <c r="C59" t="s">
        <v>526</v>
      </c>
      <c r="D59">
        <v>3190072124911</v>
      </c>
      <c r="E59" t="s">
        <v>53</v>
      </c>
      <c r="F59" t="s">
        <v>597</v>
      </c>
      <c r="G59" t="s">
        <v>598</v>
      </c>
      <c r="H59" t="s">
        <v>599</v>
      </c>
      <c r="I59" t="s">
        <v>606</v>
      </c>
      <c r="J59" t="s">
        <v>606</v>
      </c>
      <c r="K59" t="s">
        <v>607</v>
      </c>
      <c r="L59" t="s">
        <v>643</v>
      </c>
      <c r="M59" t="s">
        <v>644</v>
      </c>
      <c r="N59" t="s">
        <v>947</v>
      </c>
      <c r="P59" t="s">
        <v>603</v>
      </c>
      <c r="Q59" t="s">
        <v>648</v>
      </c>
      <c r="R59" t="s">
        <v>1047</v>
      </c>
      <c r="S59">
        <v>20170327</v>
      </c>
      <c r="T59" t="s">
        <v>866</v>
      </c>
      <c r="X59">
        <v>24</v>
      </c>
      <c r="Y59">
        <v>21000</v>
      </c>
      <c r="AA59" t="s">
        <v>605</v>
      </c>
      <c r="AB59">
        <v>20190215</v>
      </c>
      <c r="AE59">
        <f t="shared" si="0"/>
        <v>0</v>
      </c>
      <c r="AF59">
        <v>0</v>
      </c>
      <c r="AG59">
        <v>0</v>
      </c>
      <c r="AH59">
        <v>0</v>
      </c>
      <c r="AI59" s="121">
        <v>105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105</v>
      </c>
    </row>
    <row r="60" spans="1:41">
      <c r="A60">
        <v>201903</v>
      </c>
      <c r="B60">
        <v>25</v>
      </c>
      <c r="C60" t="s">
        <v>526</v>
      </c>
      <c r="D60">
        <v>3190073081881</v>
      </c>
      <c r="E60" t="s">
        <v>53</v>
      </c>
      <c r="F60" t="s">
        <v>597</v>
      </c>
      <c r="G60" t="s">
        <v>598</v>
      </c>
      <c r="H60" t="s">
        <v>599</v>
      </c>
      <c r="I60" t="s">
        <v>702</v>
      </c>
      <c r="J60" t="s">
        <v>702</v>
      </c>
      <c r="K60" t="s">
        <v>703</v>
      </c>
      <c r="L60" t="s">
        <v>513</v>
      </c>
      <c r="M60" t="s">
        <v>512</v>
      </c>
      <c r="N60" t="s">
        <v>930</v>
      </c>
      <c r="P60" t="s">
        <v>603</v>
      </c>
      <c r="Q60" t="s">
        <v>648</v>
      </c>
      <c r="R60" t="s">
        <v>1039</v>
      </c>
      <c r="S60">
        <v>20170322</v>
      </c>
      <c r="T60" t="s">
        <v>829</v>
      </c>
      <c r="X60">
        <v>24</v>
      </c>
      <c r="Y60">
        <v>41360</v>
      </c>
      <c r="AA60" t="s">
        <v>605</v>
      </c>
      <c r="AB60">
        <v>20190225</v>
      </c>
      <c r="AE60">
        <f t="shared" si="0"/>
        <v>0</v>
      </c>
      <c r="AF60">
        <v>0</v>
      </c>
      <c r="AG60">
        <v>0</v>
      </c>
      <c r="AH60">
        <v>0</v>
      </c>
      <c r="AI60" s="121">
        <v>310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310</v>
      </c>
    </row>
    <row r="61" spans="1:41">
      <c r="A61">
        <v>201903</v>
      </c>
      <c r="B61">
        <v>25</v>
      </c>
      <c r="C61" t="s">
        <v>526</v>
      </c>
      <c r="D61">
        <v>3190401172411</v>
      </c>
      <c r="E61" t="s">
        <v>53</v>
      </c>
      <c r="F61" t="s">
        <v>597</v>
      </c>
      <c r="G61" t="s">
        <v>598</v>
      </c>
      <c r="H61" t="s">
        <v>599</v>
      </c>
      <c r="I61" t="s">
        <v>661</v>
      </c>
      <c r="L61" t="s">
        <v>669</v>
      </c>
      <c r="M61" t="s">
        <v>670</v>
      </c>
      <c r="N61" t="s">
        <v>949</v>
      </c>
      <c r="P61" t="s">
        <v>603</v>
      </c>
      <c r="Q61" t="s">
        <v>648</v>
      </c>
      <c r="R61" t="s">
        <v>1041</v>
      </c>
      <c r="S61">
        <v>20180115</v>
      </c>
      <c r="T61" t="s">
        <v>1094</v>
      </c>
      <c r="X61">
        <v>12</v>
      </c>
      <c r="Y61">
        <v>55000</v>
      </c>
      <c r="AA61" t="s">
        <v>605</v>
      </c>
      <c r="AB61">
        <v>20190228</v>
      </c>
      <c r="AE61">
        <f t="shared" si="0"/>
        <v>0</v>
      </c>
      <c r="AF61">
        <v>0</v>
      </c>
      <c r="AG61">
        <v>0</v>
      </c>
      <c r="AH61">
        <v>0</v>
      </c>
      <c r="AI61" s="12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</row>
    <row r="62" spans="1:41">
      <c r="A62">
        <v>201903</v>
      </c>
      <c r="B62">
        <v>25</v>
      </c>
      <c r="C62" t="s">
        <v>526</v>
      </c>
      <c r="D62">
        <v>3190401760621</v>
      </c>
      <c r="E62" t="s">
        <v>53</v>
      </c>
      <c r="F62" t="s">
        <v>597</v>
      </c>
      <c r="G62" t="s">
        <v>598</v>
      </c>
      <c r="H62" t="s">
        <v>599</v>
      </c>
      <c r="I62" t="s">
        <v>606</v>
      </c>
      <c r="J62" t="s">
        <v>606</v>
      </c>
      <c r="K62" t="s">
        <v>607</v>
      </c>
      <c r="L62" t="s">
        <v>769</v>
      </c>
      <c r="M62" t="s">
        <v>738</v>
      </c>
      <c r="N62" t="s">
        <v>941</v>
      </c>
      <c r="P62" t="s">
        <v>603</v>
      </c>
      <c r="Q62" t="s">
        <v>648</v>
      </c>
      <c r="R62" t="s">
        <v>1042</v>
      </c>
      <c r="S62">
        <v>20180122</v>
      </c>
      <c r="T62" t="s">
        <v>833</v>
      </c>
      <c r="X62">
        <v>14</v>
      </c>
      <c r="Y62">
        <v>54000</v>
      </c>
      <c r="AA62" t="s">
        <v>605</v>
      </c>
      <c r="AB62">
        <v>20190225</v>
      </c>
      <c r="AE62">
        <f t="shared" si="0"/>
        <v>0</v>
      </c>
      <c r="AF62">
        <v>0</v>
      </c>
      <c r="AG62">
        <v>0</v>
      </c>
      <c r="AH62">
        <v>0</v>
      </c>
      <c r="AI62" s="121">
        <v>270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270</v>
      </c>
    </row>
    <row r="63" spans="1:41">
      <c r="A63">
        <v>201903</v>
      </c>
      <c r="B63">
        <v>25</v>
      </c>
      <c r="C63" t="s">
        <v>526</v>
      </c>
      <c r="D63">
        <v>3190479742461</v>
      </c>
      <c r="E63" t="s">
        <v>53</v>
      </c>
      <c r="F63" t="s">
        <v>597</v>
      </c>
      <c r="G63" t="s">
        <v>598</v>
      </c>
      <c r="H63" t="s">
        <v>599</v>
      </c>
      <c r="I63" t="s">
        <v>661</v>
      </c>
      <c r="J63" t="s">
        <v>661</v>
      </c>
      <c r="K63" t="s">
        <v>662</v>
      </c>
      <c r="L63" t="s">
        <v>679</v>
      </c>
      <c r="M63" t="s">
        <v>680</v>
      </c>
      <c r="N63" t="s">
        <v>974</v>
      </c>
      <c r="P63" t="s">
        <v>603</v>
      </c>
      <c r="Q63" t="s">
        <v>648</v>
      </c>
      <c r="R63" t="s">
        <v>985</v>
      </c>
      <c r="S63">
        <v>20190109</v>
      </c>
      <c r="T63" t="s">
        <v>811</v>
      </c>
      <c r="X63">
        <v>2</v>
      </c>
      <c r="Y63">
        <v>75036</v>
      </c>
      <c r="AA63" t="s">
        <v>605</v>
      </c>
      <c r="AB63">
        <v>20190225</v>
      </c>
      <c r="AE63">
        <f t="shared" si="0"/>
        <v>0</v>
      </c>
      <c r="AF63">
        <v>0</v>
      </c>
      <c r="AG63">
        <v>0</v>
      </c>
      <c r="AH63">
        <v>0</v>
      </c>
      <c r="AI63" s="121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</row>
    <row r="64" spans="1:41">
      <c r="A64">
        <v>201903</v>
      </c>
      <c r="B64">
        <v>25</v>
      </c>
      <c r="C64" t="s">
        <v>526</v>
      </c>
      <c r="D64">
        <v>3190403877431</v>
      </c>
      <c r="E64" t="s">
        <v>53</v>
      </c>
      <c r="F64" t="s">
        <v>597</v>
      </c>
      <c r="G64" t="s">
        <v>598</v>
      </c>
      <c r="H64" t="s">
        <v>599</v>
      </c>
      <c r="I64" t="s">
        <v>606</v>
      </c>
      <c r="J64" t="s">
        <v>606</v>
      </c>
      <c r="K64" t="s">
        <v>607</v>
      </c>
      <c r="L64" t="s">
        <v>622</v>
      </c>
      <c r="M64" t="s">
        <v>623</v>
      </c>
      <c r="N64" t="s">
        <v>936</v>
      </c>
      <c r="P64" t="s">
        <v>603</v>
      </c>
      <c r="Q64" t="s">
        <v>727</v>
      </c>
      <c r="R64" t="s">
        <v>1117</v>
      </c>
      <c r="S64">
        <v>20180126</v>
      </c>
      <c r="T64" t="s">
        <v>1118</v>
      </c>
      <c r="X64">
        <v>14</v>
      </c>
      <c r="Y64">
        <v>50000</v>
      </c>
      <c r="AA64" t="s">
        <v>605</v>
      </c>
      <c r="AB64">
        <v>20190228</v>
      </c>
      <c r="AE64">
        <f t="shared" si="0"/>
        <v>0</v>
      </c>
      <c r="AF64">
        <v>0</v>
      </c>
      <c r="AG64">
        <v>0</v>
      </c>
      <c r="AH64">
        <v>0</v>
      </c>
      <c r="AI64" s="121">
        <v>250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250</v>
      </c>
    </row>
    <row r="65" spans="1:41">
      <c r="A65">
        <v>201903</v>
      </c>
      <c r="B65">
        <v>25</v>
      </c>
      <c r="C65" t="s">
        <v>526</v>
      </c>
      <c r="D65">
        <v>3190404755891</v>
      </c>
      <c r="E65" t="s">
        <v>53</v>
      </c>
      <c r="F65" t="s">
        <v>597</v>
      </c>
      <c r="G65" t="s">
        <v>598</v>
      </c>
      <c r="H65" t="s">
        <v>599</v>
      </c>
      <c r="I65" t="s">
        <v>674</v>
      </c>
      <c r="J65" t="s">
        <v>1165</v>
      </c>
      <c r="L65" t="s">
        <v>696</v>
      </c>
      <c r="M65" t="s">
        <v>697</v>
      </c>
      <c r="N65" t="s">
        <v>1022</v>
      </c>
      <c r="P65" t="s">
        <v>603</v>
      </c>
      <c r="Q65" t="s">
        <v>727</v>
      </c>
      <c r="R65" t="s">
        <v>1150</v>
      </c>
      <c r="S65">
        <v>20180131</v>
      </c>
      <c r="T65" t="s">
        <v>1151</v>
      </c>
      <c r="X65">
        <v>14</v>
      </c>
      <c r="Y65">
        <v>54700</v>
      </c>
      <c r="AA65" t="s">
        <v>605</v>
      </c>
      <c r="AB65">
        <v>20190211</v>
      </c>
      <c r="AE65">
        <f t="shared" si="0"/>
        <v>0</v>
      </c>
      <c r="AF65">
        <v>0</v>
      </c>
      <c r="AG65">
        <v>0</v>
      </c>
      <c r="AH65">
        <v>0</v>
      </c>
      <c r="AI65" s="121">
        <v>273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273</v>
      </c>
    </row>
    <row r="66" spans="1:41">
      <c r="A66">
        <v>201903</v>
      </c>
      <c r="B66">
        <v>25</v>
      </c>
      <c r="C66" t="s">
        <v>526</v>
      </c>
      <c r="D66">
        <v>3190456489151</v>
      </c>
      <c r="E66" t="s">
        <v>53</v>
      </c>
      <c r="F66" t="s">
        <v>597</v>
      </c>
      <c r="G66" t="s">
        <v>598</v>
      </c>
      <c r="H66" t="s">
        <v>599</v>
      </c>
      <c r="I66" t="s">
        <v>756</v>
      </c>
      <c r="J66" t="s">
        <v>756</v>
      </c>
      <c r="K66" t="s">
        <v>1169</v>
      </c>
      <c r="L66" t="s">
        <v>760</v>
      </c>
      <c r="M66" t="s">
        <v>761</v>
      </c>
      <c r="N66" t="s">
        <v>1235</v>
      </c>
      <c r="P66" t="s">
        <v>603</v>
      </c>
      <c r="Q66" t="s">
        <v>568</v>
      </c>
      <c r="R66" t="s">
        <v>983</v>
      </c>
      <c r="S66">
        <v>20181017</v>
      </c>
      <c r="T66" t="s">
        <v>854</v>
      </c>
      <c r="X66">
        <v>5</v>
      </c>
      <c r="Y66">
        <v>15716</v>
      </c>
      <c r="AA66" t="s">
        <v>605</v>
      </c>
      <c r="AB66">
        <v>20190211</v>
      </c>
      <c r="AE66">
        <f t="shared" si="0"/>
        <v>0</v>
      </c>
      <c r="AF66">
        <v>0</v>
      </c>
      <c r="AG66">
        <v>0</v>
      </c>
      <c r="AH66">
        <v>0</v>
      </c>
      <c r="AI66" s="121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</row>
    <row r="67" spans="1:41">
      <c r="A67">
        <v>201903</v>
      </c>
      <c r="B67">
        <v>25</v>
      </c>
      <c r="C67" t="s">
        <v>526</v>
      </c>
      <c r="D67">
        <v>3190467587811</v>
      </c>
      <c r="E67" t="s">
        <v>53</v>
      </c>
      <c r="F67" t="s">
        <v>597</v>
      </c>
      <c r="G67" t="s">
        <v>598</v>
      </c>
      <c r="H67" t="s">
        <v>599</v>
      </c>
      <c r="I67" t="s">
        <v>1168</v>
      </c>
      <c r="L67" t="s">
        <v>675</v>
      </c>
      <c r="M67" t="s">
        <v>676</v>
      </c>
      <c r="N67" t="s">
        <v>988</v>
      </c>
      <c r="P67" t="s">
        <v>603</v>
      </c>
      <c r="Q67" t="s">
        <v>648</v>
      </c>
      <c r="R67" t="s">
        <v>1228</v>
      </c>
      <c r="S67">
        <v>20181126</v>
      </c>
      <c r="T67" t="s">
        <v>1019</v>
      </c>
      <c r="V67">
        <v>0</v>
      </c>
      <c r="W67">
        <v>0</v>
      </c>
      <c r="X67">
        <v>4</v>
      </c>
      <c r="Y67">
        <v>59200</v>
      </c>
      <c r="AA67" t="s">
        <v>605</v>
      </c>
      <c r="AB67">
        <v>20190220</v>
      </c>
      <c r="AE67">
        <f t="shared" ref="AE67:AE130" si="1">AO67-AI67</f>
        <v>0</v>
      </c>
      <c r="AF67">
        <v>0</v>
      </c>
      <c r="AG67">
        <v>0</v>
      </c>
      <c r="AH67">
        <v>0</v>
      </c>
      <c r="AI67" s="121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</row>
    <row r="68" spans="1:41">
      <c r="A68">
        <v>201903</v>
      </c>
      <c r="B68">
        <v>25</v>
      </c>
      <c r="C68" t="s">
        <v>526</v>
      </c>
      <c r="D68">
        <v>3190083393911</v>
      </c>
      <c r="E68" t="s">
        <v>53</v>
      </c>
      <c r="F68" t="s">
        <v>597</v>
      </c>
      <c r="G68" t="s">
        <v>598</v>
      </c>
      <c r="H68" t="s">
        <v>599</v>
      </c>
      <c r="I68" t="s">
        <v>674</v>
      </c>
      <c r="L68" t="s">
        <v>705</v>
      </c>
      <c r="M68" t="s">
        <v>706</v>
      </c>
      <c r="N68" t="s">
        <v>966</v>
      </c>
      <c r="P68" t="s">
        <v>603</v>
      </c>
      <c r="Q68" t="s">
        <v>648</v>
      </c>
      <c r="R68" t="s">
        <v>1041</v>
      </c>
      <c r="S68">
        <v>20170607</v>
      </c>
      <c r="T68" t="s">
        <v>861</v>
      </c>
      <c r="V68">
        <v>0</v>
      </c>
      <c r="W68">
        <v>0</v>
      </c>
      <c r="X68">
        <v>21</v>
      </c>
      <c r="Y68">
        <v>60320</v>
      </c>
      <c r="AA68" t="s">
        <v>605</v>
      </c>
      <c r="AB68">
        <v>20190211</v>
      </c>
      <c r="AE68">
        <f t="shared" si="1"/>
        <v>0</v>
      </c>
      <c r="AF68">
        <v>0</v>
      </c>
      <c r="AG68">
        <v>0</v>
      </c>
      <c r="AH68">
        <v>0</v>
      </c>
      <c r="AI68" s="121">
        <v>452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452</v>
      </c>
    </row>
    <row r="69" spans="1:41">
      <c r="A69">
        <v>201903</v>
      </c>
      <c r="B69">
        <v>25</v>
      </c>
      <c r="C69" t="s">
        <v>526</v>
      </c>
      <c r="D69">
        <v>3190084355961</v>
      </c>
      <c r="E69" t="s">
        <v>53</v>
      </c>
      <c r="F69" t="s">
        <v>597</v>
      </c>
      <c r="G69" t="s">
        <v>598</v>
      </c>
      <c r="H69" t="s">
        <v>599</v>
      </c>
      <c r="I69" t="s">
        <v>702</v>
      </c>
      <c r="L69" t="s">
        <v>515</v>
      </c>
      <c r="M69" t="s">
        <v>514</v>
      </c>
      <c r="N69" t="s">
        <v>935</v>
      </c>
      <c r="P69" t="s">
        <v>603</v>
      </c>
      <c r="Q69" t="s">
        <v>648</v>
      </c>
      <c r="R69" t="s">
        <v>1041</v>
      </c>
      <c r="S69">
        <v>20170609</v>
      </c>
      <c r="T69" t="s">
        <v>1144</v>
      </c>
      <c r="X69">
        <v>21</v>
      </c>
      <c r="Y69">
        <v>43000</v>
      </c>
      <c r="AA69" t="s">
        <v>605</v>
      </c>
      <c r="AB69">
        <v>20190228</v>
      </c>
      <c r="AE69">
        <f t="shared" si="1"/>
        <v>0</v>
      </c>
      <c r="AF69">
        <v>0</v>
      </c>
      <c r="AG69">
        <v>0</v>
      </c>
      <c r="AH69">
        <v>0</v>
      </c>
      <c r="AI69" s="121">
        <v>322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322</v>
      </c>
    </row>
    <row r="70" spans="1:41">
      <c r="A70">
        <v>201903</v>
      </c>
      <c r="B70">
        <v>25</v>
      </c>
      <c r="C70" t="s">
        <v>526</v>
      </c>
      <c r="D70">
        <v>3190408113891</v>
      </c>
      <c r="E70" t="s">
        <v>53</v>
      </c>
      <c r="F70" t="s">
        <v>597</v>
      </c>
      <c r="G70" t="s">
        <v>598</v>
      </c>
      <c r="H70" t="s">
        <v>599</v>
      </c>
      <c r="I70" t="s">
        <v>606</v>
      </c>
      <c r="J70" t="s">
        <v>606</v>
      </c>
      <c r="K70" t="s">
        <v>607</v>
      </c>
      <c r="L70" t="s">
        <v>639</v>
      </c>
      <c r="M70" t="s">
        <v>640</v>
      </c>
      <c r="N70" t="s">
        <v>1007</v>
      </c>
      <c r="P70" t="s">
        <v>603</v>
      </c>
      <c r="Q70" t="s">
        <v>648</v>
      </c>
      <c r="R70" t="s">
        <v>1042</v>
      </c>
      <c r="S70">
        <v>20180221</v>
      </c>
      <c r="T70" t="s">
        <v>850</v>
      </c>
      <c r="X70">
        <v>13</v>
      </c>
      <c r="Y70">
        <v>72000</v>
      </c>
      <c r="AA70" t="s">
        <v>605</v>
      </c>
      <c r="AB70">
        <v>20190228</v>
      </c>
      <c r="AE70">
        <f t="shared" si="1"/>
        <v>0</v>
      </c>
      <c r="AF70">
        <v>0</v>
      </c>
      <c r="AG70">
        <v>0</v>
      </c>
      <c r="AH70">
        <v>0</v>
      </c>
      <c r="AI70" s="121">
        <v>360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360</v>
      </c>
    </row>
    <row r="71" spans="1:41">
      <c r="A71">
        <v>201903</v>
      </c>
      <c r="B71">
        <v>25</v>
      </c>
      <c r="C71" t="s">
        <v>526</v>
      </c>
      <c r="D71">
        <v>3190410819581</v>
      </c>
      <c r="E71" t="s">
        <v>53</v>
      </c>
      <c r="F71" t="s">
        <v>597</v>
      </c>
      <c r="G71" t="s">
        <v>598</v>
      </c>
      <c r="H71" t="s">
        <v>599</v>
      </c>
      <c r="I71" t="s">
        <v>606</v>
      </c>
      <c r="J71" t="s">
        <v>606</v>
      </c>
      <c r="K71" t="s">
        <v>607</v>
      </c>
      <c r="L71" t="s">
        <v>625</v>
      </c>
      <c r="M71" t="s">
        <v>626</v>
      </c>
      <c r="N71" t="s">
        <v>941</v>
      </c>
      <c r="P71" t="s">
        <v>603</v>
      </c>
      <c r="Q71" t="s">
        <v>648</v>
      </c>
      <c r="R71" t="s">
        <v>1041</v>
      </c>
      <c r="S71">
        <v>20180307</v>
      </c>
      <c r="T71" t="s">
        <v>1005</v>
      </c>
      <c r="X71">
        <v>12</v>
      </c>
      <c r="Y71">
        <v>78000</v>
      </c>
      <c r="AA71" t="s">
        <v>605</v>
      </c>
      <c r="AB71">
        <v>20190225</v>
      </c>
      <c r="AE71">
        <f t="shared" si="1"/>
        <v>65793</v>
      </c>
      <c r="AF71">
        <v>0</v>
      </c>
      <c r="AG71">
        <v>65793</v>
      </c>
      <c r="AH71">
        <v>0</v>
      </c>
      <c r="AI71" s="12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65793</v>
      </c>
    </row>
    <row r="72" spans="1:41">
      <c r="A72">
        <v>201903</v>
      </c>
      <c r="B72">
        <v>25</v>
      </c>
      <c r="C72" t="s">
        <v>526</v>
      </c>
      <c r="D72">
        <v>3190410948731</v>
      </c>
      <c r="E72" t="s">
        <v>53</v>
      </c>
      <c r="F72" t="s">
        <v>597</v>
      </c>
      <c r="G72" t="s">
        <v>598</v>
      </c>
      <c r="H72" t="s">
        <v>599</v>
      </c>
      <c r="I72" t="s">
        <v>606</v>
      </c>
      <c r="J72" t="s">
        <v>606</v>
      </c>
      <c r="K72" t="s">
        <v>607</v>
      </c>
      <c r="L72" t="s">
        <v>744</v>
      </c>
      <c r="M72" t="s">
        <v>745</v>
      </c>
      <c r="N72" t="s">
        <v>1260</v>
      </c>
      <c r="P72" t="s">
        <v>603</v>
      </c>
      <c r="Q72" t="s">
        <v>648</v>
      </c>
      <c r="R72" t="s">
        <v>1042</v>
      </c>
      <c r="S72">
        <v>20180309</v>
      </c>
      <c r="T72" t="s">
        <v>946</v>
      </c>
      <c r="X72">
        <v>12</v>
      </c>
      <c r="Y72">
        <v>54000</v>
      </c>
      <c r="AA72" t="s">
        <v>605</v>
      </c>
      <c r="AB72">
        <v>20190225</v>
      </c>
      <c r="AE72">
        <f t="shared" si="1"/>
        <v>37039</v>
      </c>
      <c r="AF72">
        <v>0</v>
      </c>
      <c r="AG72">
        <v>37039</v>
      </c>
      <c r="AH72">
        <v>0</v>
      </c>
      <c r="AI72" s="121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37039</v>
      </c>
    </row>
    <row r="73" spans="1:41">
      <c r="A73">
        <v>201903</v>
      </c>
      <c r="B73">
        <v>25</v>
      </c>
      <c r="C73" t="s">
        <v>526</v>
      </c>
      <c r="D73">
        <v>3190411171091</v>
      </c>
      <c r="E73" t="s">
        <v>53</v>
      </c>
      <c r="F73" t="s">
        <v>597</v>
      </c>
      <c r="G73" t="s">
        <v>598</v>
      </c>
      <c r="H73" t="s">
        <v>599</v>
      </c>
      <c r="I73" t="s">
        <v>606</v>
      </c>
      <c r="J73" t="s">
        <v>606</v>
      </c>
      <c r="K73" t="s">
        <v>607</v>
      </c>
      <c r="L73" t="s">
        <v>614</v>
      </c>
      <c r="M73" t="s">
        <v>615</v>
      </c>
      <c r="N73" t="s">
        <v>1226</v>
      </c>
      <c r="P73" t="s">
        <v>603</v>
      </c>
      <c r="Q73" t="s">
        <v>648</v>
      </c>
      <c r="R73" t="s">
        <v>1041</v>
      </c>
      <c r="S73">
        <v>20180309</v>
      </c>
      <c r="T73" t="s">
        <v>885</v>
      </c>
      <c r="X73">
        <v>12</v>
      </c>
      <c r="Y73">
        <v>50000</v>
      </c>
      <c r="AA73" t="s">
        <v>605</v>
      </c>
      <c r="AB73">
        <v>20190225</v>
      </c>
      <c r="AE73">
        <f t="shared" si="1"/>
        <v>42175</v>
      </c>
      <c r="AF73">
        <v>0</v>
      </c>
      <c r="AG73">
        <v>42175</v>
      </c>
      <c r="AH73">
        <v>0</v>
      </c>
      <c r="AI73" s="121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42175</v>
      </c>
    </row>
    <row r="74" spans="1:41">
      <c r="A74">
        <v>201903</v>
      </c>
      <c r="B74">
        <v>25</v>
      </c>
      <c r="C74" t="s">
        <v>526</v>
      </c>
      <c r="D74">
        <v>3190411572741</v>
      </c>
      <c r="E74" t="s">
        <v>53</v>
      </c>
      <c r="F74" t="s">
        <v>597</v>
      </c>
      <c r="G74" t="s">
        <v>598</v>
      </c>
      <c r="H74" t="s">
        <v>599</v>
      </c>
      <c r="I74" t="s">
        <v>606</v>
      </c>
      <c r="J74" t="s">
        <v>606</v>
      </c>
      <c r="K74" t="s">
        <v>607</v>
      </c>
      <c r="L74" t="s">
        <v>744</v>
      </c>
      <c r="M74" t="s">
        <v>745</v>
      </c>
      <c r="N74" t="s">
        <v>1260</v>
      </c>
      <c r="P74" t="s">
        <v>603</v>
      </c>
      <c r="Q74" t="s">
        <v>648</v>
      </c>
      <c r="R74" t="s">
        <v>1042</v>
      </c>
      <c r="S74">
        <v>20180309</v>
      </c>
      <c r="T74" t="s">
        <v>872</v>
      </c>
      <c r="X74">
        <v>12</v>
      </c>
      <c r="Y74">
        <v>52000</v>
      </c>
      <c r="AA74" t="s">
        <v>605</v>
      </c>
      <c r="AB74">
        <v>20190215</v>
      </c>
      <c r="AE74">
        <f t="shared" si="1"/>
        <v>35661</v>
      </c>
      <c r="AF74">
        <v>0</v>
      </c>
      <c r="AG74">
        <v>35661</v>
      </c>
      <c r="AH74">
        <v>0</v>
      </c>
      <c r="AI74" s="121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35661</v>
      </c>
    </row>
    <row r="75" spans="1:41">
      <c r="A75">
        <v>201903</v>
      </c>
      <c r="B75">
        <v>25</v>
      </c>
      <c r="C75" t="s">
        <v>526</v>
      </c>
      <c r="D75">
        <v>3190412165911</v>
      </c>
      <c r="E75" t="s">
        <v>53</v>
      </c>
      <c r="F75" t="s">
        <v>597</v>
      </c>
      <c r="G75" t="s">
        <v>598</v>
      </c>
      <c r="H75" t="s">
        <v>599</v>
      </c>
      <c r="I75" t="s">
        <v>661</v>
      </c>
      <c r="L75" t="s">
        <v>669</v>
      </c>
      <c r="M75" t="s">
        <v>670</v>
      </c>
      <c r="N75" t="s">
        <v>949</v>
      </c>
      <c r="P75" t="s">
        <v>603</v>
      </c>
      <c r="Q75" t="s">
        <v>648</v>
      </c>
      <c r="R75" t="s">
        <v>1041</v>
      </c>
      <c r="S75">
        <v>20180316</v>
      </c>
      <c r="T75" t="s">
        <v>837</v>
      </c>
      <c r="X75">
        <v>11</v>
      </c>
      <c r="Y75">
        <v>53000</v>
      </c>
      <c r="AA75" t="s">
        <v>605</v>
      </c>
      <c r="AB75">
        <v>20190228</v>
      </c>
      <c r="AE75">
        <f t="shared" si="1"/>
        <v>35972</v>
      </c>
      <c r="AF75">
        <v>0</v>
      </c>
      <c r="AG75">
        <v>35972</v>
      </c>
      <c r="AH75">
        <v>0</v>
      </c>
      <c r="AI75" s="121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35972</v>
      </c>
    </row>
    <row r="76" spans="1:41">
      <c r="A76">
        <v>201903</v>
      </c>
      <c r="B76">
        <v>25</v>
      </c>
      <c r="C76" t="s">
        <v>526</v>
      </c>
      <c r="D76">
        <v>3190412189911</v>
      </c>
      <c r="E76" t="s">
        <v>53</v>
      </c>
      <c r="F76" t="s">
        <v>597</v>
      </c>
      <c r="G76" t="s">
        <v>598</v>
      </c>
      <c r="H76" t="s">
        <v>599</v>
      </c>
      <c r="I76" t="s">
        <v>606</v>
      </c>
      <c r="J76" t="s">
        <v>606</v>
      </c>
      <c r="K76" t="s">
        <v>607</v>
      </c>
      <c r="L76" t="s">
        <v>622</v>
      </c>
      <c r="M76" t="s">
        <v>623</v>
      </c>
      <c r="N76" t="s">
        <v>936</v>
      </c>
      <c r="P76" t="s">
        <v>603</v>
      </c>
      <c r="Q76" t="s">
        <v>648</v>
      </c>
      <c r="R76" t="s">
        <v>1042</v>
      </c>
      <c r="S76">
        <v>20180315</v>
      </c>
      <c r="T76" t="s">
        <v>832</v>
      </c>
      <c r="X76">
        <v>12</v>
      </c>
      <c r="Y76">
        <v>54000</v>
      </c>
      <c r="AA76" t="s">
        <v>605</v>
      </c>
      <c r="AB76">
        <v>20190228</v>
      </c>
      <c r="AE76">
        <f t="shared" si="1"/>
        <v>37039</v>
      </c>
      <c r="AF76">
        <v>0</v>
      </c>
      <c r="AG76">
        <v>37039</v>
      </c>
      <c r="AH76">
        <v>0</v>
      </c>
      <c r="AI76" s="121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37039</v>
      </c>
    </row>
    <row r="77" spans="1:41">
      <c r="A77">
        <v>201903</v>
      </c>
      <c r="B77">
        <v>25</v>
      </c>
      <c r="C77" t="s">
        <v>526</v>
      </c>
      <c r="D77">
        <v>3190412581111</v>
      </c>
      <c r="E77" t="s">
        <v>53</v>
      </c>
      <c r="F77" t="s">
        <v>597</v>
      </c>
      <c r="G77" t="s">
        <v>598</v>
      </c>
      <c r="H77" t="s">
        <v>599</v>
      </c>
      <c r="I77" t="s">
        <v>702</v>
      </c>
      <c r="J77" t="s">
        <v>702</v>
      </c>
      <c r="K77" t="s">
        <v>703</v>
      </c>
      <c r="L77" t="s">
        <v>513</v>
      </c>
      <c r="M77" t="s">
        <v>512</v>
      </c>
      <c r="N77" t="s">
        <v>930</v>
      </c>
      <c r="P77" t="s">
        <v>603</v>
      </c>
      <c r="Q77" t="s">
        <v>648</v>
      </c>
      <c r="R77" t="s">
        <v>1041</v>
      </c>
      <c r="S77">
        <v>20180314</v>
      </c>
      <c r="T77" t="s">
        <v>1108</v>
      </c>
      <c r="X77">
        <v>10</v>
      </c>
      <c r="Y77">
        <v>61000</v>
      </c>
      <c r="AA77" t="s">
        <v>605</v>
      </c>
      <c r="AB77">
        <v>20190228</v>
      </c>
      <c r="AE77">
        <f t="shared" si="1"/>
        <v>51453</v>
      </c>
      <c r="AF77">
        <v>0</v>
      </c>
      <c r="AG77">
        <v>51453</v>
      </c>
      <c r="AH77">
        <v>0</v>
      </c>
      <c r="AI77" s="121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51453</v>
      </c>
    </row>
    <row r="78" spans="1:41">
      <c r="A78">
        <v>201903</v>
      </c>
      <c r="B78">
        <v>25</v>
      </c>
      <c r="C78" t="s">
        <v>526</v>
      </c>
      <c r="D78">
        <v>3190412583371</v>
      </c>
      <c r="E78" t="s">
        <v>53</v>
      </c>
      <c r="F78" t="s">
        <v>597</v>
      </c>
      <c r="G78" t="s">
        <v>598</v>
      </c>
      <c r="H78" t="s">
        <v>599</v>
      </c>
      <c r="I78" t="s">
        <v>702</v>
      </c>
      <c r="J78" t="s">
        <v>702</v>
      </c>
      <c r="K78" t="s">
        <v>703</v>
      </c>
      <c r="L78" t="s">
        <v>513</v>
      </c>
      <c r="M78" t="s">
        <v>512</v>
      </c>
      <c r="N78" t="s">
        <v>930</v>
      </c>
      <c r="P78" t="s">
        <v>603</v>
      </c>
      <c r="Q78" t="s">
        <v>648</v>
      </c>
      <c r="R78" t="s">
        <v>1041</v>
      </c>
      <c r="S78">
        <v>20180314</v>
      </c>
      <c r="T78" t="s">
        <v>1109</v>
      </c>
      <c r="X78">
        <v>10</v>
      </c>
      <c r="Y78">
        <v>44000</v>
      </c>
      <c r="AA78" t="s">
        <v>605</v>
      </c>
      <c r="AB78">
        <v>20190228</v>
      </c>
      <c r="AE78">
        <f t="shared" si="1"/>
        <v>37114</v>
      </c>
      <c r="AF78">
        <v>0</v>
      </c>
      <c r="AG78">
        <v>37114</v>
      </c>
      <c r="AH78">
        <v>0</v>
      </c>
      <c r="AI78" s="121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37114</v>
      </c>
    </row>
    <row r="79" spans="1:41">
      <c r="A79">
        <v>201903</v>
      </c>
      <c r="B79">
        <v>25</v>
      </c>
      <c r="C79" t="s">
        <v>526</v>
      </c>
      <c r="D79">
        <v>3190412632451</v>
      </c>
      <c r="E79" t="s">
        <v>53</v>
      </c>
      <c r="F79" t="s">
        <v>597</v>
      </c>
      <c r="G79" t="s">
        <v>598</v>
      </c>
      <c r="H79" t="s">
        <v>599</v>
      </c>
      <c r="I79" t="s">
        <v>606</v>
      </c>
      <c r="J79" t="s">
        <v>606</v>
      </c>
      <c r="K79" t="s">
        <v>607</v>
      </c>
      <c r="L79" t="s">
        <v>744</v>
      </c>
      <c r="M79" t="s">
        <v>745</v>
      </c>
      <c r="N79" t="s">
        <v>1260</v>
      </c>
      <c r="P79" t="s">
        <v>603</v>
      </c>
      <c r="Q79" t="s">
        <v>648</v>
      </c>
      <c r="R79" t="s">
        <v>1042</v>
      </c>
      <c r="S79">
        <v>20180316</v>
      </c>
      <c r="T79" t="s">
        <v>872</v>
      </c>
      <c r="X79">
        <v>12</v>
      </c>
      <c r="Y79">
        <v>60000</v>
      </c>
      <c r="AA79" t="s">
        <v>605</v>
      </c>
      <c r="AB79">
        <v>20190225</v>
      </c>
      <c r="AE79">
        <f t="shared" si="1"/>
        <v>41254</v>
      </c>
      <c r="AF79">
        <v>0</v>
      </c>
      <c r="AG79">
        <v>41254</v>
      </c>
      <c r="AH79">
        <v>0</v>
      </c>
      <c r="AI79" s="121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41254</v>
      </c>
    </row>
    <row r="80" spans="1:41">
      <c r="A80">
        <v>201903</v>
      </c>
      <c r="B80">
        <v>25</v>
      </c>
      <c r="C80" t="s">
        <v>526</v>
      </c>
      <c r="D80">
        <v>3190413923991</v>
      </c>
      <c r="E80" t="s">
        <v>53</v>
      </c>
      <c r="F80" t="s">
        <v>597</v>
      </c>
      <c r="G80" t="s">
        <v>598</v>
      </c>
      <c r="H80" t="s">
        <v>599</v>
      </c>
      <c r="I80" t="s">
        <v>661</v>
      </c>
      <c r="L80" t="s">
        <v>669</v>
      </c>
      <c r="M80" t="s">
        <v>670</v>
      </c>
      <c r="N80" t="s">
        <v>949</v>
      </c>
      <c r="P80" t="s">
        <v>603</v>
      </c>
      <c r="Q80" t="s">
        <v>648</v>
      </c>
      <c r="R80" t="s">
        <v>1041</v>
      </c>
      <c r="S80">
        <v>20180323</v>
      </c>
      <c r="T80" t="s">
        <v>851</v>
      </c>
      <c r="X80">
        <v>12</v>
      </c>
      <c r="Y80">
        <v>50000</v>
      </c>
      <c r="AA80" t="s">
        <v>605</v>
      </c>
      <c r="AB80">
        <v>20190220</v>
      </c>
      <c r="AE80">
        <f t="shared" si="1"/>
        <v>42175</v>
      </c>
      <c r="AF80">
        <v>0</v>
      </c>
      <c r="AG80">
        <v>42175</v>
      </c>
      <c r="AH80">
        <v>0</v>
      </c>
      <c r="AI80" s="121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42175</v>
      </c>
    </row>
    <row r="81" spans="1:41">
      <c r="A81">
        <v>201903</v>
      </c>
      <c r="B81">
        <v>25</v>
      </c>
      <c r="C81" t="s">
        <v>526</v>
      </c>
      <c r="D81">
        <v>3190414667971</v>
      </c>
      <c r="E81" t="s">
        <v>53</v>
      </c>
      <c r="F81" t="s">
        <v>597</v>
      </c>
      <c r="G81" t="s">
        <v>598</v>
      </c>
      <c r="H81" t="s">
        <v>599</v>
      </c>
      <c r="I81" t="s">
        <v>674</v>
      </c>
      <c r="L81" t="s">
        <v>705</v>
      </c>
      <c r="M81" t="s">
        <v>706</v>
      </c>
      <c r="N81" t="s">
        <v>966</v>
      </c>
      <c r="P81" t="s">
        <v>603</v>
      </c>
      <c r="Q81" t="s">
        <v>648</v>
      </c>
      <c r="R81" t="s">
        <v>1162</v>
      </c>
      <c r="S81">
        <v>20180323</v>
      </c>
      <c r="T81" t="s">
        <v>1242</v>
      </c>
      <c r="X81">
        <v>12</v>
      </c>
      <c r="Y81">
        <v>20000</v>
      </c>
      <c r="AA81" t="s">
        <v>605</v>
      </c>
      <c r="AB81">
        <v>20190220</v>
      </c>
      <c r="AE81">
        <f t="shared" si="1"/>
        <v>16100</v>
      </c>
      <c r="AF81">
        <v>0</v>
      </c>
      <c r="AG81">
        <v>16100</v>
      </c>
      <c r="AH81">
        <v>0</v>
      </c>
      <c r="AI81" s="12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16100</v>
      </c>
    </row>
    <row r="82" spans="1:41">
      <c r="A82">
        <v>201903</v>
      </c>
      <c r="B82">
        <v>25</v>
      </c>
      <c r="C82" t="s">
        <v>526</v>
      </c>
      <c r="D82">
        <v>3190415704631</v>
      </c>
      <c r="E82" t="s">
        <v>53</v>
      </c>
      <c r="F82" t="s">
        <v>597</v>
      </c>
      <c r="G82" t="s">
        <v>598</v>
      </c>
      <c r="H82" t="s">
        <v>599</v>
      </c>
      <c r="I82" t="s">
        <v>674</v>
      </c>
      <c r="L82" t="s">
        <v>705</v>
      </c>
      <c r="M82" t="s">
        <v>706</v>
      </c>
      <c r="N82" t="s">
        <v>966</v>
      </c>
      <c r="P82" t="s">
        <v>603</v>
      </c>
      <c r="Q82" t="s">
        <v>648</v>
      </c>
      <c r="R82" t="s">
        <v>1162</v>
      </c>
      <c r="S82">
        <v>20180328</v>
      </c>
      <c r="T82" t="s">
        <v>1005</v>
      </c>
      <c r="X82">
        <v>12</v>
      </c>
      <c r="Y82">
        <v>22540</v>
      </c>
      <c r="AA82" t="s">
        <v>605</v>
      </c>
      <c r="AB82">
        <v>20190215</v>
      </c>
      <c r="AE82">
        <f t="shared" si="1"/>
        <v>18144</v>
      </c>
      <c r="AF82">
        <v>0</v>
      </c>
      <c r="AG82">
        <v>18144</v>
      </c>
      <c r="AH82">
        <v>0</v>
      </c>
      <c r="AI82" s="121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18144</v>
      </c>
    </row>
    <row r="83" spans="1:41">
      <c r="A83">
        <v>201903</v>
      </c>
      <c r="B83">
        <v>25</v>
      </c>
      <c r="C83" t="s">
        <v>526</v>
      </c>
      <c r="D83">
        <v>3190012872211</v>
      </c>
      <c r="E83" t="s">
        <v>53</v>
      </c>
      <c r="F83" t="s">
        <v>597</v>
      </c>
      <c r="G83" t="s">
        <v>598</v>
      </c>
      <c r="H83" t="s">
        <v>599</v>
      </c>
      <c r="I83" t="s">
        <v>606</v>
      </c>
      <c r="L83" t="s">
        <v>600</v>
      </c>
      <c r="M83" t="s">
        <v>601</v>
      </c>
      <c r="N83" t="s">
        <v>938</v>
      </c>
      <c r="P83" t="s">
        <v>603</v>
      </c>
      <c r="Q83" t="s">
        <v>739</v>
      </c>
      <c r="R83" t="s">
        <v>939</v>
      </c>
      <c r="S83">
        <v>20150518</v>
      </c>
      <c r="T83" t="s">
        <v>940</v>
      </c>
      <c r="W83">
        <v>0</v>
      </c>
      <c r="X83">
        <v>46</v>
      </c>
      <c r="Y83">
        <v>100000</v>
      </c>
      <c r="AA83" t="s">
        <v>605</v>
      </c>
      <c r="AB83">
        <v>20190207</v>
      </c>
      <c r="AE83">
        <f t="shared" si="1"/>
        <v>0</v>
      </c>
      <c r="AF83">
        <v>0</v>
      </c>
      <c r="AG83">
        <v>0</v>
      </c>
      <c r="AH83">
        <v>0</v>
      </c>
      <c r="AI83" s="121">
        <v>150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150</v>
      </c>
    </row>
    <row r="84" spans="1:41">
      <c r="A84">
        <v>201903</v>
      </c>
      <c r="B84">
        <v>25</v>
      </c>
      <c r="C84" t="s">
        <v>526</v>
      </c>
      <c r="D84">
        <v>3190020766941</v>
      </c>
      <c r="E84" t="s">
        <v>53</v>
      </c>
      <c r="F84" t="s">
        <v>597</v>
      </c>
      <c r="G84" t="s">
        <v>598</v>
      </c>
      <c r="H84" t="s">
        <v>599</v>
      </c>
      <c r="I84" t="s">
        <v>702</v>
      </c>
      <c r="J84" t="s">
        <v>702</v>
      </c>
      <c r="K84" t="s">
        <v>703</v>
      </c>
      <c r="L84" t="s">
        <v>509</v>
      </c>
      <c r="M84" t="s">
        <v>508</v>
      </c>
      <c r="N84" t="s">
        <v>942</v>
      </c>
      <c r="P84" t="s">
        <v>603</v>
      </c>
      <c r="Q84" t="s">
        <v>648</v>
      </c>
      <c r="R84" t="s">
        <v>929</v>
      </c>
      <c r="S84">
        <v>20151019</v>
      </c>
      <c r="T84" t="s">
        <v>508</v>
      </c>
      <c r="W84">
        <v>0</v>
      </c>
      <c r="X84">
        <v>41</v>
      </c>
      <c r="Y84">
        <v>50000</v>
      </c>
      <c r="AA84" t="s">
        <v>605</v>
      </c>
      <c r="AB84">
        <v>20190220</v>
      </c>
      <c r="AE84">
        <f t="shared" si="1"/>
        <v>0</v>
      </c>
      <c r="AF84">
        <v>0</v>
      </c>
      <c r="AG84">
        <v>0</v>
      </c>
      <c r="AH84">
        <v>0</v>
      </c>
      <c r="AI84" s="121">
        <v>250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250</v>
      </c>
    </row>
    <row r="85" spans="1:41">
      <c r="A85">
        <v>201903</v>
      </c>
      <c r="B85">
        <v>25</v>
      </c>
      <c r="C85" t="s">
        <v>526</v>
      </c>
      <c r="D85">
        <v>3190020767991</v>
      </c>
      <c r="E85" t="s">
        <v>53</v>
      </c>
      <c r="F85" t="s">
        <v>597</v>
      </c>
      <c r="G85" t="s">
        <v>598</v>
      </c>
      <c r="H85" t="s">
        <v>599</v>
      </c>
      <c r="I85" t="s">
        <v>606</v>
      </c>
      <c r="J85" t="s">
        <v>606</v>
      </c>
      <c r="K85" t="s">
        <v>607</v>
      </c>
      <c r="L85" t="s">
        <v>608</v>
      </c>
      <c r="M85" t="s">
        <v>609</v>
      </c>
      <c r="N85" t="s">
        <v>943</v>
      </c>
      <c r="P85" t="s">
        <v>603</v>
      </c>
      <c r="Q85" t="s">
        <v>648</v>
      </c>
      <c r="R85" t="s">
        <v>929</v>
      </c>
      <c r="S85">
        <v>20151029</v>
      </c>
      <c r="T85" t="s">
        <v>765</v>
      </c>
      <c r="W85">
        <v>0</v>
      </c>
      <c r="X85">
        <v>41</v>
      </c>
      <c r="Y85">
        <v>44500</v>
      </c>
      <c r="AA85" t="s">
        <v>605</v>
      </c>
      <c r="AB85">
        <v>20190220</v>
      </c>
      <c r="AE85">
        <f t="shared" si="1"/>
        <v>0</v>
      </c>
      <c r="AF85">
        <v>0</v>
      </c>
      <c r="AG85">
        <v>0</v>
      </c>
      <c r="AH85">
        <v>0</v>
      </c>
      <c r="AI85" s="121">
        <v>222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222</v>
      </c>
    </row>
    <row r="86" spans="1:41">
      <c r="A86">
        <v>201903</v>
      </c>
      <c r="B86">
        <v>25</v>
      </c>
      <c r="C86" t="s">
        <v>526</v>
      </c>
      <c r="D86">
        <v>3190086439811</v>
      </c>
      <c r="E86" t="s">
        <v>53</v>
      </c>
      <c r="F86" t="s">
        <v>597</v>
      </c>
      <c r="G86" t="s">
        <v>598</v>
      </c>
      <c r="H86" t="s">
        <v>599</v>
      </c>
      <c r="I86" t="s">
        <v>606</v>
      </c>
      <c r="J86" t="s">
        <v>606</v>
      </c>
      <c r="K86" t="s">
        <v>607</v>
      </c>
      <c r="L86" t="s">
        <v>622</v>
      </c>
      <c r="M86" t="s">
        <v>623</v>
      </c>
      <c r="N86" t="s">
        <v>936</v>
      </c>
      <c r="P86" t="s">
        <v>603</v>
      </c>
      <c r="Q86" t="s">
        <v>648</v>
      </c>
      <c r="R86" t="s">
        <v>1050</v>
      </c>
      <c r="S86">
        <v>20170630</v>
      </c>
      <c r="T86" t="s">
        <v>867</v>
      </c>
      <c r="X86">
        <v>21</v>
      </c>
      <c r="Y86">
        <v>50000</v>
      </c>
      <c r="AA86" t="s">
        <v>605</v>
      </c>
      <c r="AB86">
        <v>20190220</v>
      </c>
      <c r="AE86">
        <f t="shared" si="1"/>
        <v>0</v>
      </c>
      <c r="AF86">
        <v>0</v>
      </c>
      <c r="AG86">
        <v>0</v>
      </c>
      <c r="AH86">
        <v>0</v>
      </c>
      <c r="AI86" s="121">
        <v>250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250</v>
      </c>
    </row>
    <row r="87" spans="1:41">
      <c r="A87">
        <v>201903</v>
      </c>
      <c r="B87">
        <v>25</v>
      </c>
      <c r="C87" t="s">
        <v>526</v>
      </c>
      <c r="D87">
        <v>3190087537681</v>
      </c>
      <c r="E87" t="s">
        <v>53</v>
      </c>
      <c r="F87" t="s">
        <v>597</v>
      </c>
      <c r="G87" t="s">
        <v>598</v>
      </c>
      <c r="H87" t="s">
        <v>599</v>
      </c>
      <c r="I87" t="s">
        <v>606</v>
      </c>
      <c r="J87" t="s">
        <v>606</v>
      </c>
      <c r="K87" t="s">
        <v>607</v>
      </c>
      <c r="L87" t="s">
        <v>622</v>
      </c>
      <c r="M87" t="s">
        <v>623</v>
      </c>
      <c r="N87" t="s">
        <v>936</v>
      </c>
      <c r="P87" t="s">
        <v>603</v>
      </c>
      <c r="Q87" t="s">
        <v>648</v>
      </c>
      <c r="R87" t="s">
        <v>1050</v>
      </c>
      <c r="S87">
        <v>20170630</v>
      </c>
      <c r="T87" t="s">
        <v>867</v>
      </c>
      <c r="X87">
        <v>21</v>
      </c>
      <c r="Y87">
        <v>43000</v>
      </c>
      <c r="AA87" t="s">
        <v>605</v>
      </c>
      <c r="AB87">
        <v>20190220</v>
      </c>
      <c r="AE87">
        <f t="shared" si="1"/>
        <v>0</v>
      </c>
      <c r="AF87">
        <v>0</v>
      </c>
      <c r="AG87">
        <v>0</v>
      </c>
      <c r="AH87">
        <v>0</v>
      </c>
      <c r="AI87" s="121">
        <v>215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215</v>
      </c>
    </row>
    <row r="88" spans="1:41">
      <c r="A88">
        <v>201903</v>
      </c>
      <c r="B88">
        <v>25</v>
      </c>
      <c r="C88" t="s">
        <v>526</v>
      </c>
      <c r="D88">
        <v>3190088057951</v>
      </c>
      <c r="E88" t="s">
        <v>53</v>
      </c>
      <c r="F88" t="s">
        <v>597</v>
      </c>
      <c r="G88" t="s">
        <v>598</v>
      </c>
      <c r="H88" t="s">
        <v>599</v>
      </c>
      <c r="I88" t="s">
        <v>606</v>
      </c>
      <c r="J88" t="s">
        <v>606</v>
      </c>
      <c r="K88" t="s">
        <v>607</v>
      </c>
      <c r="L88" t="s">
        <v>614</v>
      </c>
      <c r="M88" t="s">
        <v>615</v>
      </c>
      <c r="N88" t="s">
        <v>1226</v>
      </c>
      <c r="P88" t="s">
        <v>603</v>
      </c>
      <c r="Q88" t="s">
        <v>648</v>
      </c>
      <c r="R88" t="s">
        <v>1162</v>
      </c>
      <c r="S88">
        <v>20170707</v>
      </c>
      <c r="T88" t="s">
        <v>820</v>
      </c>
      <c r="X88">
        <v>20</v>
      </c>
      <c r="Y88">
        <v>20000</v>
      </c>
      <c r="AA88" t="s">
        <v>605</v>
      </c>
      <c r="AB88">
        <v>20190220</v>
      </c>
      <c r="AE88">
        <f t="shared" si="1"/>
        <v>0</v>
      </c>
      <c r="AF88">
        <v>0</v>
      </c>
      <c r="AG88">
        <v>0</v>
      </c>
      <c r="AH88">
        <v>0</v>
      </c>
      <c r="AI88" s="121">
        <v>100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100</v>
      </c>
    </row>
    <row r="89" spans="1:41">
      <c r="A89">
        <v>201903</v>
      </c>
      <c r="B89">
        <v>25</v>
      </c>
      <c r="C89" t="s">
        <v>526</v>
      </c>
      <c r="D89">
        <v>3190088418761</v>
      </c>
      <c r="E89" t="s">
        <v>53</v>
      </c>
      <c r="F89" t="s">
        <v>597</v>
      </c>
      <c r="G89" t="s">
        <v>598</v>
      </c>
      <c r="H89" t="s">
        <v>599</v>
      </c>
      <c r="I89" t="s">
        <v>1167</v>
      </c>
      <c r="J89" t="s">
        <v>734</v>
      </c>
      <c r="K89" t="s">
        <v>735</v>
      </c>
      <c r="L89" t="s">
        <v>736</v>
      </c>
      <c r="M89" t="s">
        <v>737</v>
      </c>
      <c r="N89" t="s">
        <v>1052</v>
      </c>
      <c r="P89" t="s">
        <v>603</v>
      </c>
      <c r="Q89" t="s">
        <v>648</v>
      </c>
      <c r="R89" t="s">
        <v>1041</v>
      </c>
      <c r="S89">
        <v>20170705</v>
      </c>
      <c r="T89" t="s">
        <v>900</v>
      </c>
      <c r="X89">
        <v>20</v>
      </c>
      <c r="Y89">
        <v>171000</v>
      </c>
      <c r="AA89" t="s">
        <v>605</v>
      </c>
      <c r="AB89">
        <v>20190225</v>
      </c>
      <c r="AE89">
        <f t="shared" si="1"/>
        <v>0</v>
      </c>
      <c r="AF89">
        <v>0</v>
      </c>
      <c r="AG89">
        <v>0</v>
      </c>
      <c r="AH89">
        <v>0</v>
      </c>
      <c r="AI89" s="121">
        <v>1282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1282</v>
      </c>
    </row>
    <row r="90" spans="1:41">
      <c r="A90">
        <v>201903</v>
      </c>
      <c r="B90">
        <v>25</v>
      </c>
      <c r="C90" t="s">
        <v>526</v>
      </c>
      <c r="D90">
        <v>3190089691161</v>
      </c>
      <c r="E90" t="s">
        <v>53</v>
      </c>
      <c r="F90" t="s">
        <v>597</v>
      </c>
      <c r="G90" t="s">
        <v>598</v>
      </c>
      <c r="H90" t="s">
        <v>599</v>
      </c>
      <c r="I90" t="s">
        <v>702</v>
      </c>
      <c r="L90" t="s">
        <v>515</v>
      </c>
      <c r="M90" t="s">
        <v>514</v>
      </c>
      <c r="N90" t="s">
        <v>935</v>
      </c>
      <c r="P90" t="s">
        <v>603</v>
      </c>
      <c r="Q90" t="s">
        <v>648</v>
      </c>
      <c r="R90" t="s">
        <v>1041</v>
      </c>
      <c r="S90">
        <v>20170714</v>
      </c>
      <c r="T90" t="s">
        <v>850</v>
      </c>
      <c r="X90">
        <v>20</v>
      </c>
      <c r="Y90">
        <v>78000</v>
      </c>
      <c r="AA90" t="s">
        <v>605</v>
      </c>
      <c r="AB90">
        <v>20190220</v>
      </c>
      <c r="AE90">
        <f t="shared" si="1"/>
        <v>0</v>
      </c>
      <c r="AF90">
        <v>0</v>
      </c>
      <c r="AG90">
        <v>0</v>
      </c>
      <c r="AH90">
        <v>0</v>
      </c>
      <c r="AI90" s="121">
        <v>585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585</v>
      </c>
    </row>
    <row r="91" spans="1:41">
      <c r="A91">
        <v>201903</v>
      </c>
      <c r="B91">
        <v>25</v>
      </c>
      <c r="C91" t="s">
        <v>526</v>
      </c>
      <c r="D91">
        <v>3190090085391</v>
      </c>
      <c r="E91" t="s">
        <v>53</v>
      </c>
      <c r="F91" t="s">
        <v>597</v>
      </c>
      <c r="G91" t="s">
        <v>598</v>
      </c>
      <c r="H91" t="s">
        <v>599</v>
      </c>
      <c r="I91" t="s">
        <v>606</v>
      </c>
      <c r="J91" t="s">
        <v>606</v>
      </c>
      <c r="K91" t="s">
        <v>607</v>
      </c>
      <c r="L91" t="s">
        <v>639</v>
      </c>
      <c r="M91" t="s">
        <v>640</v>
      </c>
      <c r="N91" t="s">
        <v>1007</v>
      </c>
      <c r="P91" t="s">
        <v>603</v>
      </c>
      <c r="Q91" t="s">
        <v>648</v>
      </c>
      <c r="R91" t="s">
        <v>1080</v>
      </c>
      <c r="S91">
        <v>20170720</v>
      </c>
      <c r="T91" t="s">
        <v>822</v>
      </c>
      <c r="X91">
        <v>20</v>
      </c>
      <c r="Y91">
        <v>43000</v>
      </c>
      <c r="AA91" t="s">
        <v>605</v>
      </c>
      <c r="AB91">
        <v>20190220</v>
      </c>
      <c r="AE91">
        <f t="shared" si="1"/>
        <v>0</v>
      </c>
      <c r="AF91">
        <v>0</v>
      </c>
      <c r="AG91">
        <v>0</v>
      </c>
      <c r="AH91">
        <v>0</v>
      </c>
      <c r="AI91" s="121">
        <v>215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215</v>
      </c>
    </row>
    <row r="92" spans="1:41">
      <c r="A92">
        <v>201903</v>
      </c>
      <c r="B92">
        <v>25</v>
      </c>
      <c r="C92" t="s">
        <v>526</v>
      </c>
      <c r="D92">
        <v>3190091699901</v>
      </c>
      <c r="E92" t="s">
        <v>53</v>
      </c>
      <c r="F92" t="s">
        <v>597</v>
      </c>
      <c r="G92" t="s">
        <v>598</v>
      </c>
      <c r="H92" t="s">
        <v>599</v>
      </c>
      <c r="I92" t="s">
        <v>606</v>
      </c>
      <c r="J92" t="s">
        <v>606</v>
      </c>
      <c r="K92" t="s">
        <v>607</v>
      </c>
      <c r="L92" t="s">
        <v>622</v>
      </c>
      <c r="M92" t="s">
        <v>623</v>
      </c>
      <c r="N92" t="s">
        <v>936</v>
      </c>
      <c r="P92" t="s">
        <v>603</v>
      </c>
      <c r="Q92" t="s">
        <v>648</v>
      </c>
      <c r="R92" t="s">
        <v>1041</v>
      </c>
      <c r="S92">
        <v>20170728</v>
      </c>
      <c r="T92" t="s">
        <v>1085</v>
      </c>
      <c r="X92">
        <v>20</v>
      </c>
      <c r="Y92">
        <v>107000</v>
      </c>
      <c r="AA92" t="s">
        <v>605</v>
      </c>
      <c r="AB92">
        <v>20190208</v>
      </c>
      <c r="AE92">
        <f t="shared" si="1"/>
        <v>0</v>
      </c>
      <c r="AF92">
        <v>0</v>
      </c>
      <c r="AG92">
        <v>0</v>
      </c>
      <c r="AH92">
        <v>0</v>
      </c>
      <c r="AI92" s="121">
        <v>802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802</v>
      </c>
    </row>
    <row r="93" spans="1:41">
      <c r="A93">
        <v>201903</v>
      </c>
      <c r="B93">
        <v>25</v>
      </c>
      <c r="C93" t="s">
        <v>526</v>
      </c>
      <c r="D93">
        <v>3190092334271</v>
      </c>
      <c r="E93" t="s">
        <v>53</v>
      </c>
      <c r="F93" t="s">
        <v>597</v>
      </c>
      <c r="G93" t="s">
        <v>598</v>
      </c>
      <c r="H93" t="s">
        <v>599</v>
      </c>
      <c r="I93" t="s">
        <v>606</v>
      </c>
      <c r="J93" t="s">
        <v>606</v>
      </c>
      <c r="K93" t="s">
        <v>607</v>
      </c>
      <c r="L93" t="s">
        <v>744</v>
      </c>
      <c r="M93" t="s">
        <v>745</v>
      </c>
      <c r="N93" t="s">
        <v>1260</v>
      </c>
      <c r="P93" t="s">
        <v>603</v>
      </c>
      <c r="Q93" t="s">
        <v>727</v>
      </c>
      <c r="R93" t="s">
        <v>1176</v>
      </c>
      <c r="S93">
        <v>20170728</v>
      </c>
      <c r="T93" t="s">
        <v>850</v>
      </c>
      <c r="X93">
        <v>18</v>
      </c>
      <c r="Y93">
        <v>1000000</v>
      </c>
      <c r="AA93" t="s">
        <v>605</v>
      </c>
      <c r="AB93">
        <v>20190228</v>
      </c>
      <c r="AE93">
        <f t="shared" si="1"/>
        <v>0</v>
      </c>
      <c r="AF93">
        <v>0</v>
      </c>
      <c r="AG93">
        <v>0</v>
      </c>
      <c r="AH93">
        <v>0</v>
      </c>
      <c r="AI93" s="121">
        <v>5000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5000</v>
      </c>
    </row>
    <row r="94" spans="1:41">
      <c r="A94">
        <v>201903</v>
      </c>
      <c r="B94">
        <v>25</v>
      </c>
      <c r="C94" t="s">
        <v>526</v>
      </c>
      <c r="D94">
        <v>3190092340901</v>
      </c>
      <c r="E94" t="s">
        <v>53</v>
      </c>
      <c r="F94" t="s">
        <v>597</v>
      </c>
      <c r="G94" t="s">
        <v>598</v>
      </c>
      <c r="H94" t="s">
        <v>599</v>
      </c>
      <c r="I94" t="s">
        <v>606</v>
      </c>
      <c r="J94" t="s">
        <v>606</v>
      </c>
      <c r="K94" t="s">
        <v>607</v>
      </c>
      <c r="L94" t="s">
        <v>622</v>
      </c>
      <c r="M94" t="s">
        <v>623</v>
      </c>
      <c r="N94" t="s">
        <v>936</v>
      </c>
      <c r="P94" t="s">
        <v>603</v>
      </c>
      <c r="Q94" t="s">
        <v>648</v>
      </c>
      <c r="R94" t="s">
        <v>1041</v>
      </c>
      <c r="S94">
        <v>20170731</v>
      </c>
      <c r="T94" t="s">
        <v>1092</v>
      </c>
      <c r="X94">
        <v>20</v>
      </c>
      <c r="Y94">
        <v>45000</v>
      </c>
      <c r="AA94" t="s">
        <v>605</v>
      </c>
      <c r="AB94">
        <v>20190208</v>
      </c>
      <c r="AE94">
        <f t="shared" si="1"/>
        <v>0</v>
      </c>
      <c r="AF94">
        <v>0</v>
      </c>
      <c r="AG94">
        <v>0</v>
      </c>
      <c r="AH94">
        <v>0</v>
      </c>
      <c r="AI94" s="121">
        <v>337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337</v>
      </c>
    </row>
    <row r="95" spans="1:41">
      <c r="A95">
        <v>201903</v>
      </c>
      <c r="B95">
        <v>25</v>
      </c>
      <c r="C95" t="s">
        <v>526</v>
      </c>
      <c r="D95">
        <v>3190094405301</v>
      </c>
      <c r="E95" t="s">
        <v>53</v>
      </c>
      <c r="F95" t="s">
        <v>597</v>
      </c>
      <c r="G95" t="s">
        <v>598</v>
      </c>
      <c r="H95" t="s">
        <v>599</v>
      </c>
      <c r="I95" t="s">
        <v>702</v>
      </c>
      <c r="J95" t="s">
        <v>702</v>
      </c>
      <c r="K95" t="s">
        <v>703</v>
      </c>
      <c r="L95" t="s">
        <v>513</v>
      </c>
      <c r="M95" t="s">
        <v>512</v>
      </c>
      <c r="N95" t="s">
        <v>930</v>
      </c>
      <c r="P95" t="s">
        <v>603</v>
      </c>
      <c r="Q95" t="s">
        <v>648</v>
      </c>
      <c r="R95" t="s">
        <v>1042</v>
      </c>
      <c r="S95">
        <v>20170814</v>
      </c>
      <c r="T95" t="s">
        <v>897</v>
      </c>
      <c r="X95">
        <v>19</v>
      </c>
      <c r="Y95">
        <v>46000</v>
      </c>
      <c r="AA95" t="s">
        <v>605</v>
      </c>
      <c r="AB95">
        <v>20190225</v>
      </c>
      <c r="AE95">
        <f t="shared" si="1"/>
        <v>0</v>
      </c>
      <c r="AF95">
        <v>0</v>
      </c>
      <c r="AG95">
        <v>0</v>
      </c>
      <c r="AH95">
        <v>0</v>
      </c>
      <c r="AI95" s="121">
        <v>230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230</v>
      </c>
    </row>
    <row r="96" spans="1:41">
      <c r="A96">
        <v>201903</v>
      </c>
      <c r="B96">
        <v>25</v>
      </c>
      <c r="C96" t="s">
        <v>526</v>
      </c>
      <c r="D96">
        <v>3190094607761</v>
      </c>
      <c r="E96" t="s">
        <v>53</v>
      </c>
      <c r="F96" t="s">
        <v>597</v>
      </c>
      <c r="G96" t="s">
        <v>598</v>
      </c>
      <c r="H96" t="s">
        <v>599</v>
      </c>
      <c r="I96" t="s">
        <v>661</v>
      </c>
      <c r="L96" t="s">
        <v>669</v>
      </c>
      <c r="M96" t="s">
        <v>670</v>
      </c>
      <c r="N96" t="s">
        <v>949</v>
      </c>
      <c r="P96" t="s">
        <v>603</v>
      </c>
      <c r="Q96" t="s">
        <v>648</v>
      </c>
      <c r="R96" t="s">
        <v>1041</v>
      </c>
      <c r="S96">
        <v>20170816</v>
      </c>
      <c r="T96" t="s">
        <v>824</v>
      </c>
      <c r="X96">
        <v>19</v>
      </c>
      <c r="Y96">
        <v>76000</v>
      </c>
      <c r="AA96" t="s">
        <v>605</v>
      </c>
      <c r="AB96">
        <v>20190225</v>
      </c>
      <c r="AE96">
        <f t="shared" si="1"/>
        <v>0</v>
      </c>
      <c r="AF96">
        <v>0</v>
      </c>
      <c r="AG96">
        <v>0</v>
      </c>
      <c r="AH96">
        <v>0</v>
      </c>
      <c r="AI96" s="121">
        <v>570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570</v>
      </c>
    </row>
    <row r="97" spans="1:41">
      <c r="A97">
        <v>201903</v>
      </c>
      <c r="B97">
        <v>25</v>
      </c>
      <c r="C97" t="s">
        <v>526</v>
      </c>
      <c r="D97">
        <v>3190094921481</v>
      </c>
      <c r="E97" t="s">
        <v>53</v>
      </c>
      <c r="F97" t="s">
        <v>597</v>
      </c>
      <c r="G97" t="s">
        <v>598</v>
      </c>
      <c r="H97" t="s">
        <v>599</v>
      </c>
      <c r="I97" t="s">
        <v>702</v>
      </c>
      <c r="J97" t="s">
        <v>702</v>
      </c>
      <c r="K97" t="s">
        <v>703</v>
      </c>
      <c r="L97" t="s">
        <v>511</v>
      </c>
      <c r="M97" t="s">
        <v>510</v>
      </c>
      <c r="N97" t="s">
        <v>965</v>
      </c>
      <c r="P97" t="s">
        <v>603</v>
      </c>
      <c r="Q97" t="s">
        <v>648</v>
      </c>
      <c r="R97" t="s">
        <v>1041</v>
      </c>
      <c r="S97">
        <v>20170822</v>
      </c>
      <c r="T97" t="s">
        <v>1116</v>
      </c>
      <c r="X97">
        <v>19</v>
      </c>
      <c r="Y97">
        <v>65322</v>
      </c>
      <c r="AA97" t="s">
        <v>605</v>
      </c>
      <c r="AB97">
        <v>20190208</v>
      </c>
      <c r="AE97">
        <f t="shared" si="1"/>
        <v>0</v>
      </c>
      <c r="AF97">
        <v>0</v>
      </c>
      <c r="AG97">
        <v>0</v>
      </c>
      <c r="AH97">
        <v>0</v>
      </c>
      <c r="AI97" s="121">
        <v>489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489</v>
      </c>
    </row>
    <row r="98" spans="1:41">
      <c r="A98">
        <v>201903</v>
      </c>
      <c r="B98">
        <v>25</v>
      </c>
      <c r="C98" t="s">
        <v>526</v>
      </c>
      <c r="D98">
        <v>3190096015211</v>
      </c>
      <c r="E98" t="s">
        <v>53</v>
      </c>
      <c r="F98" t="s">
        <v>597</v>
      </c>
      <c r="G98" t="s">
        <v>598</v>
      </c>
      <c r="H98" t="s">
        <v>599</v>
      </c>
      <c r="I98" t="s">
        <v>702</v>
      </c>
      <c r="L98" t="s">
        <v>515</v>
      </c>
      <c r="M98" t="s">
        <v>514</v>
      </c>
      <c r="N98" t="s">
        <v>935</v>
      </c>
      <c r="P98" t="s">
        <v>603</v>
      </c>
      <c r="Q98" t="s">
        <v>648</v>
      </c>
      <c r="R98" t="s">
        <v>1041</v>
      </c>
      <c r="S98">
        <v>20170825</v>
      </c>
      <c r="T98" t="s">
        <v>895</v>
      </c>
      <c r="X98">
        <v>19</v>
      </c>
      <c r="Y98">
        <v>30000</v>
      </c>
      <c r="AA98" t="s">
        <v>605</v>
      </c>
      <c r="AB98">
        <v>20190215</v>
      </c>
      <c r="AE98">
        <f t="shared" si="1"/>
        <v>0</v>
      </c>
      <c r="AF98">
        <v>0</v>
      </c>
      <c r="AG98">
        <v>0</v>
      </c>
      <c r="AH98">
        <v>0</v>
      </c>
      <c r="AI98" s="121">
        <v>225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225</v>
      </c>
    </row>
    <row r="99" spans="1:41">
      <c r="A99">
        <v>201903</v>
      </c>
      <c r="B99">
        <v>25</v>
      </c>
      <c r="C99" t="s">
        <v>526</v>
      </c>
      <c r="D99">
        <v>3190096030291</v>
      </c>
      <c r="E99" t="s">
        <v>53</v>
      </c>
      <c r="F99" t="s">
        <v>597</v>
      </c>
      <c r="G99" t="s">
        <v>598</v>
      </c>
      <c r="H99" t="s">
        <v>599</v>
      </c>
      <c r="I99" t="s">
        <v>702</v>
      </c>
      <c r="J99" t="s">
        <v>702</v>
      </c>
      <c r="K99" t="s">
        <v>703</v>
      </c>
      <c r="L99" t="s">
        <v>513</v>
      </c>
      <c r="M99" t="s">
        <v>512</v>
      </c>
      <c r="N99" t="s">
        <v>930</v>
      </c>
      <c r="P99" t="s">
        <v>603</v>
      </c>
      <c r="Q99" t="s">
        <v>648</v>
      </c>
      <c r="R99" t="s">
        <v>1042</v>
      </c>
      <c r="S99">
        <v>20170825</v>
      </c>
      <c r="T99" t="s">
        <v>831</v>
      </c>
      <c r="X99">
        <v>19</v>
      </c>
      <c r="Y99">
        <v>40000</v>
      </c>
      <c r="AA99" t="s">
        <v>605</v>
      </c>
      <c r="AB99">
        <v>20190225</v>
      </c>
      <c r="AE99">
        <f t="shared" si="1"/>
        <v>0</v>
      </c>
      <c r="AF99">
        <v>0</v>
      </c>
      <c r="AG99">
        <v>0</v>
      </c>
      <c r="AH99">
        <v>0</v>
      </c>
      <c r="AI99" s="121">
        <v>200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200</v>
      </c>
    </row>
    <row r="100" spans="1:41">
      <c r="A100">
        <v>201903</v>
      </c>
      <c r="B100">
        <v>25</v>
      </c>
      <c r="C100" t="s">
        <v>526</v>
      </c>
      <c r="D100">
        <v>3190096642351</v>
      </c>
      <c r="E100" t="s">
        <v>53</v>
      </c>
      <c r="F100" t="s">
        <v>597</v>
      </c>
      <c r="G100" t="s">
        <v>598</v>
      </c>
      <c r="H100" t="s">
        <v>599</v>
      </c>
      <c r="I100" t="s">
        <v>702</v>
      </c>
      <c r="J100" t="s">
        <v>702</v>
      </c>
      <c r="K100" t="s">
        <v>703</v>
      </c>
      <c r="L100" t="s">
        <v>513</v>
      </c>
      <c r="M100" t="s">
        <v>512</v>
      </c>
      <c r="N100" t="s">
        <v>930</v>
      </c>
      <c r="P100" t="s">
        <v>603</v>
      </c>
      <c r="Q100" t="s">
        <v>648</v>
      </c>
      <c r="R100" t="s">
        <v>1042</v>
      </c>
      <c r="S100">
        <v>20170830</v>
      </c>
      <c r="T100" t="s">
        <v>1111</v>
      </c>
      <c r="X100">
        <v>19</v>
      </c>
      <c r="Y100">
        <v>40000</v>
      </c>
      <c r="AA100" t="s">
        <v>605</v>
      </c>
      <c r="AB100">
        <v>20190220</v>
      </c>
      <c r="AE100">
        <f t="shared" si="1"/>
        <v>0</v>
      </c>
      <c r="AF100">
        <v>0</v>
      </c>
      <c r="AG100">
        <v>0</v>
      </c>
      <c r="AH100">
        <v>0</v>
      </c>
      <c r="AI100" s="121">
        <v>200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200</v>
      </c>
    </row>
    <row r="101" spans="1:41">
      <c r="A101">
        <v>201903</v>
      </c>
      <c r="B101">
        <v>25</v>
      </c>
      <c r="C101" t="s">
        <v>526</v>
      </c>
      <c r="D101">
        <v>3190096840731</v>
      </c>
      <c r="E101" t="s">
        <v>53</v>
      </c>
      <c r="F101" t="s">
        <v>597</v>
      </c>
      <c r="G101" t="s">
        <v>598</v>
      </c>
      <c r="H101" t="s">
        <v>599</v>
      </c>
      <c r="I101" t="s">
        <v>606</v>
      </c>
      <c r="J101" t="s">
        <v>606</v>
      </c>
      <c r="K101" t="s">
        <v>607</v>
      </c>
      <c r="L101" t="s">
        <v>622</v>
      </c>
      <c r="M101" t="s">
        <v>623</v>
      </c>
      <c r="N101" t="s">
        <v>936</v>
      </c>
      <c r="P101" t="s">
        <v>603</v>
      </c>
      <c r="Q101" t="s">
        <v>648</v>
      </c>
      <c r="R101" t="s">
        <v>1041</v>
      </c>
      <c r="S101">
        <v>20170831</v>
      </c>
      <c r="T101" t="s">
        <v>832</v>
      </c>
      <c r="X101">
        <v>19</v>
      </c>
      <c r="Y101">
        <v>30000</v>
      </c>
      <c r="AA101" t="s">
        <v>605</v>
      </c>
      <c r="AB101">
        <v>20190211</v>
      </c>
      <c r="AE101">
        <f t="shared" si="1"/>
        <v>0</v>
      </c>
      <c r="AF101">
        <v>0</v>
      </c>
      <c r="AG101">
        <v>0</v>
      </c>
      <c r="AH101">
        <v>0</v>
      </c>
      <c r="AI101" s="121">
        <v>225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225</v>
      </c>
    </row>
    <row r="102" spans="1:41">
      <c r="A102">
        <v>201903</v>
      </c>
      <c r="B102">
        <v>25</v>
      </c>
      <c r="C102" t="s">
        <v>526</v>
      </c>
      <c r="D102">
        <v>3190096933811</v>
      </c>
      <c r="E102" t="s">
        <v>53</v>
      </c>
      <c r="F102" t="s">
        <v>597</v>
      </c>
      <c r="G102" t="s">
        <v>598</v>
      </c>
      <c r="H102" t="s">
        <v>599</v>
      </c>
      <c r="I102" t="s">
        <v>606</v>
      </c>
      <c r="J102" t="s">
        <v>606</v>
      </c>
      <c r="K102" t="s">
        <v>607</v>
      </c>
      <c r="L102" t="s">
        <v>744</v>
      </c>
      <c r="M102" t="s">
        <v>745</v>
      </c>
      <c r="N102" t="s">
        <v>1260</v>
      </c>
      <c r="P102" t="s">
        <v>603</v>
      </c>
      <c r="Q102" t="s">
        <v>727</v>
      </c>
      <c r="R102" t="s">
        <v>1176</v>
      </c>
      <c r="S102">
        <v>20170831</v>
      </c>
      <c r="T102" t="s">
        <v>819</v>
      </c>
      <c r="X102">
        <v>19</v>
      </c>
      <c r="Y102">
        <v>1000000</v>
      </c>
      <c r="AA102" t="s">
        <v>605</v>
      </c>
      <c r="AB102">
        <v>20190228</v>
      </c>
      <c r="AE102">
        <f t="shared" si="1"/>
        <v>0</v>
      </c>
      <c r="AF102">
        <v>0</v>
      </c>
      <c r="AG102">
        <v>0</v>
      </c>
      <c r="AH102">
        <v>0</v>
      </c>
      <c r="AI102" s="121">
        <v>5000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5000</v>
      </c>
    </row>
    <row r="103" spans="1:41">
      <c r="A103">
        <v>201903</v>
      </c>
      <c r="B103">
        <v>25</v>
      </c>
      <c r="C103" t="s">
        <v>526</v>
      </c>
      <c r="D103">
        <v>3190097018351</v>
      </c>
      <c r="E103" t="s">
        <v>53</v>
      </c>
      <c r="F103" t="s">
        <v>597</v>
      </c>
      <c r="G103" t="s">
        <v>598</v>
      </c>
      <c r="H103" t="s">
        <v>599</v>
      </c>
      <c r="I103" t="s">
        <v>606</v>
      </c>
      <c r="J103" t="s">
        <v>606</v>
      </c>
      <c r="K103" t="s">
        <v>607</v>
      </c>
      <c r="L103" t="s">
        <v>643</v>
      </c>
      <c r="M103" t="s">
        <v>644</v>
      </c>
      <c r="N103" t="s">
        <v>947</v>
      </c>
      <c r="P103" t="s">
        <v>603</v>
      </c>
      <c r="Q103" t="s">
        <v>648</v>
      </c>
      <c r="R103" t="s">
        <v>1042</v>
      </c>
      <c r="S103">
        <v>20170908</v>
      </c>
      <c r="T103" t="s">
        <v>1043</v>
      </c>
      <c r="X103">
        <v>17</v>
      </c>
      <c r="Y103">
        <v>82000</v>
      </c>
      <c r="AA103" t="s">
        <v>605</v>
      </c>
      <c r="AB103">
        <v>20190228</v>
      </c>
      <c r="AE103">
        <f t="shared" si="1"/>
        <v>0</v>
      </c>
      <c r="AF103">
        <v>0</v>
      </c>
      <c r="AG103">
        <v>0</v>
      </c>
      <c r="AH103">
        <v>0</v>
      </c>
      <c r="AI103" s="121">
        <v>410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410</v>
      </c>
    </row>
    <row r="104" spans="1:41">
      <c r="A104">
        <v>201903</v>
      </c>
      <c r="B104">
        <v>25</v>
      </c>
      <c r="C104" t="s">
        <v>526</v>
      </c>
      <c r="D104">
        <v>3190100930341</v>
      </c>
      <c r="E104" t="s">
        <v>53</v>
      </c>
      <c r="F104" t="s">
        <v>597</v>
      </c>
      <c r="G104" t="s">
        <v>598</v>
      </c>
      <c r="H104" t="s">
        <v>599</v>
      </c>
      <c r="I104" t="s">
        <v>661</v>
      </c>
      <c r="L104" t="s">
        <v>669</v>
      </c>
      <c r="M104" t="s">
        <v>670</v>
      </c>
      <c r="N104" t="s">
        <v>949</v>
      </c>
      <c r="P104" t="s">
        <v>603</v>
      </c>
      <c r="Q104" t="s">
        <v>648</v>
      </c>
      <c r="R104" t="s">
        <v>1041</v>
      </c>
      <c r="S104">
        <v>20170929</v>
      </c>
      <c r="T104" t="s">
        <v>724</v>
      </c>
      <c r="V104">
        <v>0</v>
      </c>
      <c r="W104">
        <v>0</v>
      </c>
      <c r="X104">
        <v>18</v>
      </c>
      <c r="Y104">
        <v>66000</v>
      </c>
      <c r="AA104" t="s">
        <v>605</v>
      </c>
      <c r="AB104">
        <v>20190220</v>
      </c>
      <c r="AE104">
        <f t="shared" si="1"/>
        <v>0</v>
      </c>
      <c r="AF104">
        <v>0</v>
      </c>
      <c r="AG104">
        <v>0</v>
      </c>
      <c r="AH104">
        <v>0</v>
      </c>
      <c r="AI104" s="121">
        <v>495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495</v>
      </c>
    </row>
    <row r="105" spans="1:41">
      <c r="A105">
        <v>201903</v>
      </c>
      <c r="B105">
        <v>25</v>
      </c>
      <c r="C105" t="s">
        <v>526</v>
      </c>
      <c r="D105">
        <v>3190101018741</v>
      </c>
      <c r="E105" t="s">
        <v>53</v>
      </c>
      <c r="F105" t="s">
        <v>597</v>
      </c>
      <c r="G105" t="s">
        <v>598</v>
      </c>
      <c r="H105" t="s">
        <v>599</v>
      </c>
      <c r="I105" t="s">
        <v>674</v>
      </c>
      <c r="J105" t="s">
        <v>1165</v>
      </c>
      <c r="L105" t="s">
        <v>696</v>
      </c>
      <c r="M105" t="s">
        <v>697</v>
      </c>
      <c r="N105" t="s">
        <v>1022</v>
      </c>
      <c r="P105" t="s">
        <v>603</v>
      </c>
      <c r="Q105" t="s">
        <v>648</v>
      </c>
      <c r="R105" t="s">
        <v>1041</v>
      </c>
      <c r="S105">
        <v>20170929</v>
      </c>
      <c r="T105" t="s">
        <v>1083</v>
      </c>
      <c r="X105">
        <v>18</v>
      </c>
      <c r="Y105">
        <v>66700</v>
      </c>
      <c r="AA105" t="s">
        <v>605</v>
      </c>
      <c r="AB105">
        <v>20190220</v>
      </c>
      <c r="AE105">
        <f t="shared" si="1"/>
        <v>0</v>
      </c>
      <c r="AF105">
        <v>0</v>
      </c>
      <c r="AG105">
        <v>0</v>
      </c>
      <c r="AH105">
        <v>0</v>
      </c>
      <c r="AI105" s="121">
        <v>500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500</v>
      </c>
    </row>
    <row r="106" spans="1:41">
      <c r="A106">
        <v>201903</v>
      </c>
      <c r="B106">
        <v>25</v>
      </c>
      <c r="C106" t="s">
        <v>526</v>
      </c>
      <c r="D106">
        <v>3190101018881</v>
      </c>
      <c r="E106" t="s">
        <v>53</v>
      </c>
      <c r="F106" t="s">
        <v>597</v>
      </c>
      <c r="G106" t="s">
        <v>598</v>
      </c>
      <c r="H106" t="s">
        <v>599</v>
      </c>
      <c r="I106" t="s">
        <v>674</v>
      </c>
      <c r="J106" t="s">
        <v>1165</v>
      </c>
      <c r="L106" t="s">
        <v>696</v>
      </c>
      <c r="M106" t="s">
        <v>697</v>
      </c>
      <c r="N106" t="s">
        <v>1022</v>
      </c>
      <c r="P106" t="s">
        <v>603</v>
      </c>
      <c r="Q106" t="s">
        <v>648</v>
      </c>
      <c r="R106" t="s">
        <v>1041</v>
      </c>
      <c r="S106">
        <v>20170929</v>
      </c>
      <c r="T106" t="s">
        <v>1083</v>
      </c>
      <c r="X106">
        <v>18</v>
      </c>
      <c r="Y106">
        <v>65500</v>
      </c>
      <c r="AA106" t="s">
        <v>605</v>
      </c>
      <c r="AB106">
        <v>20190220</v>
      </c>
      <c r="AE106">
        <f t="shared" si="1"/>
        <v>0</v>
      </c>
      <c r="AF106">
        <v>0</v>
      </c>
      <c r="AG106">
        <v>0</v>
      </c>
      <c r="AH106">
        <v>0</v>
      </c>
      <c r="AI106" s="121">
        <v>491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491</v>
      </c>
    </row>
    <row r="107" spans="1:41">
      <c r="A107">
        <v>201903</v>
      </c>
      <c r="B107">
        <v>25</v>
      </c>
      <c r="C107" t="s">
        <v>526</v>
      </c>
      <c r="D107">
        <v>3190101784211</v>
      </c>
      <c r="E107" t="s">
        <v>53</v>
      </c>
      <c r="F107" t="s">
        <v>597</v>
      </c>
      <c r="G107" t="s">
        <v>598</v>
      </c>
      <c r="H107" t="s">
        <v>599</v>
      </c>
      <c r="I107" t="s">
        <v>661</v>
      </c>
      <c r="L107" t="s">
        <v>669</v>
      </c>
      <c r="M107" t="s">
        <v>670</v>
      </c>
      <c r="N107" t="s">
        <v>949</v>
      </c>
      <c r="P107" t="s">
        <v>603</v>
      </c>
      <c r="Q107" t="s">
        <v>648</v>
      </c>
      <c r="R107" t="s">
        <v>1099</v>
      </c>
      <c r="S107">
        <v>20171017</v>
      </c>
      <c r="T107" t="s">
        <v>713</v>
      </c>
      <c r="V107">
        <v>46</v>
      </c>
      <c r="W107">
        <v>30</v>
      </c>
      <c r="X107">
        <v>17</v>
      </c>
      <c r="Y107">
        <v>24553</v>
      </c>
      <c r="AA107" t="s">
        <v>605</v>
      </c>
      <c r="AB107">
        <v>20190228</v>
      </c>
      <c r="AE107">
        <f t="shared" si="1"/>
        <v>0</v>
      </c>
      <c r="AF107">
        <v>0</v>
      </c>
      <c r="AG107">
        <v>0</v>
      </c>
      <c r="AH107">
        <v>0</v>
      </c>
      <c r="AI107" s="121">
        <v>122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122</v>
      </c>
    </row>
    <row r="108" spans="1:41">
      <c r="A108">
        <v>201903</v>
      </c>
      <c r="B108">
        <v>25</v>
      </c>
      <c r="C108" t="s">
        <v>526</v>
      </c>
      <c r="D108">
        <v>3190101863181</v>
      </c>
      <c r="E108" t="s">
        <v>53</v>
      </c>
      <c r="F108" t="s">
        <v>597</v>
      </c>
      <c r="G108" t="s">
        <v>598</v>
      </c>
      <c r="H108" t="s">
        <v>599</v>
      </c>
      <c r="I108" t="s">
        <v>606</v>
      </c>
      <c r="J108" t="s">
        <v>606</v>
      </c>
      <c r="K108" t="s">
        <v>607</v>
      </c>
      <c r="L108" t="s">
        <v>769</v>
      </c>
      <c r="M108" t="s">
        <v>738</v>
      </c>
      <c r="N108" t="s">
        <v>941</v>
      </c>
      <c r="P108" t="s">
        <v>603</v>
      </c>
      <c r="Q108" t="s">
        <v>648</v>
      </c>
      <c r="R108" t="s">
        <v>1042</v>
      </c>
      <c r="S108">
        <v>20171012</v>
      </c>
      <c r="T108" t="s">
        <v>825</v>
      </c>
      <c r="X108">
        <v>17</v>
      </c>
      <c r="Y108">
        <v>43000</v>
      </c>
      <c r="AA108" t="s">
        <v>605</v>
      </c>
      <c r="AB108">
        <v>20190228</v>
      </c>
      <c r="AE108">
        <f t="shared" si="1"/>
        <v>0</v>
      </c>
      <c r="AF108">
        <v>0</v>
      </c>
      <c r="AG108">
        <v>0</v>
      </c>
      <c r="AH108">
        <v>0</v>
      </c>
      <c r="AI108" s="121">
        <v>215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215</v>
      </c>
    </row>
    <row r="109" spans="1:41">
      <c r="A109">
        <v>201903</v>
      </c>
      <c r="B109">
        <v>25</v>
      </c>
      <c r="C109" t="s">
        <v>526</v>
      </c>
      <c r="D109">
        <v>3190102134361</v>
      </c>
      <c r="E109" t="s">
        <v>53</v>
      </c>
      <c r="F109" t="s">
        <v>597</v>
      </c>
      <c r="G109" t="s">
        <v>598</v>
      </c>
      <c r="H109" t="s">
        <v>599</v>
      </c>
      <c r="I109" t="s">
        <v>702</v>
      </c>
      <c r="J109" t="s">
        <v>702</v>
      </c>
      <c r="K109" t="s">
        <v>703</v>
      </c>
      <c r="L109" t="s">
        <v>513</v>
      </c>
      <c r="M109" t="s">
        <v>512</v>
      </c>
      <c r="N109" t="s">
        <v>930</v>
      </c>
      <c r="P109" t="s">
        <v>603</v>
      </c>
      <c r="Q109" t="s">
        <v>648</v>
      </c>
      <c r="R109" t="s">
        <v>1042</v>
      </c>
      <c r="S109">
        <v>20171013</v>
      </c>
      <c r="T109" t="s">
        <v>1093</v>
      </c>
      <c r="X109">
        <v>17</v>
      </c>
      <c r="Y109">
        <v>40000</v>
      </c>
      <c r="AA109" t="s">
        <v>605</v>
      </c>
      <c r="AB109">
        <v>20190225</v>
      </c>
      <c r="AE109">
        <f t="shared" si="1"/>
        <v>0</v>
      </c>
      <c r="AF109">
        <v>0</v>
      </c>
      <c r="AG109">
        <v>0</v>
      </c>
      <c r="AH109">
        <v>0</v>
      </c>
      <c r="AI109" s="121">
        <v>200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200</v>
      </c>
    </row>
    <row r="110" spans="1:41">
      <c r="A110">
        <v>201903</v>
      </c>
      <c r="B110">
        <v>25</v>
      </c>
      <c r="C110" t="s">
        <v>526</v>
      </c>
      <c r="D110">
        <v>3190102647371</v>
      </c>
      <c r="E110" t="s">
        <v>53</v>
      </c>
      <c r="F110" t="s">
        <v>597</v>
      </c>
      <c r="G110" t="s">
        <v>598</v>
      </c>
      <c r="H110" t="s">
        <v>599</v>
      </c>
      <c r="I110" t="s">
        <v>606</v>
      </c>
      <c r="J110" t="s">
        <v>606</v>
      </c>
      <c r="K110" t="s">
        <v>607</v>
      </c>
      <c r="L110" t="s">
        <v>769</v>
      </c>
      <c r="M110" t="s">
        <v>738</v>
      </c>
      <c r="N110" t="s">
        <v>941</v>
      </c>
      <c r="P110" t="s">
        <v>603</v>
      </c>
      <c r="Q110" t="s">
        <v>648</v>
      </c>
      <c r="R110" t="s">
        <v>1042</v>
      </c>
      <c r="S110">
        <v>20171023</v>
      </c>
      <c r="T110" t="s">
        <v>1025</v>
      </c>
      <c r="X110">
        <v>17</v>
      </c>
      <c r="Y110">
        <v>76500</v>
      </c>
      <c r="AA110" t="s">
        <v>605</v>
      </c>
      <c r="AB110">
        <v>20190225</v>
      </c>
      <c r="AE110">
        <f t="shared" si="1"/>
        <v>0</v>
      </c>
      <c r="AF110">
        <v>0</v>
      </c>
      <c r="AG110">
        <v>0</v>
      </c>
      <c r="AH110">
        <v>0</v>
      </c>
      <c r="AI110" s="121">
        <v>382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382</v>
      </c>
    </row>
    <row r="111" spans="1:41">
      <c r="A111">
        <v>201903</v>
      </c>
      <c r="B111">
        <v>25</v>
      </c>
      <c r="C111" t="s">
        <v>526</v>
      </c>
      <c r="D111">
        <v>3190415927611</v>
      </c>
      <c r="E111" t="s">
        <v>53</v>
      </c>
      <c r="F111" t="s">
        <v>597</v>
      </c>
      <c r="G111" t="s">
        <v>598</v>
      </c>
      <c r="H111" t="s">
        <v>599</v>
      </c>
      <c r="I111" t="s">
        <v>674</v>
      </c>
      <c r="L111" t="s">
        <v>705</v>
      </c>
      <c r="M111" t="s">
        <v>706</v>
      </c>
      <c r="N111" t="s">
        <v>966</v>
      </c>
      <c r="P111" t="s">
        <v>603</v>
      </c>
      <c r="Q111" t="s">
        <v>648</v>
      </c>
      <c r="R111" t="s">
        <v>1162</v>
      </c>
      <c r="S111">
        <v>20180329</v>
      </c>
      <c r="T111" t="s">
        <v>1237</v>
      </c>
      <c r="X111">
        <v>12</v>
      </c>
      <c r="Y111">
        <v>21000</v>
      </c>
      <c r="AA111" t="s">
        <v>605</v>
      </c>
      <c r="AB111">
        <v>20190220</v>
      </c>
      <c r="AE111">
        <f t="shared" si="1"/>
        <v>16905</v>
      </c>
      <c r="AF111">
        <v>0</v>
      </c>
      <c r="AG111">
        <v>16905</v>
      </c>
      <c r="AH111">
        <v>0</v>
      </c>
      <c r="AI111" s="12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16905</v>
      </c>
    </row>
    <row r="112" spans="1:41">
      <c r="A112">
        <v>201903</v>
      </c>
      <c r="B112">
        <v>25</v>
      </c>
      <c r="C112" t="s">
        <v>526</v>
      </c>
      <c r="D112">
        <v>3190416169991</v>
      </c>
      <c r="E112" t="s">
        <v>53</v>
      </c>
      <c r="F112" t="s">
        <v>597</v>
      </c>
      <c r="G112" t="s">
        <v>598</v>
      </c>
      <c r="H112" t="s">
        <v>599</v>
      </c>
      <c r="I112" t="s">
        <v>674</v>
      </c>
      <c r="L112" t="s">
        <v>705</v>
      </c>
      <c r="M112" t="s">
        <v>706</v>
      </c>
      <c r="N112" t="s">
        <v>966</v>
      </c>
      <c r="P112" t="s">
        <v>603</v>
      </c>
      <c r="Q112" t="s">
        <v>648</v>
      </c>
      <c r="R112" t="s">
        <v>1041</v>
      </c>
      <c r="S112">
        <v>20180330</v>
      </c>
      <c r="T112" t="s">
        <v>1005</v>
      </c>
      <c r="X112">
        <v>12</v>
      </c>
      <c r="Y112">
        <v>39500</v>
      </c>
      <c r="AA112" t="s">
        <v>605</v>
      </c>
      <c r="AB112">
        <v>20190215</v>
      </c>
      <c r="AE112">
        <f t="shared" si="1"/>
        <v>33318</v>
      </c>
      <c r="AF112">
        <v>0</v>
      </c>
      <c r="AG112">
        <v>33318</v>
      </c>
      <c r="AH112">
        <v>0</v>
      </c>
      <c r="AI112" s="121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33318</v>
      </c>
    </row>
    <row r="113" spans="1:41">
      <c r="A113">
        <v>201903</v>
      </c>
      <c r="B113">
        <v>25</v>
      </c>
      <c r="C113" t="s">
        <v>526</v>
      </c>
      <c r="D113">
        <v>3190416310621</v>
      </c>
      <c r="E113" t="s">
        <v>53</v>
      </c>
      <c r="F113" t="s">
        <v>597</v>
      </c>
      <c r="G113" t="s">
        <v>598</v>
      </c>
      <c r="H113" t="s">
        <v>599</v>
      </c>
      <c r="I113" t="s">
        <v>674</v>
      </c>
      <c r="L113" t="s">
        <v>705</v>
      </c>
      <c r="M113" t="s">
        <v>706</v>
      </c>
      <c r="N113" t="s">
        <v>966</v>
      </c>
      <c r="P113" t="s">
        <v>603</v>
      </c>
      <c r="Q113" t="s">
        <v>648</v>
      </c>
      <c r="R113" t="s">
        <v>1238</v>
      </c>
      <c r="S113">
        <v>20180329</v>
      </c>
      <c r="T113" t="s">
        <v>826</v>
      </c>
      <c r="X113">
        <v>12</v>
      </c>
      <c r="Y113">
        <v>77000</v>
      </c>
      <c r="AA113" t="s">
        <v>605</v>
      </c>
      <c r="AB113">
        <v>20190207</v>
      </c>
      <c r="AE113">
        <f t="shared" si="1"/>
        <v>38615</v>
      </c>
      <c r="AF113">
        <v>0</v>
      </c>
      <c r="AG113">
        <v>38615</v>
      </c>
      <c r="AH113">
        <v>0</v>
      </c>
      <c r="AI113" s="121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38615</v>
      </c>
    </row>
    <row r="114" spans="1:41">
      <c r="A114">
        <v>201903</v>
      </c>
      <c r="B114">
        <v>25</v>
      </c>
      <c r="C114" t="s">
        <v>526</v>
      </c>
      <c r="D114">
        <v>3190416406911</v>
      </c>
      <c r="E114" t="s">
        <v>53</v>
      </c>
      <c r="F114" t="s">
        <v>597</v>
      </c>
      <c r="G114" t="s">
        <v>598</v>
      </c>
      <c r="H114" t="s">
        <v>599</v>
      </c>
      <c r="I114" t="s">
        <v>674</v>
      </c>
      <c r="L114" t="s">
        <v>705</v>
      </c>
      <c r="M114" t="s">
        <v>706</v>
      </c>
      <c r="N114" t="s">
        <v>966</v>
      </c>
      <c r="P114" t="s">
        <v>603</v>
      </c>
      <c r="Q114" t="s">
        <v>648</v>
      </c>
      <c r="R114" t="s">
        <v>1238</v>
      </c>
      <c r="S114">
        <v>20180329</v>
      </c>
      <c r="T114" t="s">
        <v>826</v>
      </c>
      <c r="X114">
        <v>12</v>
      </c>
      <c r="Y114">
        <v>77000</v>
      </c>
      <c r="AA114" t="s">
        <v>605</v>
      </c>
      <c r="AB114">
        <v>20190207</v>
      </c>
      <c r="AE114">
        <f t="shared" si="1"/>
        <v>38738</v>
      </c>
      <c r="AF114">
        <v>0</v>
      </c>
      <c r="AG114">
        <v>38738</v>
      </c>
      <c r="AH114">
        <v>0</v>
      </c>
      <c r="AI114" s="121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38738</v>
      </c>
    </row>
    <row r="115" spans="1:41">
      <c r="A115">
        <v>201903</v>
      </c>
      <c r="B115">
        <v>25</v>
      </c>
      <c r="C115" t="s">
        <v>526</v>
      </c>
      <c r="D115">
        <v>3190416568241</v>
      </c>
      <c r="E115" t="s">
        <v>53</v>
      </c>
      <c r="F115" t="s">
        <v>597</v>
      </c>
      <c r="G115" t="s">
        <v>598</v>
      </c>
      <c r="H115" t="s">
        <v>599</v>
      </c>
      <c r="I115" t="s">
        <v>702</v>
      </c>
      <c r="J115" t="s">
        <v>702</v>
      </c>
      <c r="K115" t="s">
        <v>703</v>
      </c>
      <c r="L115" t="s">
        <v>513</v>
      </c>
      <c r="M115" t="s">
        <v>512</v>
      </c>
      <c r="N115" t="s">
        <v>930</v>
      </c>
      <c r="P115" t="s">
        <v>603</v>
      </c>
      <c r="Q115" t="s">
        <v>648</v>
      </c>
      <c r="R115" t="s">
        <v>1041</v>
      </c>
      <c r="S115">
        <v>20180329</v>
      </c>
      <c r="T115" t="s">
        <v>1075</v>
      </c>
      <c r="X115">
        <v>12</v>
      </c>
      <c r="Y115">
        <v>30000</v>
      </c>
      <c r="AA115" t="s">
        <v>605</v>
      </c>
      <c r="AB115">
        <v>20190220</v>
      </c>
      <c r="AE115">
        <f t="shared" si="1"/>
        <v>25305</v>
      </c>
      <c r="AF115">
        <v>0</v>
      </c>
      <c r="AG115">
        <v>25305</v>
      </c>
      <c r="AH115">
        <v>0</v>
      </c>
      <c r="AI115" s="121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25305</v>
      </c>
    </row>
    <row r="116" spans="1:41">
      <c r="A116">
        <v>201903</v>
      </c>
      <c r="B116">
        <v>25</v>
      </c>
      <c r="C116" t="s">
        <v>526</v>
      </c>
      <c r="D116">
        <v>3190416945081</v>
      </c>
      <c r="E116" t="s">
        <v>53</v>
      </c>
      <c r="F116" t="s">
        <v>597</v>
      </c>
      <c r="G116" t="s">
        <v>598</v>
      </c>
      <c r="H116" t="s">
        <v>599</v>
      </c>
      <c r="I116" t="s">
        <v>702</v>
      </c>
      <c r="J116" t="s">
        <v>702</v>
      </c>
      <c r="K116" t="s">
        <v>703</v>
      </c>
      <c r="L116" t="s">
        <v>511</v>
      </c>
      <c r="M116" t="s">
        <v>510</v>
      </c>
      <c r="N116" t="s">
        <v>965</v>
      </c>
      <c r="P116" t="s">
        <v>603</v>
      </c>
      <c r="Q116" t="s">
        <v>648</v>
      </c>
      <c r="R116" t="s">
        <v>1041</v>
      </c>
      <c r="S116">
        <v>20180330</v>
      </c>
      <c r="T116" t="s">
        <v>1011</v>
      </c>
      <c r="X116">
        <v>12</v>
      </c>
      <c r="Y116">
        <v>56500</v>
      </c>
      <c r="AA116" t="s">
        <v>605</v>
      </c>
      <c r="AB116">
        <v>20190225</v>
      </c>
      <c r="AE116">
        <f t="shared" si="1"/>
        <v>47657</v>
      </c>
      <c r="AF116">
        <v>0</v>
      </c>
      <c r="AG116">
        <v>47657</v>
      </c>
      <c r="AH116">
        <v>0</v>
      </c>
      <c r="AI116" s="121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47657</v>
      </c>
    </row>
    <row r="117" spans="1:41">
      <c r="A117">
        <v>201903</v>
      </c>
      <c r="B117">
        <v>25</v>
      </c>
      <c r="C117" t="s">
        <v>526</v>
      </c>
      <c r="D117">
        <v>3190418778001</v>
      </c>
      <c r="E117" t="s">
        <v>53</v>
      </c>
      <c r="F117" t="s">
        <v>597</v>
      </c>
      <c r="G117" t="s">
        <v>598</v>
      </c>
      <c r="H117" t="s">
        <v>599</v>
      </c>
      <c r="I117" t="s">
        <v>702</v>
      </c>
      <c r="J117" t="s">
        <v>702</v>
      </c>
      <c r="K117" t="s">
        <v>703</v>
      </c>
      <c r="L117" t="s">
        <v>513</v>
      </c>
      <c r="M117" t="s">
        <v>512</v>
      </c>
      <c r="N117" t="s">
        <v>930</v>
      </c>
      <c r="P117" t="s">
        <v>603</v>
      </c>
      <c r="Q117" t="s">
        <v>648</v>
      </c>
      <c r="R117" t="s">
        <v>979</v>
      </c>
      <c r="S117">
        <v>20180411</v>
      </c>
      <c r="T117" t="s">
        <v>855</v>
      </c>
      <c r="X117">
        <v>11</v>
      </c>
      <c r="Y117">
        <v>51000</v>
      </c>
      <c r="AA117" t="s">
        <v>605</v>
      </c>
      <c r="AB117">
        <v>20190225</v>
      </c>
      <c r="AE117">
        <f t="shared" si="1"/>
        <v>36057</v>
      </c>
      <c r="AF117">
        <v>0</v>
      </c>
      <c r="AG117">
        <v>36057</v>
      </c>
      <c r="AH117">
        <v>0</v>
      </c>
      <c r="AI117" s="121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36057</v>
      </c>
    </row>
    <row r="118" spans="1:41">
      <c r="A118">
        <v>201903</v>
      </c>
      <c r="B118">
        <v>25</v>
      </c>
      <c r="C118" t="s">
        <v>526</v>
      </c>
      <c r="D118">
        <v>3190419421611</v>
      </c>
      <c r="E118" t="s">
        <v>53</v>
      </c>
      <c r="F118" t="s">
        <v>597</v>
      </c>
      <c r="G118" t="s">
        <v>598</v>
      </c>
      <c r="H118" t="s">
        <v>599</v>
      </c>
      <c r="I118" t="s">
        <v>606</v>
      </c>
      <c r="J118" t="s">
        <v>606</v>
      </c>
      <c r="K118" t="s">
        <v>607</v>
      </c>
      <c r="L118" t="s">
        <v>752</v>
      </c>
      <c r="M118" t="s">
        <v>753</v>
      </c>
      <c r="N118" t="s">
        <v>1045</v>
      </c>
      <c r="P118" t="s">
        <v>603</v>
      </c>
      <c r="Q118" t="s">
        <v>648</v>
      </c>
      <c r="R118" t="s">
        <v>979</v>
      </c>
      <c r="S118">
        <v>20180413</v>
      </c>
      <c r="T118" t="s">
        <v>816</v>
      </c>
      <c r="X118">
        <v>11</v>
      </c>
      <c r="Y118">
        <v>50000</v>
      </c>
      <c r="AA118" t="s">
        <v>605</v>
      </c>
      <c r="AB118">
        <v>20190220</v>
      </c>
      <c r="AE118">
        <f t="shared" si="1"/>
        <v>35350</v>
      </c>
      <c r="AF118">
        <v>0</v>
      </c>
      <c r="AG118">
        <v>35350</v>
      </c>
      <c r="AH118">
        <v>0</v>
      </c>
      <c r="AI118" s="121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35350</v>
      </c>
    </row>
    <row r="119" spans="1:41">
      <c r="A119">
        <v>201903</v>
      </c>
      <c r="B119">
        <v>25</v>
      </c>
      <c r="C119" t="s">
        <v>526</v>
      </c>
      <c r="D119">
        <v>3190419504421</v>
      </c>
      <c r="E119" t="s">
        <v>53</v>
      </c>
      <c r="F119" t="s">
        <v>597</v>
      </c>
      <c r="G119" t="s">
        <v>598</v>
      </c>
      <c r="H119" t="s">
        <v>599</v>
      </c>
      <c r="I119" t="s">
        <v>702</v>
      </c>
      <c r="J119" t="s">
        <v>702</v>
      </c>
      <c r="K119" t="s">
        <v>703</v>
      </c>
      <c r="L119" t="s">
        <v>513</v>
      </c>
      <c r="M119" t="s">
        <v>512</v>
      </c>
      <c r="N119" t="s">
        <v>930</v>
      </c>
      <c r="P119" t="s">
        <v>603</v>
      </c>
      <c r="Q119" t="s">
        <v>648</v>
      </c>
      <c r="R119" t="s">
        <v>989</v>
      </c>
      <c r="S119">
        <v>20180416</v>
      </c>
      <c r="T119" t="s">
        <v>1100</v>
      </c>
      <c r="X119">
        <v>11</v>
      </c>
      <c r="Y119">
        <v>20000</v>
      </c>
      <c r="AA119" t="s">
        <v>605</v>
      </c>
      <c r="AB119">
        <v>20190208</v>
      </c>
      <c r="AE119">
        <f t="shared" si="1"/>
        <v>16240</v>
      </c>
      <c r="AF119">
        <v>0</v>
      </c>
      <c r="AG119">
        <v>16240</v>
      </c>
      <c r="AH119">
        <v>0</v>
      </c>
      <c r="AI119" s="121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16240</v>
      </c>
    </row>
    <row r="120" spans="1:41">
      <c r="A120">
        <v>201903</v>
      </c>
      <c r="B120">
        <v>25</v>
      </c>
      <c r="C120" t="s">
        <v>526</v>
      </c>
      <c r="D120">
        <v>3190419513261</v>
      </c>
      <c r="E120" t="s">
        <v>53</v>
      </c>
      <c r="F120" t="s">
        <v>597</v>
      </c>
      <c r="G120" t="s">
        <v>598</v>
      </c>
      <c r="H120" t="s">
        <v>599</v>
      </c>
      <c r="I120" t="s">
        <v>606</v>
      </c>
      <c r="J120" t="s">
        <v>606</v>
      </c>
      <c r="K120" t="s">
        <v>607</v>
      </c>
      <c r="L120" t="s">
        <v>614</v>
      </c>
      <c r="M120" t="s">
        <v>615</v>
      </c>
      <c r="N120" t="s">
        <v>1226</v>
      </c>
      <c r="P120" t="s">
        <v>603</v>
      </c>
      <c r="Q120" t="s">
        <v>648</v>
      </c>
      <c r="R120" t="s">
        <v>989</v>
      </c>
      <c r="S120">
        <v>20180420</v>
      </c>
      <c r="T120" t="s">
        <v>1101</v>
      </c>
      <c r="X120">
        <v>11</v>
      </c>
      <c r="Y120">
        <v>20580</v>
      </c>
      <c r="AA120" t="s">
        <v>605</v>
      </c>
      <c r="AB120">
        <v>20190225</v>
      </c>
      <c r="AE120">
        <f t="shared" si="1"/>
        <v>16711</v>
      </c>
      <c r="AF120">
        <v>0</v>
      </c>
      <c r="AG120">
        <v>16711</v>
      </c>
      <c r="AH120">
        <v>0</v>
      </c>
      <c r="AI120" s="121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16711</v>
      </c>
    </row>
    <row r="121" spans="1:41">
      <c r="A121">
        <v>201903</v>
      </c>
      <c r="B121">
        <v>25</v>
      </c>
      <c r="C121" t="s">
        <v>526</v>
      </c>
      <c r="D121">
        <v>3190419618601</v>
      </c>
      <c r="E121" t="s">
        <v>53</v>
      </c>
      <c r="F121" t="s">
        <v>597</v>
      </c>
      <c r="G121" t="s">
        <v>598</v>
      </c>
      <c r="H121" t="s">
        <v>599</v>
      </c>
      <c r="I121" t="s">
        <v>606</v>
      </c>
      <c r="J121" t="s">
        <v>606</v>
      </c>
      <c r="K121" t="s">
        <v>607</v>
      </c>
      <c r="L121" t="s">
        <v>614</v>
      </c>
      <c r="M121" t="s">
        <v>615</v>
      </c>
      <c r="N121" t="s">
        <v>1226</v>
      </c>
      <c r="P121" t="s">
        <v>603</v>
      </c>
      <c r="Q121" t="s">
        <v>648</v>
      </c>
      <c r="R121" t="s">
        <v>989</v>
      </c>
      <c r="S121">
        <v>20180420</v>
      </c>
      <c r="T121" t="s">
        <v>1005</v>
      </c>
      <c r="X121">
        <v>9</v>
      </c>
      <c r="Y121">
        <v>22000</v>
      </c>
      <c r="AA121" t="s">
        <v>605</v>
      </c>
      <c r="AB121">
        <v>20190226</v>
      </c>
      <c r="AE121">
        <f t="shared" si="1"/>
        <v>17864</v>
      </c>
      <c r="AF121">
        <v>0</v>
      </c>
      <c r="AG121">
        <v>17864</v>
      </c>
      <c r="AH121">
        <v>0</v>
      </c>
      <c r="AI121" s="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17864</v>
      </c>
    </row>
    <row r="122" spans="1:41">
      <c r="A122">
        <v>201903</v>
      </c>
      <c r="B122">
        <v>25</v>
      </c>
      <c r="C122" t="s">
        <v>526</v>
      </c>
      <c r="D122">
        <v>3190419803331</v>
      </c>
      <c r="E122" t="s">
        <v>53</v>
      </c>
      <c r="F122" t="s">
        <v>597</v>
      </c>
      <c r="G122" t="s">
        <v>598</v>
      </c>
      <c r="H122" t="s">
        <v>599</v>
      </c>
      <c r="I122" t="s">
        <v>702</v>
      </c>
      <c r="J122" t="s">
        <v>702</v>
      </c>
      <c r="K122" t="s">
        <v>703</v>
      </c>
      <c r="L122" t="s">
        <v>513</v>
      </c>
      <c r="M122" t="s">
        <v>512</v>
      </c>
      <c r="N122" t="s">
        <v>930</v>
      </c>
      <c r="P122" t="s">
        <v>603</v>
      </c>
      <c r="Q122" t="s">
        <v>648</v>
      </c>
      <c r="R122" t="s">
        <v>979</v>
      </c>
      <c r="S122">
        <v>20180418</v>
      </c>
      <c r="T122" t="s">
        <v>1110</v>
      </c>
      <c r="X122">
        <v>11</v>
      </c>
      <c r="Y122">
        <v>52000</v>
      </c>
      <c r="AA122" t="s">
        <v>605</v>
      </c>
      <c r="AB122">
        <v>20190220</v>
      </c>
      <c r="AE122">
        <f t="shared" si="1"/>
        <v>36764</v>
      </c>
      <c r="AF122">
        <v>0</v>
      </c>
      <c r="AG122">
        <v>36764</v>
      </c>
      <c r="AH122">
        <v>0</v>
      </c>
      <c r="AI122" s="121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36764</v>
      </c>
    </row>
    <row r="123" spans="1:41">
      <c r="A123">
        <v>201903</v>
      </c>
      <c r="B123">
        <v>25</v>
      </c>
      <c r="C123" t="s">
        <v>526</v>
      </c>
      <c r="D123">
        <v>3190419984901</v>
      </c>
      <c r="E123" t="s">
        <v>53</v>
      </c>
      <c r="F123" t="s">
        <v>597</v>
      </c>
      <c r="G123" t="s">
        <v>598</v>
      </c>
      <c r="H123" t="s">
        <v>599</v>
      </c>
      <c r="I123" t="s">
        <v>702</v>
      </c>
      <c r="J123" t="s">
        <v>702</v>
      </c>
      <c r="K123" t="s">
        <v>703</v>
      </c>
      <c r="L123" t="s">
        <v>513</v>
      </c>
      <c r="M123" t="s">
        <v>512</v>
      </c>
      <c r="N123" t="s">
        <v>930</v>
      </c>
      <c r="P123" t="s">
        <v>603</v>
      </c>
      <c r="Q123" t="s">
        <v>648</v>
      </c>
      <c r="R123" t="s">
        <v>989</v>
      </c>
      <c r="S123">
        <v>20180417</v>
      </c>
      <c r="T123" t="s">
        <v>1111</v>
      </c>
      <c r="X123">
        <v>11</v>
      </c>
      <c r="Y123">
        <v>24498</v>
      </c>
      <c r="AA123" t="s">
        <v>605</v>
      </c>
      <c r="AB123">
        <v>20190220</v>
      </c>
      <c r="AE123">
        <f t="shared" si="1"/>
        <v>19892</v>
      </c>
      <c r="AF123">
        <v>0</v>
      </c>
      <c r="AG123">
        <v>19892</v>
      </c>
      <c r="AH123">
        <v>0</v>
      </c>
      <c r="AI123" s="121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19892</v>
      </c>
    </row>
    <row r="124" spans="1:41">
      <c r="A124">
        <v>201903</v>
      </c>
      <c r="B124">
        <v>25</v>
      </c>
      <c r="C124" t="s">
        <v>526</v>
      </c>
      <c r="D124">
        <v>3190420455211</v>
      </c>
      <c r="E124" t="s">
        <v>53</v>
      </c>
      <c r="F124" t="s">
        <v>597</v>
      </c>
      <c r="G124" t="s">
        <v>598</v>
      </c>
      <c r="H124" t="s">
        <v>599</v>
      </c>
      <c r="I124" t="s">
        <v>606</v>
      </c>
      <c r="J124" t="s">
        <v>606</v>
      </c>
      <c r="K124" t="s">
        <v>607</v>
      </c>
      <c r="L124" t="s">
        <v>643</v>
      </c>
      <c r="M124" t="s">
        <v>644</v>
      </c>
      <c r="N124" t="s">
        <v>947</v>
      </c>
      <c r="P124" t="s">
        <v>603</v>
      </c>
      <c r="Q124" t="s">
        <v>568</v>
      </c>
      <c r="R124" t="s">
        <v>983</v>
      </c>
      <c r="S124">
        <v>20180419</v>
      </c>
      <c r="T124" t="s">
        <v>1114</v>
      </c>
      <c r="X124">
        <v>11</v>
      </c>
      <c r="Y124">
        <v>26249</v>
      </c>
      <c r="AA124" t="s">
        <v>605</v>
      </c>
      <c r="AB124">
        <v>20190225</v>
      </c>
      <c r="AE124">
        <f t="shared" si="1"/>
        <v>2021</v>
      </c>
      <c r="AF124">
        <v>0</v>
      </c>
      <c r="AG124">
        <v>2021</v>
      </c>
      <c r="AH124">
        <v>0</v>
      </c>
      <c r="AI124" s="121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2021</v>
      </c>
    </row>
    <row r="125" spans="1:41">
      <c r="A125">
        <v>201903</v>
      </c>
      <c r="B125">
        <v>25</v>
      </c>
      <c r="C125" t="s">
        <v>526</v>
      </c>
      <c r="D125">
        <v>3190420595021</v>
      </c>
      <c r="E125" t="s">
        <v>53</v>
      </c>
      <c r="F125" t="s">
        <v>597</v>
      </c>
      <c r="G125" t="s">
        <v>598</v>
      </c>
      <c r="H125" t="s">
        <v>599</v>
      </c>
      <c r="I125" t="s">
        <v>606</v>
      </c>
      <c r="J125" t="s">
        <v>606</v>
      </c>
      <c r="K125" t="s">
        <v>607</v>
      </c>
      <c r="L125" t="s">
        <v>614</v>
      </c>
      <c r="M125" t="s">
        <v>615</v>
      </c>
      <c r="N125" t="s">
        <v>1226</v>
      </c>
      <c r="P125" t="s">
        <v>603</v>
      </c>
      <c r="Q125" t="s">
        <v>648</v>
      </c>
      <c r="R125" t="s">
        <v>989</v>
      </c>
      <c r="S125">
        <v>20180424</v>
      </c>
      <c r="T125" t="s">
        <v>1115</v>
      </c>
      <c r="X125">
        <v>11</v>
      </c>
      <c r="Y125">
        <v>20000</v>
      </c>
      <c r="AA125" t="s">
        <v>605</v>
      </c>
      <c r="AB125">
        <v>20190207</v>
      </c>
      <c r="AE125">
        <f t="shared" si="1"/>
        <v>16240</v>
      </c>
      <c r="AF125">
        <v>0</v>
      </c>
      <c r="AG125">
        <v>16240</v>
      </c>
      <c r="AH125">
        <v>0</v>
      </c>
      <c r="AI125" s="121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16240</v>
      </c>
    </row>
    <row r="126" spans="1:41">
      <c r="A126">
        <v>201903</v>
      </c>
      <c r="B126">
        <v>25</v>
      </c>
      <c r="C126" t="s">
        <v>526</v>
      </c>
      <c r="D126">
        <v>3190420688901</v>
      </c>
      <c r="E126" t="s">
        <v>53</v>
      </c>
      <c r="F126" t="s">
        <v>597</v>
      </c>
      <c r="G126" t="s">
        <v>598</v>
      </c>
      <c r="H126" t="s">
        <v>599</v>
      </c>
      <c r="I126" t="s">
        <v>674</v>
      </c>
      <c r="L126" t="s">
        <v>705</v>
      </c>
      <c r="M126" t="s">
        <v>706</v>
      </c>
      <c r="N126" t="s">
        <v>966</v>
      </c>
      <c r="P126" t="s">
        <v>603</v>
      </c>
      <c r="Q126" t="s">
        <v>648</v>
      </c>
      <c r="R126" t="s">
        <v>989</v>
      </c>
      <c r="S126">
        <v>20180430</v>
      </c>
      <c r="T126" t="s">
        <v>1240</v>
      </c>
      <c r="X126">
        <v>11</v>
      </c>
      <c r="Y126">
        <v>22540</v>
      </c>
      <c r="AA126" t="s">
        <v>605</v>
      </c>
      <c r="AB126">
        <v>20190215</v>
      </c>
      <c r="AE126">
        <f t="shared" si="1"/>
        <v>18302</v>
      </c>
      <c r="AF126">
        <v>0</v>
      </c>
      <c r="AG126">
        <v>18302</v>
      </c>
      <c r="AH126">
        <v>0</v>
      </c>
      <c r="AI126" s="121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18302</v>
      </c>
    </row>
    <row r="127" spans="1:41">
      <c r="A127">
        <v>201903</v>
      </c>
      <c r="B127">
        <v>25</v>
      </c>
      <c r="C127" t="s">
        <v>526</v>
      </c>
      <c r="D127">
        <v>3190420690101</v>
      </c>
      <c r="E127" t="s">
        <v>53</v>
      </c>
      <c r="F127" t="s">
        <v>597</v>
      </c>
      <c r="G127" t="s">
        <v>598</v>
      </c>
      <c r="H127" t="s">
        <v>599</v>
      </c>
      <c r="I127" t="s">
        <v>674</v>
      </c>
      <c r="L127" t="s">
        <v>705</v>
      </c>
      <c r="M127" t="s">
        <v>706</v>
      </c>
      <c r="N127" t="s">
        <v>966</v>
      </c>
      <c r="P127" t="s">
        <v>603</v>
      </c>
      <c r="Q127" t="s">
        <v>648</v>
      </c>
      <c r="R127" t="s">
        <v>989</v>
      </c>
      <c r="S127">
        <v>20180430</v>
      </c>
      <c r="T127" t="s">
        <v>1241</v>
      </c>
      <c r="X127">
        <v>11</v>
      </c>
      <c r="Y127">
        <v>21000</v>
      </c>
      <c r="AA127" t="s">
        <v>605</v>
      </c>
      <c r="AB127">
        <v>20190215</v>
      </c>
      <c r="AE127">
        <f t="shared" si="1"/>
        <v>17052</v>
      </c>
      <c r="AF127">
        <v>0</v>
      </c>
      <c r="AG127">
        <v>17052</v>
      </c>
      <c r="AH127">
        <v>0</v>
      </c>
      <c r="AI127" s="121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17052</v>
      </c>
    </row>
    <row r="128" spans="1:41">
      <c r="A128">
        <v>201903</v>
      </c>
      <c r="B128">
        <v>25</v>
      </c>
      <c r="C128" t="s">
        <v>526</v>
      </c>
      <c r="D128">
        <v>3190420691591</v>
      </c>
      <c r="E128" t="s">
        <v>53</v>
      </c>
      <c r="F128" t="s">
        <v>597</v>
      </c>
      <c r="G128" t="s">
        <v>598</v>
      </c>
      <c r="H128" t="s">
        <v>599</v>
      </c>
      <c r="I128" t="s">
        <v>674</v>
      </c>
      <c r="L128" t="s">
        <v>705</v>
      </c>
      <c r="M128" t="s">
        <v>706</v>
      </c>
      <c r="N128" t="s">
        <v>966</v>
      </c>
      <c r="P128" t="s">
        <v>603</v>
      </c>
      <c r="Q128" t="s">
        <v>648</v>
      </c>
      <c r="R128" t="s">
        <v>989</v>
      </c>
      <c r="S128">
        <v>20180430</v>
      </c>
      <c r="T128" t="s">
        <v>1243</v>
      </c>
      <c r="X128">
        <v>11</v>
      </c>
      <c r="Y128">
        <v>23000</v>
      </c>
      <c r="AA128" t="s">
        <v>605</v>
      </c>
      <c r="AB128">
        <v>20190215</v>
      </c>
      <c r="AE128">
        <f t="shared" si="1"/>
        <v>18676</v>
      </c>
      <c r="AF128">
        <v>0</v>
      </c>
      <c r="AG128">
        <v>18676</v>
      </c>
      <c r="AH128">
        <v>0</v>
      </c>
      <c r="AI128" s="121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18676</v>
      </c>
    </row>
    <row r="129" spans="1:41">
      <c r="A129">
        <v>201903</v>
      </c>
      <c r="B129">
        <v>25</v>
      </c>
      <c r="C129" t="s">
        <v>526</v>
      </c>
      <c r="D129">
        <v>3190420939031</v>
      </c>
      <c r="E129" t="s">
        <v>53</v>
      </c>
      <c r="F129" t="s">
        <v>597</v>
      </c>
      <c r="G129" t="s">
        <v>598</v>
      </c>
      <c r="H129" t="s">
        <v>599</v>
      </c>
      <c r="I129" t="s">
        <v>606</v>
      </c>
      <c r="J129" t="s">
        <v>606</v>
      </c>
      <c r="K129" t="s">
        <v>607</v>
      </c>
      <c r="L129" t="s">
        <v>611</v>
      </c>
      <c r="M129" t="s">
        <v>612</v>
      </c>
      <c r="N129" t="s">
        <v>1070</v>
      </c>
      <c r="P129" t="s">
        <v>603</v>
      </c>
      <c r="Q129" t="s">
        <v>648</v>
      </c>
      <c r="R129" t="s">
        <v>979</v>
      </c>
      <c r="S129">
        <v>20180424</v>
      </c>
      <c r="T129" t="s">
        <v>874</v>
      </c>
      <c r="X129">
        <v>10</v>
      </c>
      <c r="Y129">
        <v>68000</v>
      </c>
      <c r="AA129" t="s">
        <v>605</v>
      </c>
      <c r="AB129">
        <v>20190211</v>
      </c>
      <c r="AE129">
        <f t="shared" si="1"/>
        <v>96152</v>
      </c>
      <c r="AF129">
        <v>0</v>
      </c>
      <c r="AG129">
        <v>96152</v>
      </c>
      <c r="AH129">
        <v>0</v>
      </c>
      <c r="AI129" s="121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96152</v>
      </c>
    </row>
    <row r="130" spans="1:41">
      <c r="A130">
        <v>201903</v>
      </c>
      <c r="B130">
        <v>25</v>
      </c>
      <c r="C130" t="s">
        <v>526</v>
      </c>
      <c r="D130">
        <v>3190421110731</v>
      </c>
      <c r="E130" t="s">
        <v>53</v>
      </c>
      <c r="F130" t="s">
        <v>597</v>
      </c>
      <c r="G130" t="s">
        <v>598</v>
      </c>
      <c r="H130" t="s">
        <v>599</v>
      </c>
      <c r="I130" t="s">
        <v>606</v>
      </c>
      <c r="J130" t="s">
        <v>606</v>
      </c>
      <c r="K130" t="s">
        <v>607</v>
      </c>
      <c r="L130" t="s">
        <v>614</v>
      </c>
      <c r="M130" t="s">
        <v>615</v>
      </c>
      <c r="N130" t="s">
        <v>1226</v>
      </c>
      <c r="P130" t="s">
        <v>603</v>
      </c>
      <c r="Q130" t="s">
        <v>648</v>
      </c>
      <c r="R130" t="s">
        <v>989</v>
      </c>
      <c r="S130">
        <v>20180426</v>
      </c>
      <c r="T130" t="s">
        <v>1119</v>
      </c>
      <c r="X130">
        <v>11</v>
      </c>
      <c r="Y130">
        <v>22000</v>
      </c>
      <c r="AA130" t="s">
        <v>605</v>
      </c>
      <c r="AB130">
        <v>20190220</v>
      </c>
      <c r="AE130">
        <f t="shared" si="1"/>
        <v>17864</v>
      </c>
      <c r="AF130">
        <v>0</v>
      </c>
      <c r="AG130">
        <v>17864</v>
      </c>
      <c r="AH130">
        <v>0</v>
      </c>
      <c r="AI130" s="121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17864</v>
      </c>
    </row>
    <row r="131" spans="1:41">
      <c r="A131">
        <v>201903</v>
      </c>
      <c r="B131">
        <v>25</v>
      </c>
      <c r="C131" t="s">
        <v>526</v>
      </c>
      <c r="D131">
        <v>3190421111511</v>
      </c>
      <c r="E131" t="s">
        <v>53</v>
      </c>
      <c r="F131" t="s">
        <v>597</v>
      </c>
      <c r="G131" t="s">
        <v>598</v>
      </c>
      <c r="H131" t="s">
        <v>599</v>
      </c>
      <c r="I131" t="s">
        <v>606</v>
      </c>
      <c r="J131" t="s">
        <v>606</v>
      </c>
      <c r="K131" t="s">
        <v>607</v>
      </c>
      <c r="L131" t="s">
        <v>614</v>
      </c>
      <c r="M131" t="s">
        <v>615</v>
      </c>
      <c r="N131" t="s">
        <v>1226</v>
      </c>
      <c r="P131" t="s">
        <v>603</v>
      </c>
      <c r="Q131" t="s">
        <v>648</v>
      </c>
      <c r="R131" t="s">
        <v>989</v>
      </c>
      <c r="S131">
        <v>20180425</v>
      </c>
      <c r="T131" t="s">
        <v>919</v>
      </c>
      <c r="X131">
        <v>11</v>
      </c>
      <c r="Y131">
        <v>18000</v>
      </c>
      <c r="AA131" t="s">
        <v>605</v>
      </c>
      <c r="AB131">
        <v>20190215</v>
      </c>
      <c r="AE131">
        <f t="shared" ref="AE131:AE194" si="2">AO131-AI131</f>
        <v>14616</v>
      </c>
      <c r="AF131">
        <v>0</v>
      </c>
      <c r="AG131">
        <v>14616</v>
      </c>
      <c r="AH131">
        <v>0</v>
      </c>
      <c r="AI131" s="12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14616</v>
      </c>
    </row>
    <row r="132" spans="1:41">
      <c r="A132">
        <v>201903</v>
      </c>
      <c r="B132">
        <v>25</v>
      </c>
      <c r="C132" t="s">
        <v>526</v>
      </c>
      <c r="D132">
        <v>3190421285361</v>
      </c>
      <c r="E132" t="s">
        <v>53</v>
      </c>
      <c r="F132" t="s">
        <v>597</v>
      </c>
      <c r="G132" t="s">
        <v>598</v>
      </c>
      <c r="H132" t="s">
        <v>599</v>
      </c>
      <c r="I132" t="s">
        <v>606</v>
      </c>
      <c r="J132" t="s">
        <v>606</v>
      </c>
      <c r="K132" t="s">
        <v>607</v>
      </c>
      <c r="L132" t="s">
        <v>614</v>
      </c>
      <c r="M132" t="s">
        <v>615</v>
      </c>
      <c r="N132" t="s">
        <v>1226</v>
      </c>
      <c r="P132" t="s">
        <v>603</v>
      </c>
      <c r="Q132" t="s">
        <v>648</v>
      </c>
      <c r="R132" t="s">
        <v>989</v>
      </c>
      <c r="S132">
        <v>20180424</v>
      </c>
      <c r="T132" t="s">
        <v>820</v>
      </c>
      <c r="X132">
        <v>11</v>
      </c>
      <c r="Y132">
        <v>23520</v>
      </c>
      <c r="AA132" t="s">
        <v>605</v>
      </c>
      <c r="AB132">
        <v>20190220</v>
      </c>
      <c r="AE132">
        <f t="shared" si="2"/>
        <v>19098</v>
      </c>
      <c r="AF132">
        <v>0</v>
      </c>
      <c r="AG132">
        <v>19098</v>
      </c>
      <c r="AH132">
        <v>0</v>
      </c>
      <c r="AI132" s="121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19098</v>
      </c>
    </row>
    <row r="133" spans="1:41">
      <c r="A133">
        <v>201903</v>
      </c>
      <c r="B133">
        <v>25</v>
      </c>
      <c r="C133" t="s">
        <v>526</v>
      </c>
      <c r="D133">
        <v>3190421694501</v>
      </c>
      <c r="E133" t="s">
        <v>53</v>
      </c>
      <c r="F133" t="s">
        <v>597</v>
      </c>
      <c r="G133" t="s">
        <v>598</v>
      </c>
      <c r="H133" t="s">
        <v>599</v>
      </c>
      <c r="I133" t="s">
        <v>606</v>
      </c>
      <c r="J133" t="s">
        <v>606</v>
      </c>
      <c r="K133" t="s">
        <v>607</v>
      </c>
      <c r="L133" t="s">
        <v>614</v>
      </c>
      <c r="M133" t="s">
        <v>615</v>
      </c>
      <c r="N133" t="s">
        <v>1226</v>
      </c>
      <c r="P133" t="s">
        <v>603</v>
      </c>
      <c r="Q133" t="s">
        <v>648</v>
      </c>
      <c r="R133" t="s">
        <v>989</v>
      </c>
      <c r="S133">
        <v>20180427</v>
      </c>
      <c r="T133" t="s">
        <v>809</v>
      </c>
      <c r="X133">
        <v>11</v>
      </c>
      <c r="Y133">
        <v>20000</v>
      </c>
      <c r="AA133" t="s">
        <v>605</v>
      </c>
      <c r="AB133">
        <v>20190220</v>
      </c>
      <c r="AE133">
        <f t="shared" si="2"/>
        <v>16240</v>
      </c>
      <c r="AF133">
        <v>0</v>
      </c>
      <c r="AG133">
        <v>16240</v>
      </c>
      <c r="AH133">
        <v>0</v>
      </c>
      <c r="AI133" s="121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16240</v>
      </c>
    </row>
    <row r="134" spans="1:41">
      <c r="A134">
        <v>201903</v>
      </c>
      <c r="B134">
        <v>25</v>
      </c>
      <c r="C134" t="s">
        <v>526</v>
      </c>
      <c r="D134">
        <v>3190020789231</v>
      </c>
      <c r="E134" t="s">
        <v>53</v>
      </c>
      <c r="F134" t="s">
        <v>597</v>
      </c>
      <c r="G134" t="s">
        <v>598</v>
      </c>
      <c r="H134" t="s">
        <v>599</v>
      </c>
      <c r="I134" t="s">
        <v>606</v>
      </c>
      <c r="J134" t="s">
        <v>606</v>
      </c>
      <c r="K134" t="s">
        <v>607</v>
      </c>
      <c r="L134" t="s">
        <v>608</v>
      </c>
      <c r="M134" t="s">
        <v>609</v>
      </c>
      <c r="N134" t="s">
        <v>943</v>
      </c>
      <c r="P134" t="s">
        <v>603</v>
      </c>
      <c r="Q134" t="s">
        <v>648</v>
      </c>
      <c r="R134" t="s">
        <v>929</v>
      </c>
      <c r="S134">
        <v>20151029</v>
      </c>
      <c r="T134" t="s">
        <v>765</v>
      </c>
      <c r="W134">
        <v>0</v>
      </c>
      <c r="X134">
        <v>41</v>
      </c>
      <c r="Y134">
        <v>62700</v>
      </c>
      <c r="AA134" t="s">
        <v>605</v>
      </c>
      <c r="AB134">
        <v>20190220</v>
      </c>
      <c r="AE134">
        <f t="shared" si="2"/>
        <v>0</v>
      </c>
      <c r="AF134">
        <v>0</v>
      </c>
      <c r="AG134">
        <v>0</v>
      </c>
      <c r="AH134">
        <v>0</v>
      </c>
      <c r="AI134" s="121">
        <v>313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313</v>
      </c>
    </row>
    <row r="135" spans="1:41">
      <c r="A135">
        <v>201903</v>
      </c>
      <c r="B135">
        <v>25</v>
      </c>
      <c r="C135" t="s">
        <v>526</v>
      </c>
      <c r="D135">
        <v>3190020894221</v>
      </c>
      <c r="E135" t="s">
        <v>53</v>
      </c>
      <c r="F135" t="s">
        <v>597</v>
      </c>
      <c r="G135" t="s">
        <v>598</v>
      </c>
      <c r="H135" t="s">
        <v>599</v>
      </c>
      <c r="I135" t="s">
        <v>606</v>
      </c>
      <c r="J135" t="s">
        <v>606</v>
      </c>
      <c r="K135" t="s">
        <v>607</v>
      </c>
      <c r="L135" t="s">
        <v>641</v>
      </c>
      <c r="M135" t="s">
        <v>642</v>
      </c>
      <c r="N135" t="s">
        <v>955</v>
      </c>
      <c r="P135" t="s">
        <v>603</v>
      </c>
      <c r="Q135" t="s">
        <v>648</v>
      </c>
      <c r="R135" t="s">
        <v>929</v>
      </c>
      <c r="S135">
        <v>20151020</v>
      </c>
      <c r="T135" t="s">
        <v>768</v>
      </c>
      <c r="W135">
        <v>0</v>
      </c>
      <c r="X135">
        <v>39</v>
      </c>
      <c r="Y135">
        <v>50000</v>
      </c>
      <c r="AA135" t="s">
        <v>605</v>
      </c>
      <c r="AB135">
        <v>20190228</v>
      </c>
      <c r="AE135">
        <f t="shared" si="2"/>
        <v>0</v>
      </c>
      <c r="AF135">
        <v>0</v>
      </c>
      <c r="AG135">
        <v>0</v>
      </c>
      <c r="AH135">
        <v>0</v>
      </c>
      <c r="AI135" s="121">
        <v>250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250</v>
      </c>
    </row>
    <row r="136" spans="1:41">
      <c r="A136">
        <v>201903</v>
      </c>
      <c r="B136">
        <v>25</v>
      </c>
      <c r="C136" t="s">
        <v>526</v>
      </c>
      <c r="D136">
        <v>3190020899081</v>
      </c>
      <c r="E136" t="s">
        <v>53</v>
      </c>
      <c r="F136" t="s">
        <v>597</v>
      </c>
      <c r="G136" t="s">
        <v>598</v>
      </c>
      <c r="H136" t="s">
        <v>599</v>
      </c>
      <c r="I136" t="s">
        <v>606</v>
      </c>
      <c r="J136" t="s">
        <v>606</v>
      </c>
      <c r="K136" t="s">
        <v>607</v>
      </c>
      <c r="L136" t="s">
        <v>784</v>
      </c>
      <c r="M136" t="s">
        <v>746</v>
      </c>
      <c r="N136" t="s">
        <v>1259</v>
      </c>
      <c r="P136" t="s">
        <v>603</v>
      </c>
      <c r="Q136" t="s">
        <v>648</v>
      </c>
      <c r="R136" t="s">
        <v>929</v>
      </c>
      <c r="S136">
        <v>20151030</v>
      </c>
      <c r="T136" t="s">
        <v>1251</v>
      </c>
      <c r="W136">
        <v>0</v>
      </c>
      <c r="X136">
        <v>41</v>
      </c>
      <c r="Y136">
        <v>30000</v>
      </c>
      <c r="AA136" t="s">
        <v>605</v>
      </c>
      <c r="AB136">
        <v>20190220</v>
      </c>
      <c r="AE136">
        <f t="shared" si="2"/>
        <v>0</v>
      </c>
      <c r="AF136">
        <v>0</v>
      </c>
      <c r="AG136">
        <v>0</v>
      </c>
      <c r="AH136">
        <v>0</v>
      </c>
      <c r="AI136" s="121">
        <v>150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150</v>
      </c>
    </row>
    <row r="137" spans="1:41">
      <c r="A137">
        <v>201903</v>
      </c>
      <c r="B137">
        <v>25</v>
      </c>
      <c r="C137" t="s">
        <v>526</v>
      </c>
      <c r="D137">
        <v>3190022818351</v>
      </c>
      <c r="E137" t="s">
        <v>53</v>
      </c>
      <c r="F137" t="s">
        <v>597</v>
      </c>
      <c r="G137" t="s">
        <v>598</v>
      </c>
      <c r="H137" t="s">
        <v>599</v>
      </c>
      <c r="I137" t="s">
        <v>606</v>
      </c>
      <c r="J137" t="s">
        <v>606</v>
      </c>
      <c r="K137" t="s">
        <v>607</v>
      </c>
      <c r="L137" t="s">
        <v>784</v>
      </c>
      <c r="M137" t="s">
        <v>746</v>
      </c>
      <c r="N137" t="s">
        <v>1259</v>
      </c>
      <c r="P137" t="s">
        <v>603</v>
      </c>
      <c r="Q137" t="s">
        <v>648</v>
      </c>
      <c r="R137" t="s">
        <v>929</v>
      </c>
      <c r="S137">
        <v>20151110</v>
      </c>
      <c r="T137" t="s">
        <v>910</v>
      </c>
      <c r="W137">
        <v>0</v>
      </c>
      <c r="X137">
        <v>40</v>
      </c>
      <c r="Y137">
        <v>100000</v>
      </c>
      <c r="AA137" t="s">
        <v>605</v>
      </c>
      <c r="AB137">
        <v>20190220</v>
      </c>
      <c r="AE137">
        <f t="shared" si="2"/>
        <v>0</v>
      </c>
      <c r="AF137">
        <v>0</v>
      </c>
      <c r="AG137">
        <v>0</v>
      </c>
      <c r="AH137">
        <v>0</v>
      </c>
      <c r="AI137" s="121">
        <v>500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500</v>
      </c>
    </row>
    <row r="138" spans="1:41">
      <c r="A138">
        <v>201903</v>
      </c>
      <c r="B138">
        <v>25</v>
      </c>
      <c r="C138" t="s">
        <v>526</v>
      </c>
      <c r="D138">
        <v>3190023139161</v>
      </c>
      <c r="E138" t="s">
        <v>53</v>
      </c>
      <c r="F138" t="s">
        <v>597</v>
      </c>
      <c r="G138" t="s">
        <v>598</v>
      </c>
      <c r="H138" t="s">
        <v>599</v>
      </c>
      <c r="I138" t="s">
        <v>606</v>
      </c>
      <c r="J138" t="s">
        <v>606</v>
      </c>
      <c r="K138" t="s">
        <v>607</v>
      </c>
      <c r="L138" t="s">
        <v>784</v>
      </c>
      <c r="M138" t="s">
        <v>746</v>
      </c>
      <c r="N138" t="s">
        <v>1259</v>
      </c>
      <c r="P138" t="s">
        <v>603</v>
      </c>
      <c r="Q138" t="s">
        <v>648</v>
      </c>
      <c r="R138" t="s">
        <v>929</v>
      </c>
      <c r="S138">
        <v>20151116</v>
      </c>
      <c r="T138" t="s">
        <v>910</v>
      </c>
      <c r="W138">
        <v>0</v>
      </c>
      <c r="X138">
        <v>40</v>
      </c>
      <c r="Y138">
        <v>120000</v>
      </c>
      <c r="AA138" t="s">
        <v>605</v>
      </c>
      <c r="AB138">
        <v>20190220</v>
      </c>
      <c r="AE138">
        <f t="shared" si="2"/>
        <v>0</v>
      </c>
      <c r="AF138">
        <v>0</v>
      </c>
      <c r="AG138">
        <v>0</v>
      </c>
      <c r="AH138">
        <v>0</v>
      </c>
      <c r="AI138" s="121">
        <v>600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600</v>
      </c>
    </row>
    <row r="139" spans="1:41">
      <c r="A139">
        <v>201903</v>
      </c>
      <c r="B139">
        <v>25</v>
      </c>
      <c r="C139" t="s">
        <v>526</v>
      </c>
      <c r="D139">
        <v>3190023201711</v>
      </c>
      <c r="E139" t="s">
        <v>53</v>
      </c>
      <c r="F139" t="s">
        <v>597</v>
      </c>
      <c r="G139" t="s">
        <v>598</v>
      </c>
      <c r="H139" t="s">
        <v>599</v>
      </c>
      <c r="I139" t="s">
        <v>606</v>
      </c>
      <c r="J139" t="s">
        <v>606</v>
      </c>
      <c r="K139" t="s">
        <v>607</v>
      </c>
      <c r="L139" t="s">
        <v>744</v>
      </c>
      <c r="M139" t="s">
        <v>745</v>
      </c>
      <c r="N139" t="s">
        <v>1258</v>
      </c>
      <c r="P139" t="s">
        <v>603</v>
      </c>
      <c r="Q139" t="s">
        <v>648</v>
      </c>
      <c r="R139" t="s">
        <v>929</v>
      </c>
      <c r="S139">
        <v>20151117</v>
      </c>
      <c r="T139" t="s">
        <v>846</v>
      </c>
      <c r="W139">
        <v>0</v>
      </c>
      <c r="X139">
        <v>40</v>
      </c>
      <c r="Y139">
        <v>41000</v>
      </c>
      <c r="AA139" t="s">
        <v>605</v>
      </c>
      <c r="AB139">
        <v>20190225</v>
      </c>
      <c r="AE139">
        <f t="shared" si="2"/>
        <v>0</v>
      </c>
      <c r="AF139">
        <v>0</v>
      </c>
      <c r="AG139">
        <v>0</v>
      </c>
      <c r="AH139">
        <v>0</v>
      </c>
      <c r="AI139" s="121">
        <v>205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205</v>
      </c>
    </row>
    <row r="140" spans="1:41">
      <c r="A140">
        <v>201903</v>
      </c>
      <c r="B140">
        <v>25</v>
      </c>
      <c r="C140" t="s">
        <v>526</v>
      </c>
      <c r="D140">
        <v>3190023278681</v>
      </c>
      <c r="E140" t="s">
        <v>53</v>
      </c>
      <c r="F140" t="s">
        <v>597</v>
      </c>
      <c r="G140" t="s">
        <v>598</v>
      </c>
      <c r="H140" t="s">
        <v>599</v>
      </c>
      <c r="I140" t="s">
        <v>702</v>
      </c>
      <c r="J140" t="s">
        <v>702</v>
      </c>
      <c r="K140" t="s">
        <v>703</v>
      </c>
      <c r="L140" t="s">
        <v>513</v>
      </c>
      <c r="M140" t="s">
        <v>512</v>
      </c>
      <c r="N140" t="s">
        <v>930</v>
      </c>
      <c r="P140" t="s">
        <v>603</v>
      </c>
      <c r="Q140" t="s">
        <v>648</v>
      </c>
      <c r="R140" t="s">
        <v>929</v>
      </c>
      <c r="S140">
        <v>20151116</v>
      </c>
      <c r="T140" t="s">
        <v>931</v>
      </c>
      <c r="W140">
        <v>0</v>
      </c>
      <c r="X140">
        <v>40</v>
      </c>
      <c r="Y140">
        <v>59000</v>
      </c>
      <c r="AA140" t="s">
        <v>605</v>
      </c>
      <c r="AB140">
        <v>20190220</v>
      </c>
      <c r="AE140">
        <f t="shared" si="2"/>
        <v>0</v>
      </c>
      <c r="AF140">
        <v>0</v>
      </c>
      <c r="AG140">
        <v>0</v>
      </c>
      <c r="AH140">
        <v>0</v>
      </c>
      <c r="AI140" s="121">
        <v>295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295</v>
      </c>
    </row>
    <row r="141" spans="1:41">
      <c r="A141">
        <v>201903</v>
      </c>
      <c r="B141">
        <v>25</v>
      </c>
      <c r="C141" t="s">
        <v>526</v>
      </c>
      <c r="D141">
        <v>3190023378641</v>
      </c>
      <c r="E141" t="s">
        <v>53</v>
      </c>
      <c r="F141" t="s">
        <v>597</v>
      </c>
      <c r="G141" t="s">
        <v>598</v>
      </c>
      <c r="H141" t="s">
        <v>599</v>
      </c>
      <c r="I141" t="s">
        <v>649</v>
      </c>
      <c r="J141" t="s">
        <v>649</v>
      </c>
      <c r="K141" t="s">
        <v>650</v>
      </c>
      <c r="L141" t="s">
        <v>657</v>
      </c>
      <c r="M141" t="s">
        <v>658</v>
      </c>
      <c r="N141" t="s">
        <v>932</v>
      </c>
      <c r="P141" t="s">
        <v>603</v>
      </c>
      <c r="Q141" t="s">
        <v>648</v>
      </c>
      <c r="R141" t="s">
        <v>929</v>
      </c>
      <c r="S141">
        <v>20151125</v>
      </c>
      <c r="T141" t="s">
        <v>867</v>
      </c>
      <c r="W141">
        <v>0</v>
      </c>
      <c r="X141">
        <v>40</v>
      </c>
      <c r="Y141">
        <v>30000</v>
      </c>
      <c r="AA141" t="s">
        <v>605</v>
      </c>
      <c r="AB141">
        <v>20190228</v>
      </c>
      <c r="AE141">
        <f t="shared" si="2"/>
        <v>0</v>
      </c>
      <c r="AF141">
        <v>0</v>
      </c>
      <c r="AG141">
        <v>0</v>
      </c>
      <c r="AH141">
        <v>0</v>
      </c>
      <c r="AI141" s="121">
        <v>150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150</v>
      </c>
    </row>
    <row r="142" spans="1:41">
      <c r="A142">
        <v>201903</v>
      </c>
      <c r="B142">
        <v>25</v>
      </c>
      <c r="C142" t="s">
        <v>526</v>
      </c>
      <c r="D142">
        <v>3190024566911</v>
      </c>
      <c r="E142" t="s">
        <v>53</v>
      </c>
      <c r="F142" t="s">
        <v>597</v>
      </c>
      <c r="G142" t="s">
        <v>598</v>
      </c>
      <c r="H142" t="s">
        <v>599</v>
      </c>
      <c r="I142" t="s">
        <v>702</v>
      </c>
      <c r="J142" t="s">
        <v>702</v>
      </c>
      <c r="K142" t="s">
        <v>703</v>
      </c>
      <c r="L142" t="s">
        <v>513</v>
      </c>
      <c r="M142" t="s">
        <v>512</v>
      </c>
      <c r="N142" t="s">
        <v>930</v>
      </c>
      <c r="P142" t="s">
        <v>603</v>
      </c>
      <c r="Q142" t="s">
        <v>648</v>
      </c>
      <c r="R142" t="s">
        <v>929</v>
      </c>
      <c r="S142">
        <v>20151127</v>
      </c>
      <c r="T142" t="s">
        <v>937</v>
      </c>
      <c r="W142">
        <v>0</v>
      </c>
      <c r="X142">
        <v>39</v>
      </c>
      <c r="Y142">
        <v>50000</v>
      </c>
      <c r="AA142" t="s">
        <v>605</v>
      </c>
      <c r="AB142">
        <v>20190220</v>
      </c>
      <c r="AE142">
        <f t="shared" si="2"/>
        <v>0</v>
      </c>
      <c r="AF142">
        <v>0</v>
      </c>
      <c r="AG142">
        <v>0</v>
      </c>
      <c r="AH142">
        <v>0</v>
      </c>
      <c r="AI142" s="121">
        <v>250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250</v>
      </c>
    </row>
    <row r="143" spans="1:41">
      <c r="A143">
        <v>201903</v>
      </c>
      <c r="B143">
        <v>25</v>
      </c>
      <c r="C143" t="s">
        <v>526</v>
      </c>
      <c r="D143">
        <v>3190024798371</v>
      </c>
      <c r="E143" t="s">
        <v>53</v>
      </c>
      <c r="F143" t="s">
        <v>597</v>
      </c>
      <c r="G143" t="s">
        <v>598</v>
      </c>
      <c r="H143" t="s">
        <v>599</v>
      </c>
      <c r="I143" t="s">
        <v>606</v>
      </c>
      <c r="J143" t="s">
        <v>606</v>
      </c>
      <c r="K143" t="s">
        <v>607</v>
      </c>
      <c r="L143" t="s">
        <v>625</v>
      </c>
      <c r="M143" t="s">
        <v>626</v>
      </c>
      <c r="N143" t="s">
        <v>941</v>
      </c>
      <c r="P143" t="s">
        <v>603</v>
      </c>
      <c r="Q143" t="s">
        <v>648</v>
      </c>
      <c r="R143" t="s">
        <v>929</v>
      </c>
      <c r="S143">
        <v>20151204</v>
      </c>
      <c r="T143" t="s">
        <v>913</v>
      </c>
      <c r="W143">
        <v>0</v>
      </c>
      <c r="X143">
        <v>39</v>
      </c>
      <c r="Y143">
        <v>120000</v>
      </c>
      <c r="AA143" t="s">
        <v>605</v>
      </c>
      <c r="AB143">
        <v>20190225</v>
      </c>
      <c r="AE143">
        <f t="shared" si="2"/>
        <v>0</v>
      </c>
      <c r="AF143">
        <v>0</v>
      </c>
      <c r="AG143">
        <v>0</v>
      </c>
      <c r="AH143">
        <v>0</v>
      </c>
      <c r="AI143" s="121">
        <v>600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600</v>
      </c>
    </row>
    <row r="144" spans="1:41">
      <c r="A144">
        <v>201903</v>
      </c>
      <c r="B144">
        <v>25</v>
      </c>
      <c r="C144" t="s">
        <v>526</v>
      </c>
      <c r="D144">
        <v>3190024966481</v>
      </c>
      <c r="E144" t="s">
        <v>53</v>
      </c>
      <c r="F144" t="s">
        <v>597</v>
      </c>
      <c r="G144" t="s">
        <v>598</v>
      </c>
      <c r="H144" t="s">
        <v>599</v>
      </c>
      <c r="I144" t="s">
        <v>606</v>
      </c>
      <c r="J144" t="s">
        <v>606</v>
      </c>
      <c r="K144" t="s">
        <v>607</v>
      </c>
      <c r="L144" t="s">
        <v>625</v>
      </c>
      <c r="M144" t="s">
        <v>626</v>
      </c>
      <c r="N144" t="s">
        <v>941</v>
      </c>
      <c r="P144" t="s">
        <v>603</v>
      </c>
      <c r="Q144" t="s">
        <v>648</v>
      </c>
      <c r="R144" t="s">
        <v>929</v>
      </c>
      <c r="S144">
        <v>20151204</v>
      </c>
      <c r="T144" t="s">
        <v>863</v>
      </c>
      <c r="W144">
        <v>0</v>
      </c>
      <c r="X144">
        <v>39</v>
      </c>
      <c r="Y144">
        <v>80000</v>
      </c>
      <c r="AA144" t="s">
        <v>605</v>
      </c>
      <c r="AB144">
        <v>20190215</v>
      </c>
      <c r="AE144">
        <f t="shared" si="2"/>
        <v>0</v>
      </c>
      <c r="AF144">
        <v>0</v>
      </c>
      <c r="AG144">
        <v>0</v>
      </c>
      <c r="AH144">
        <v>0</v>
      </c>
      <c r="AI144" s="121">
        <v>400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400</v>
      </c>
    </row>
    <row r="145" spans="1:41">
      <c r="A145">
        <v>201903</v>
      </c>
      <c r="B145">
        <v>25</v>
      </c>
      <c r="C145" t="s">
        <v>526</v>
      </c>
      <c r="D145">
        <v>3190025622291</v>
      </c>
      <c r="E145" t="s">
        <v>53</v>
      </c>
      <c r="F145" t="s">
        <v>597</v>
      </c>
      <c r="G145" t="s">
        <v>598</v>
      </c>
      <c r="H145" t="s">
        <v>599</v>
      </c>
      <c r="I145" t="s">
        <v>702</v>
      </c>
      <c r="J145" t="s">
        <v>702</v>
      </c>
      <c r="K145" t="s">
        <v>703</v>
      </c>
      <c r="L145" t="s">
        <v>513</v>
      </c>
      <c r="M145" t="s">
        <v>512</v>
      </c>
      <c r="N145" t="s">
        <v>930</v>
      </c>
      <c r="P145" t="s">
        <v>603</v>
      </c>
      <c r="Q145" t="s">
        <v>648</v>
      </c>
      <c r="R145" t="s">
        <v>929</v>
      </c>
      <c r="S145">
        <v>20151214</v>
      </c>
      <c r="T145" t="s">
        <v>944</v>
      </c>
      <c r="W145">
        <v>0</v>
      </c>
      <c r="X145">
        <v>39</v>
      </c>
      <c r="Y145">
        <v>133000</v>
      </c>
      <c r="AA145" t="s">
        <v>605</v>
      </c>
      <c r="AB145">
        <v>20190220</v>
      </c>
      <c r="AE145">
        <f t="shared" si="2"/>
        <v>0</v>
      </c>
      <c r="AF145">
        <v>0</v>
      </c>
      <c r="AG145">
        <v>0</v>
      </c>
      <c r="AH145">
        <v>0</v>
      </c>
      <c r="AI145" s="121">
        <v>665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665</v>
      </c>
    </row>
    <row r="146" spans="1:41">
      <c r="A146">
        <v>201903</v>
      </c>
      <c r="B146">
        <v>25</v>
      </c>
      <c r="C146" t="s">
        <v>526</v>
      </c>
      <c r="D146">
        <v>3190026071171</v>
      </c>
      <c r="E146" t="s">
        <v>53</v>
      </c>
      <c r="F146" t="s">
        <v>597</v>
      </c>
      <c r="G146" t="s">
        <v>598</v>
      </c>
      <c r="H146" t="s">
        <v>599</v>
      </c>
      <c r="I146" t="s">
        <v>606</v>
      </c>
      <c r="J146" t="s">
        <v>606</v>
      </c>
      <c r="K146" t="s">
        <v>607</v>
      </c>
      <c r="L146" t="s">
        <v>784</v>
      </c>
      <c r="M146" t="s">
        <v>746</v>
      </c>
      <c r="N146" t="s">
        <v>1259</v>
      </c>
      <c r="P146" t="s">
        <v>603</v>
      </c>
      <c r="Q146" t="s">
        <v>648</v>
      </c>
      <c r="R146" t="s">
        <v>929</v>
      </c>
      <c r="S146">
        <v>20151218</v>
      </c>
      <c r="T146" t="s">
        <v>873</v>
      </c>
      <c r="W146">
        <v>0</v>
      </c>
      <c r="X146">
        <v>39</v>
      </c>
      <c r="Y146">
        <v>50000</v>
      </c>
      <c r="AA146" t="s">
        <v>605</v>
      </c>
      <c r="AB146">
        <v>20190220</v>
      </c>
      <c r="AE146">
        <f t="shared" si="2"/>
        <v>0</v>
      </c>
      <c r="AF146">
        <v>0</v>
      </c>
      <c r="AG146">
        <v>0</v>
      </c>
      <c r="AH146">
        <v>0</v>
      </c>
      <c r="AI146" s="121">
        <v>250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250</v>
      </c>
    </row>
    <row r="147" spans="1:41">
      <c r="A147">
        <v>201903</v>
      </c>
      <c r="B147">
        <v>25</v>
      </c>
      <c r="C147" t="s">
        <v>526</v>
      </c>
      <c r="D147">
        <v>3190026117041</v>
      </c>
      <c r="E147" t="s">
        <v>53</v>
      </c>
      <c r="F147" t="s">
        <v>597</v>
      </c>
      <c r="G147" t="s">
        <v>598</v>
      </c>
      <c r="H147" t="s">
        <v>599</v>
      </c>
      <c r="I147" t="s">
        <v>606</v>
      </c>
      <c r="J147" t="s">
        <v>606</v>
      </c>
      <c r="K147" t="s">
        <v>607</v>
      </c>
      <c r="L147" t="s">
        <v>784</v>
      </c>
      <c r="M147" t="s">
        <v>746</v>
      </c>
      <c r="N147" t="s">
        <v>1259</v>
      </c>
      <c r="P147" t="s">
        <v>603</v>
      </c>
      <c r="Q147" t="s">
        <v>648</v>
      </c>
      <c r="R147" t="s">
        <v>945</v>
      </c>
      <c r="S147">
        <v>20151217</v>
      </c>
      <c r="T147" t="s">
        <v>946</v>
      </c>
      <c r="W147">
        <v>0</v>
      </c>
      <c r="X147">
        <v>39</v>
      </c>
      <c r="Y147">
        <v>40000</v>
      </c>
      <c r="AA147" t="s">
        <v>605</v>
      </c>
      <c r="AB147">
        <v>20190220</v>
      </c>
      <c r="AE147">
        <f t="shared" si="2"/>
        <v>0</v>
      </c>
      <c r="AF147">
        <v>0</v>
      </c>
      <c r="AG147">
        <v>0</v>
      </c>
      <c r="AH147">
        <v>0</v>
      </c>
      <c r="AI147" s="121">
        <v>200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200</v>
      </c>
    </row>
    <row r="148" spans="1:41">
      <c r="A148">
        <v>201903</v>
      </c>
      <c r="B148">
        <v>25</v>
      </c>
      <c r="C148" t="s">
        <v>526</v>
      </c>
      <c r="D148">
        <v>3190026118571</v>
      </c>
      <c r="E148" t="s">
        <v>53</v>
      </c>
      <c r="F148" t="s">
        <v>597</v>
      </c>
      <c r="G148" t="s">
        <v>598</v>
      </c>
      <c r="H148" t="s">
        <v>599</v>
      </c>
      <c r="I148" t="s">
        <v>606</v>
      </c>
      <c r="J148" t="s">
        <v>606</v>
      </c>
      <c r="K148" t="s">
        <v>607</v>
      </c>
      <c r="L148" t="s">
        <v>784</v>
      </c>
      <c r="M148" t="s">
        <v>746</v>
      </c>
      <c r="N148" t="s">
        <v>1259</v>
      </c>
      <c r="P148" t="s">
        <v>603</v>
      </c>
      <c r="Q148" t="s">
        <v>648</v>
      </c>
      <c r="R148" t="s">
        <v>929</v>
      </c>
      <c r="S148">
        <v>20151217</v>
      </c>
      <c r="T148" t="s">
        <v>946</v>
      </c>
      <c r="W148">
        <v>0</v>
      </c>
      <c r="X148">
        <v>39</v>
      </c>
      <c r="Y148">
        <v>30000</v>
      </c>
      <c r="AA148" t="s">
        <v>605</v>
      </c>
      <c r="AB148">
        <v>20190220</v>
      </c>
      <c r="AE148">
        <f t="shared" si="2"/>
        <v>0</v>
      </c>
      <c r="AF148">
        <v>0</v>
      </c>
      <c r="AG148">
        <v>0</v>
      </c>
      <c r="AH148">
        <v>0</v>
      </c>
      <c r="AI148" s="121">
        <v>150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150</v>
      </c>
    </row>
    <row r="149" spans="1:41">
      <c r="A149">
        <v>201903</v>
      </c>
      <c r="B149">
        <v>25</v>
      </c>
      <c r="C149" t="s">
        <v>526</v>
      </c>
      <c r="D149">
        <v>3190026346571</v>
      </c>
      <c r="E149" t="s">
        <v>53</v>
      </c>
      <c r="F149" t="s">
        <v>597</v>
      </c>
      <c r="G149" t="s">
        <v>598</v>
      </c>
      <c r="H149" t="s">
        <v>599</v>
      </c>
      <c r="I149" t="s">
        <v>606</v>
      </c>
      <c r="J149" t="s">
        <v>606</v>
      </c>
      <c r="K149" t="s">
        <v>607</v>
      </c>
      <c r="L149" t="s">
        <v>749</v>
      </c>
      <c r="M149" t="s">
        <v>750</v>
      </c>
      <c r="N149" t="s">
        <v>1177</v>
      </c>
      <c r="P149" t="s">
        <v>603</v>
      </c>
      <c r="Q149" t="s">
        <v>648</v>
      </c>
      <c r="R149" t="s">
        <v>945</v>
      </c>
      <c r="S149">
        <v>20151218</v>
      </c>
      <c r="T149" t="s">
        <v>968</v>
      </c>
      <c r="W149">
        <v>0</v>
      </c>
      <c r="X149">
        <v>39</v>
      </c>
      <c r="Y149">
        <v>66820</v>
      </c>
      <c r="AA149" t="s">
        <v>605</v>
      </c>
      <c r="AB149">
        <v>20190215</v>
      </c>
      <c r="AE149">
        <f t="shared" si="2"/>
        <v>0</v>
      </c>
      <c r="AF149">
        <v>0</v>
      </c>
      <c r="AG149">
        <v>0</v>
      </c>
      <c r="AH149">
        <v>0</v>
      </c>
      <c r="AI149" s="121">
        <v>334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334</v>
      </c>
    </row>
    <row r="150" spans="1:41">
      <c r="A150">
        <v>201903</v>
      </c>
      <c r="B150">
        <v>25</v>
      </c>
      <c r="C150" t="s">
        <v>526</v>
      </c>
      <c r="D150">
        <v>3190026347651</v>
      </c>
      <c r="E150" t="s">
        <v>53</v>
      </c>
      <c r="F150" t="s">
        <v>597</v>
      </c>
      <c r="G150" t="s">
        <v>598</v>
      </c>
      <c r="H150" t="s">
        <v>599</v>
      </c>
      <c r="I150" t="s">
        <v>661</v>
      </c>
      <c r="L150" t="s">
        <v>669</v>
      </c>
      <c r="M150" t="s">
        <v>670</v>
      </c>
      <c r="N150" t="s">
        <v>949</v>
      </c>
      <c r="P150" t="s">
        <v>603</v>
      </c>
      <c r="Q150" t="s">
        <v>648</v>
      </c>
      <c r="R150" t="s">
        <v>945</v>
      </c>
      <c r="S150">
        <v>20151218</v>
      </c>
      <c r="T150" t="s">
        <v>950</v>
      </c>
      <c r="X150">
        <v>39</v>
      </c>
      <c r="Y150">
        <v>18000</v>
      </c>
      <c r="AA150" t="s">
        <v>605</v>
      </c>
      <c r="AB150">
        <v>20190225</v>
      </c>
      <c r="AE150">
        <f t="shared" si="2"/>
        <v>0</v>
      </c>
      <c r="AF150">
        <v>0</v>
      </c>
      <c r="AG150">
        <v>0</v>
      </c>
      <c r="AH150">
        <v>0</v>
      </c>
      <c r="AI150" s="121">
        <v>90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90</v>
      </c>
    </row>
    <row r="151" spans="1:41">
      <c r="A151">
        <v>201903</v>
      </c>
      <c r="B151">
        <v>25</v>
      </c>
      <c r="C151" t="s">
        <v>526</v>
      </c>
      <c r="D151">
        <v>3190026508431</v>
      </c>
      <c r="E151" t="s">
        <v>53</v>
      </c>
      <c r="F151" t="s">
        <v>597</v>
      </c>
      <c r="G151" t="s">
        <v>598</v>
      </c>
      <c r="H151" t="s">
        <v>599</v>
      </c>
      <c r="I151" t="s">
        <v>702</v>
      </c>
      <c r="J151" t="s">
        <v>702</v>
      </c>
      <c r="K151" t="s">
        <v>703</v>
      </c>
      <c r="L151" t="s">
        <v>513</v>
      </c>
      <c r="M151" t="s">
        <v>512</v>
      </c>
      <c r="N151" t="s">
        <v>930</v>
      </c>
      <c r="P151" t="s">
        <v>603</v>
      </c>
      <c r="Q151" t="s">
        <v>648</v>
      </c>
      <c r="R151" t="s">
        <v>929</v>
      </c>
      <c r="S151">
        <v>20151228</v>
      </c>
      <c r="T151" t="s">
        <v>857</v>
      </c>
      <c r="W151">
        <v>0</v>
      </c>
      <c r="X151">
        <v>39</v>
      </c>
      <c r="Y151">
        <v>32415</v>
      </c>
      <c r="AA151" t="s">
        <v>605</v>
      </c>
      <c r="AB151">
        <v>20190207</v>
      </c>
      <c r="AE151">
        <f t="shared" si="2"/>
        <v>0</v>
      </c>
      <c r="AF151">
        <v>0</v>
      </c>
      <c r="AG151">
        <v>0</v>
      </c>
      <c r="AH151">
        <v>0</v>
      </c>
      <c r="AI151" s="121">
        <v>162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162</v>
      </c>
    </row>
    <row r="152" spans="1:41">
      <c r="A152">
        <v>201903</v>
      </c>
      <c r="B152">
        <v>25</v>
      </c>
      <c r="C152" t="s">
        <v>526</v>
      </c>
      <c r="D152">
        <v>3190026606371</v>
      </c>
      <c r="E152" t="s">
        <v>53</v>
      </c>
      <c r="F152" t="s">
        <v>597</v>
      </c>
      <c r="G152" t="s">
        <v>598</v>
      </c>
      <c r="H152" t="s">
        <v>599</v>
      </c>
      <c r="I152" t="s">
        <v>606</v>
      </c>
      <c r="J152" t="s">
        <v>606</v>
      </c>
      <c r="K152" t="s">
        <v>607</v>
      </c>
      <c r="L152" t="s">
        <v>769</v>
      </c>
      <c r="M152" t="s">
        <v>738</v>
      </c>
      <c r="N152" t="s">
        <v>941</v>
      </c>
      <c r="P152" t="s">
        <v>603</v>
      </c>
      <c r="Q152" t="s">
        <v>648</v>
      </c>
      <c r="R152" t="s">
        <v>929</v>
      </c>
      <c r="S152">
        <v>20151230</v>
      </c>
      <c r="T152" t="s">
        <v>863</v>
      </c>
      <c r="W152">
        <v>0</v>
      </c>
      <c r="X152">
        <v>39</v>
      </c>
      <c r="Y152">
        <v>31000</v>
      </c>
      <c r="AA152" t="s">
        <v>605</v>
      </c>
      <c r="AB152">
        <v>20190225</v>
      </c>
      <c r="AE152">
        <f t="shared" si="2"/>
        <v>0</v>
      </c>
      <c r="AF152">
        <v>0</v>
      </c>
      <c r="AG152">
        <v>0</v>
      </c>
      <c r="AH152">
        <v>0</v>
      </c>
      <c r="AI152" s="121">
        <v>155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155</v>
      </c>
    </row>
    <row r="153" spans="1:41">
      <c r="A153">
        <v>201903</v>
      </c>
      <c r="B153">
        <v>25</v>
      </c>
      <c r="C153" t="s">
        <v>526</v>
      </c>
      <c r="D153">
        <v>3190027314311</v>
      </c>
      <c r="E153" t="s">
        <v>53</v>
      </c>
      <c r="F153" t="s">
        <v>597</v>
      </c>
      <c r="G153" t="s">
        <v>598</v>
      </c>
      <c r="H153" t="s">
        <v>599</v>
      </c>
      <c r="I153" t="s">
        <v>606</v>
      </c>
      <c r="J153" t="s">
        <v>606</v>
      </c>
      <c r="K153" t="s">
        <v>607</v>
      </c>
      <c r="L153" t="s">
        <v>784</v>
      </c>
      <c r="M153" t="s">
        <v>746</v>
      </c>
      <c r="N153" t="s">
        <v>1259</v>
      </c>
      <c r="P153" t="s">
        <v>603</v>
      </c>
      <c r="Q153" t="s">
        <v>648</v>
      </c>
      <c r="R153" t="s">
        <v>929</v>
      </c>
      <c r="S153">
        <v>20151230</v>
      </c>
      <c r="T153" t="s">
        <v>958</v>
      </c>
      <c r="W153">
        <v>0</v>
      </c>
      <c r="X153">
        <v>39</v>
      </c>
      <c r="Y153">
        <v>135100</v>
      </c>
      <c r="AA153" t="s">
        <v>605</v>
      </c>
      <c r="AB153">
        <v>20190226</v>
      </c>
      <c r="AE153">
        <f t="shared" si="2"/>
        <v>0</v>
      </c>
      <c r="AF153">
        <v>0</v>
      </c>
      <c r="AG153">
        <v>0</v>
      </c>
      <c r="AH153">
        <v>0</v>
      </c>
      <c r="AI153" s="121">
        <v>675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675</v>
      </c>
    </row>
    <row r="154" spans="1:41">
      <c r="A154">
        <v>201903</v>
      </c>
      <c r="B154">
        <v>25</v>
      </c>
      <c r="C154" t="s">
        <v>526</v>
      </c>
      <c r="D154">
        <v>3190027432431</v>
      </c>
      <c r="E154" t="s">
        <v>53</v>
      </c>
      <c r="F154" t="s">
        <v>597</v>
      </c>
      <c r="G154" t="s">
        <v>598</v>
      </c>
      <c r="H154" t="s">
        <v>599</v>
      </c>
      <c r="I154" t="s">
        <v>606</v>
      </c>
      <c r="J154" t="s">
        <v>606</v>
      </c>
      <c r="K154" t="s">
        <v>607</v>
      </c>
      <c r="L154" t="s">
        <v>625</v>
      </c>
      <c r="M154" t="s">
        <v>626</v>
      </c>
      <c r="N154" t="s">
        <v>941</v>
      </c>
      <c r="P154" t="s">
        <v>603</v>
      </c>
      <c r="Q154" t="s">
        <v>648</v>
      </c>
      <c r="R154" t="s">
        <v>945</v>
      </c>
      <c r="S154">
        <v>20151230</v>
      </c>
      <c r="T154" t="s">
        <v>863</v>
      </c>
      <c r="W154">
        <v>0</v>
      </c>
      <c r="X154">
        <v>39</v>
      </c>
      <c r="Y154">
        <v>56000</v>
      </c>
      <c r="AA154" t="s">
        <v>605</v>
      </c>
      <c r="AB154">
        <v>20190215</v>
      </c>
      <c r="AE154">
        <f t="shared" si="2"/>
        <v>0</v>
      </c>
      <c r="AF154">
        <v>0</v>
      </c>
      <c r="AG154">
        <v>0</v>
      </c>
      <c r="AH154">
        <v>0</v>
      </c>
      <c r="AI154" s="121">
        <v>280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280</v>
      </c>
    </row>
    <row r="155" spans="1:41">
      <c r="A155">
        <v>201903</v>
      </c>
      <c r="B155">
        <v>25</v>
      </c>
      <c r="C155" t="s">
        <v>526</v>
      </c>
      <c r="D155">
        <v>3190027626491</v>
      </c>
      <c r="E155" t="s">
        <v>53</v>
      </c>
      <c r="F155" t="s">
        <v>597</v>
      </c>
      <c r="G155" t="s">
        <v>598</v>
      </c>
      <c r="H155" t="s">
        <v>599</v>
      </c>
      <c r="I155" t="s">
        <v>606</v>
      </c>
      <c r="J155" t="s">
        <v>606</v>
      </c>
      <c r="K155" t="s">
        <v>607</v>
      </c>
      <c r="L155" t="s">
        <v>771</v>
      </c>
      <c r="M155" t="s">
        <v>772</v>
      </c>
      <c r="N155" t="s">
        <v>1256</v>
      </c>
      <c r="P155" t="s">
        <v>603</v>
      </c>
      <c r="Q155" t="s">
        <v>648</v>
      </c>
      <c r="R155" t="s">
        <v>945</v>
      </c>
      <c r="S155">
        <v>20151231</v>
      </c>
      <c r="T155" t="s">
        <v>1257</v>
      </c>
      <c r="W155">
        <v>0</v>
      </c>
      <c r="X155">
        <v>39</v>
      </c>
      <c r="Y155">
        <v>23000</v>
      </c>
      <c r="AA155" t="s">
        <v>605</v>
      </c>
      <c r="AB155">
        <v>20190225</v>
      </c>
      <c r="AE155">
        <f t="shared" si="2"/>
        <v>0</v>
      </c>
      <c r="AF155">
        <v>0</v>
      </c>
      <c r="AG155">
        <v>0</v>
      </c>
      <c r="AH155">
        <v>0</v>
      </c>
      <c r="AI155" s="121">
        <v>115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115</v>
      </c>
    </row>
    <row r="156" spans="1:41">
      <c r="A156">
        <v>201903</v>
      </c>
      <c r="B156">
        <v>25</v>
      </c>
      <c r="C156" t="s">
        <v>526</v>
      </c>
      <c r="D156">
        <v>3190028024351</v>
      </c>
      <c r="E156" t="s">
        <v>53</v>
      </c>
      <c r="F156" t="s">
        <v>597</v>
      </c>
      <c r="G156" t="s">
        <v>598</v>
      </c>
      <c r="H156" t="s">
        <v>599</v>
      </c>
      <c r="I156" t="s">
        <v>606</v>
      </c>
      <c r="J156" t="s">
        <v>606</v>
      </c>
      <c r="K156" t="s">
        <v>607</v>
      </c>
      <c r="L156" t="s">
        <v>784</v>
      </c>
      <c r="M156" t="s">
        <v>746</v>
      </c>
      <c r="N156" t="s">
        <v>1259</v>
      </c>
      <c r="P156" t="s">
        <v>603</v>
      </c>
      <c r="Q156" t="s">
        <v>648</v>
      </c>
      <c r="R156" t="s">
        <v>933</v>
      </c>
      <c r="S156">
        <v>20160107</v>
      </c>
      <c r="T156" t="s">
        <v>934</v>
      </c>
      <c r="W156">
        <v>0</v>
      </c>
      <c r="X156">
        <v>38</v>
      </c>
      <c r="Y156">
        <v>43000</v>
      </c>
      <c r="AA156" t="s">
        <v>605</v>
      </c>
      <c r="AB156">
        <v>20190220</v>
      </c>
      <c r="AE156">
        <f t="shared" si="2"/>
        <v>0</v>
      </c>
      <c r="AF156">
        <v>0</v>
      </c>
      <c r="AG156">
        <v>0</v>
      </c>
      <c r="AH156">
        <v>0</v>
      </c>
      <c r="AI156" s="121">
        <v>215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215</v>
      </c>
    </row>
    <row r="157" spans="1:41">
      <c r="A157">
        <v>201903</v>
      </c>
      <c r="B157">
        <v>25</v>
      </c>
      <c r="C157" t="s">
        <v>526</v>
      </c>
      <c r="D157">
        <v>3190028554331</v>
      </c>
      <c r="E157" t="s">
        <v>53</v>
      </c>
      <c r="F157" t="s">
        <v>597</v>
      </c>
      <c r="G157" t="s">
        <v>598</v>
      </c>
      <c r="H157" t="s">
        <v>599</v>
      </c>
      <c r="I157" t="s">
        <v>606</v>
      </c>
      <c r="J157" t="s">
        <v>606</v>
      </c>
      <c r="K157" t="s">
        <v>607</v>
      </c>
      <c r="L157" t="s">
        <v>784</v>
      </c>
      <c r="M157" t="s">
        <v>746</v>
      </c>
      <c r="N157" t="s">
        <v>1259</v>
      </c>
      <c r="P157" t="s">
        <v>603</v>
      </c>
      <c r="Q157" t="s">
        <v>648</v>
      </c>
      <c r="R157" t="s">
        <v>933</v>
      </c>
      <c r="S157">
        <v>20160120</v>
      </c>
      <c r="T157" t="s">
        <v>902</v>
      </c>
      <c r="X157">
        <v>38</v>
      </c>
      <c r="Y157">
        <v>39000</v>
      </c>
      <c r="AA157" t="s">
        <v>605</v>
      </c>
      <c r="AB157">
        <v>20190220</v>
      </c>
      <c r="AE157">
        <f t="shared" si="2"/>
        <v>0</v>
      </c>
      <c r="AF157">
        <v>0</v>
      </c>
      <c r="AG157">
        <v>0</v>
      </c>
      <c r="AH157">
        <v>0</v>
      </c>
      <c r="AI157" s="121">
        <v>195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195</v>
      </c>
    </row>
    <row r="158" spans="1:41">
      <c r="A158">
        <v>201903</v>
      </c>
      <c r="B158">
        <v>25</v>
      </c>
      <c r="C158" t="s">
        <v>526</v>
      </c>
      <c r="D158">
        <v>3190029277051</v>
      </c>
      <c r="E158" t="s">
        <v>53</v>
      </c>
      <c r="F158" t="s">
        <v>597</v>
      </c>
      <c r="G158" t="s">
        <v>598</v>
      </c>
      <c r="H158" t="s">
        <v>599</v>
      </c>
      <c r="I158" t="s">
        <v>606</v>
      </c>
      <c r="J158" t="s">
        <v>606</v>
      </c>
      <c r="K158" t="s">
        <v>607</v>
      </c>
      <c r="L158" t="s">
        <v>744</v>
      </c>
      <c r="M158" t="s">
        <v>745</v>
      </c>
      <c r="N158" t="s">
        <v>1258</v>
      </c>
      <c r="P158" t="s">
        <v>603</v>
      </c>
      <c r="Q158" t="s">
        <v>648</v>
      </c>
      <c r="R158" t="s">
        <v>945</v>
      </c>
      <c r="S158">
        <v>20160120</v>
      </c>
      <c r="T158" t="s">
        <v>843</v>
      </c>
      <c r="X158">
        <v>38</v>
      </c>
      <c r="Y158">
        <v>32100</v>
      </c>
      <c r="AA158" t="s">
        <v>605</v>
      </c>
      <c r="AB158">
        <v>20190225</v>
      </c>
      <c r="AE158">
        <f t="shared" si="2"/>
        <v>0</v>
      </c>
      <c r="AF158">
        <v>0</v>
      </c>
      <c r="AG158">
        <v>0</v>
      </c>
      <c r="AH158">
        <v>0</v>
      </c>
      <c r="AI158" s="121">
        <v>160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160</v>
      </c>
    </row>
    <row r="159" spans="1:41">
      <c r="A159">
        <v>201903</v>
      </c>
      <c r="B159">
        <v>25</v>
      </c>
      <c r="C159" t="s">
        <v>526</v>
      </c>
      <c r="D159">
        <v>3190411987021</v>
      </c>
      <c r="E159" t="s">
        <v>53</v>
      </c>
      <c r="F159" t="s">
        <v>716</v>
      </c>
      <c r="G159" t="s">
        <v>598</v>
      </c>
      <c r="H159" t="s">
        <v>599</v>
      </c>
      <c r="I159" t="s">
        <v>646</v>
      </c>
      <c r="J159" t="s">
        <v>646</v>
      </c>
      <c r="K159" t="s">
        <v>647</v>
      </c>
      <c r="L159" t="s">
        <v>667</v>
      </c>
      <c r="M159" t="s">
        <v>668</v>
      </c>
      <c r="N159" t="s">
        <v>953</v>
      </c>
      <c r="P159" t="s">
        <v>741</v>
      </c>
      <c r="Q159" t="s">
        <v>648</v>
      </c>
      <c r="R159" t="s">
        <v>1042</v>
      </c>
      <c r="S159">
        <v>20180313</v>
      </c>
      <c r="T159" t="s">
        <v>843</v>
      </c>
      <c r="X159">
        <v>8</v>
      </c>
      <c r="Y159">
        <v>50000</v>
      </c>
      <c r="AA159" t="s">
        <v>605</v>
      </c>
      <c r="AB159">
        <v>20190201</v>
      </c>
      <c r="AE159">
        <f t="shared" si="2"/>
        <v>-66235</v>
      </c>
      <c r="AF159">
        <v>0</v>
      </c>
      <c r="AG159">
        <v>0</v>
      </c>
      <c r="AH159">
        <v>-66235</v>
      </c>
      <c r="AI159" s="121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-66235</v>
      </c>
    </row>
    <row r="160" spans="1:41">
      <c r="A160">
        <v>201903</v>
      </c>
      <c r="B160">
        <v>25</v>
      </c>
      <c r="C160" t="s">
        <v>526</v>
      </c>
      <c r="D160">
        <v>3190429789341</v>
      </c>
      <c r="E160" t="s">
        <v>53</v>
      </c>
      <c r="F160" t="s">
        <v>716</v>
      </c>
      <c r="G160" t="s">
        <v>598</v>
      </c>
      <c r="H160" t="s">
        <v>599</v>
      </c>
      <c r="I160" t="s">
        <v>702</v>
      </c>
      <c r="L160" t="s">
        <v>515</v>
      </c>
      <c r="M160" t="s">
        <v>514</v>
      </c>
      <c r="N160" t="s">
        <v>935</v>
      </c>
      <c r="P160" t="s">
        <v>741</v>
      </c>
      <c r="Q160" t="s">
        <v>648</v>
      </c>
      <c r="R160" t="s">
        <v>1029</v>
      </c>
      <c r="S160">
        <v>20180615</v>
      </c>
      <c r="T160" t="s">
        <v>853</v>
      </c>
      <c r="X160">
        <v>5</v>
      </c>
      <c r="Y160">
        <v>45000</v>
      </c>
      <c r="AA160" t="s">
        <v>605</v>
      </c>
      <c r="AB160">
        <v>20190201</v>
      </c>
      <c r="AE160">
        <f t="shared" si="2"/>
        <v>-135237</v>
      </c>
      <c r="AF160">
        <v>0</v>
      </c>
      <c r="AG160">
        <v>0</v>
      </c>
      <c r="AH160">
        <v>-135237</v>
      </c>
      <c r="AI160" s="121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-135237</v>
      </c>
    </row>
    <row r="161" spans="1:41">
      <c r="A161">
        <v>201903</v>
      </c>
      <c r="B161">
        <v>25</v>
      </c>
      <c r="C161" t="s">
        <v>526</v>
      </c>
      <c r="D161">
        <v>3190433023011</v>
      </c>
      <c r="E161" t="s">
        <v>53</v>
      </c>
      <c r="F161" t="s">
        <v>716</v>
      </c>
      <c r="G161" t="s">
        <v>598</v>
      </c>
      <c r="H161" t="s">
        <v>599</v>
      </c>
      <c r="I161" t="s">
        <v>702</v>
      </c>
      <c r="J161" t="s">
        <v>702</v>
      </c>
      <c r="K161" t="s">
        <v>703</v>
      </c>
      <c r="L161" t="s">
        <v>513</v>
      </c>
      <c r="M161" t="s">
        <v>512</v>
      </c>
      <c r="N161" t="s">
        <v>930</v>
      </c>
      <c r="P161" t="s">
        <v>741</v>
      </c>
      <c r="Q161" t="s">
        <v>648</v>
      </c>
      <c r="R161" t="s">
        <v>1029</v>
      </c>
      <c r="S161">
        <v>20180629</v>
      </c>
      <c r="T161" t="s">
        <v>1264</v>
      </c>
      <c r="X161">
        <v>5</v>
      </c>
      <c r="Y161">
        <v>31000</v>
      </c>
      <c r="AA161" t="s">
        <v>605</v>
      </c>
      <c r="AB161">
        <v>20190201</v>
      </c>
      <c r="AE161">
        <f t="shared" si="2"/>
        <v>-93161</v>
      </c>
      <c r="AF161">
        <v>0</v>
      </c>
      <c r="AG161">
        <v>0</v>
      </c>
      <c r="AH161">
        <v>-93161</v>
      </c>
      <c r="AI161" s="12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-93161</v>
      </c>
    </row>
    <row r="162" spans="1:41">
      <c r="A162">
        <v>201903</v>
      </c>
      <c r="B162">
        <v>25</v>
      </c>
      <c r="C162" t="s">
        <v>526</v>
      </c>
      <c r="D162">
        <v>3190102824181</v>
      </c>
      <c r="E162" t="s">
        <v>53</v>
      </c>
      <c r="F162" t="s">
        <v>597</v>
      </c>
      <c r="G162" t="s">
        <v>598</v>
      </c>
      <c r="H162" t="s">
        <v>599</v>
      </c>
      <c r="I162" t="s">
        <v>702</v>
      </c>
      <c r="J162" t="s">
        <v>702</v>
      </c>
      <c r="K162" t="s">
        <v>703</v>
      </c>
      <c r="L162" t="s">
        <v>506</v>
      </c>
      <c r="M162" t="s">
        <v>505</v>
      </c>
      <c r="N162" t="s">
        <v>995</v>
      </c>
      <c r="P162" t="s">
        <v>603</v>
      </c>
      <c r="Q162" t="s">
        <v>648</v>
      </c>
      <c r="R162" t="s">
        <v>1042</v>
      </c>
      <c r="S162">
        <v>20171019</v>
      </c>
      <c r="T162" t="s">
        <v>1106</v>
      </c>
      <c r="X162">
        <v>17</v>
      </c>
      <c r="Y162">
        <v>38000</v>
      </c>
      <c r="AA162" t="s">
        <v>605</v>
      </c>
      <c r="AB162">
        <v>20190215</v>
      </c>
      <c r="AE162">
        <f t="shared" si="2"/>
        <v>0</v>
      </c>
      <c r="AF162">
        <v>0</v>
      </c>
      <c r="AG162">
        <v>0</v>
      </c>
      <c r="AH162">
        <v>0</v>
      </c>
      <c r="AI162" s="121">
        <v>190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190</v>
      </c>
    </row>
    <row r="163" spans="1:41">
      <c r="A163">
        <v>201903</v>
      </c>
      <c r="B163">
        <v>25</v>
      </c>
      <c r="C163" t="s">
        <v>526</v>
      </c>
      <c r="D163">
        <v>3190102905831</v>
      </c>
      <c r="E163" t="s">
        <v>53</v>
      </c>
      <c r="F163" t="s">
        <v>597</v>
      </c>
      <c r="G163" t="s">
        <v>598</v>
      </c>
      <c r="H163" t="s">
        <v>599</v>
      </c>
      <c r="I163" t="s">
        <v>661</v>
      </c>
      <c r="L163" t="s">
        <v>669</v>
      </c>
      <c r="M163" t="s">
        <v>670</v>
      </c>
      <c r="N163" t="s">
        <v>949</v>
      </c>
      <c r="P163" t="s">
        <v>603</v>
      </c>
      <c r="Q163" t="s">
        <v>648</v>
      </c>
      <c r="R163" t="s">
        <v>1041</v>
      </c>
      <c r="S163">
        <v>20171020</v>
      </c>
      <c r="T163" t="s">
        <v>766</v>
      </c>
      <c r="V163">
        <v>73</v>
      </c>
      <c r="W163">
        <v>20</v>
      </c>
      <c r="X163">
        <v>17</v>
      </c>
      <c r="Y163">
        <v>85000</v>
      </c>
      <c r="AA163" t="s">
        <v>605</v>
      </c>
      <c r="AB163">
        <v>20190225</v>
      </c>
      <c r="AE163">
        <f t="shared" si="2"/>
        <v>0</v>
      </c>
      <c r="AF163">
        <v>0</v>
      </c>
      <c r="AG163">
        <v>0</v>
      </c>
      <c r="AH163">
        <v>0</v>
      </c>
      <c r="AI163" s="121">
        <v>637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637</v>
      </c>
    </row>
    <row r="164" spans="1:41">
      <c r="A164">
        <v>201903</v>
      </c>
      <c r="B164">
        <v>25</v>
      </c>
      <c r="C164" t="s">
        <v>526</v>
      </c>
      <c r="D164">
        <v>3190103390001</v>
      </c>
      <c r="E164" t="s">
        <v>53</v>
      </c>
      <c r="F164" t="s">
        <v>597</v>
      </c>
      <c r="G164" t="s">
        <v>598</v>
      </c>
      <c r="H164" t="s">
        <v>599</v>
      </c>
      <c r="I164" t="s">
        <v>606</v>
      </c>
      <c r="L164" t="s">
        <v>600</v>
      </c>
      <c r="M164" t="s">
        <v>601</v>
      </c>
      <c r="N164" t="s">
        <v>938</v>
      </c>
      <c r="P164" t="s">
        <v>603</v>
      </c>
      <c r="Q164" t="s">
        <v>727</v>
      </c>
      <c r="R164" t="s">
        <v>1113</v>
      </c>
      <c r="S164">
        <v>20171020</v>
      </c>
      <c r="T164" t="s">
        <v>1091</v>
      </c>
      <c r="X164">
        <v>17</v>
      </c>
      <c r="Y164">
        <v>30000</v>
      </c>
      <c r="AA164" t="s">
        <v>605</v>
      </c>
      <c r="AB164">
        <v>20190228</v>
      </c>
      <c r="AE164">
        <f t="shared" si="2"/>
        <v>0</v>
      </c>
      <c r="AF164">
        <v>0</v>
      </c>
      <c r="AG164">
        <v>0</v>
      </c>
      <c r="AH164">
        <v>0</v>
      </c>
      <c r="AI164" s="121">
        <v>150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150</v>
      </c>
    </row>
    <row r="165" spans="1:41">
      <c r="A165">
        <v>201903</v>
      </c>
      <c r="B165">
        <v>25</v>
      </c>
      <c r="C165" t="s">
        <v>526</v>
      </c>
      <c r="D165">
        <v>3190103640771</v>
      </c>
      <c r="E165" t="s">
        <v>53</v>
      </c>
      <c r="F165" t="s">
        <v>597</v>
      </c>
      <c r="G165" t="s">
        <v>598</v>
      </c>
      <c r="H165" t="s">
        <v>599</v>
      </c>
      <c r="I165" t="s">
        <v>702</v>
      </c>
      <c r="J165" t="s">
        <v>702</v>
      </c>
      <c r="K165" t="s">
        <v>703</v>
      </c>
      <c r="L165" t="s">
        <v>513</v>
      </c>
      <c r="M165" t="s">
        <v>512</v>
      </c>
      <c r="N165" t="s">
        <v>930</v>
      </c>
      <c r="P165" t="s">
        <v>603</v>
      </c>
      <c r="Q165" t="s">
        <v>648</v>
      </c>
      <c r="R165" t="s">
        <v>1042</v>
      </c>
      <c r="S165">
        <v>20171023</v>
      </c>
      <c r="T165" t="s">
        <v>919</v>
      </c>
      <c r="X165">
        <v>17</v>
      </c>
      <c r="Y165">
        <v>38000</v>
      </c>
      <c r="AA165" t="s">
        <v>605</v>
      </c>
      <c r="AB165">
        <v>20190220</v>
      </c>
      <c r="AE165">
        <f t="shared" si="2"/>
        <v>0</v>
      </c>
      <c r="AF165">
        <v>0</v>
      </c>
      <c r="AG165">
        <v>0</v>
      </c>
      <c r="AH165">
        <v>0</v>
      </c>
      <c r="AI165" s="121">
        <v>190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190</v>
      </c>
    </row>
    <row r="166" spans="1:41">
      <c r="A166">
        <v>201903</v>
      </c>
      <c r="B166">
        <v>25</v>
      </c>
      <c r="C166" t="s">
        <v>526</v>
      </c>
      <c r="D166">
        <v>3190103879011</v>
      </c>
      <c r="E166" t="s">
        <v>53</v>
      </c>
      <c r="F166" t="s">
        <v>597</v>
      </c>
      <c r="G166" t="s">
        <v>598</v>
      </c>
      <c r="H166" t="s">
        <v>599</v>
      </c>
      <c r="I166" t="s">
        <v>702</v>
      </c>
      <c r="J166" t="s">
        <v>702</v>
      </c>
      <c r="K166" t="s">
        <v>703</v>
      </c>
      <c r="L166" t="s">
        <v>513</v>
      </c>
      <c r="M166" t="s">
        <v>512</v>
      </c>
      <c r="N166" t="s">
        <v>930</v>
      </c>
      <c r="P166" t="s">
        <v>603</v>
      </c>
      <c r="Q166" t="s">
        <v>648</v>
      </c>
      <c r="R166" t="s">
        <v>1042</v>
      </c>
      <c r="S166">
        <v>20171024</v>
      </c>
      <c r="T166" t="s">
        <v>1093</v>
      </c>
      <c r="X166">
        <v>17</v>
      </c>
      <c r="Y166">
        <v>40000</v>
      </c>
      <c r="AA166" t="s">
        <v>605</v>
      </c>
      <c r="AB166">
        <v>20190225</v>
      </c>
      <c r="AE166">
        <f t="shared" si="2"/>
        <v>0</v>
      </c>
      <c r="AF166">
        <v>0</v>
      </c>
      <c r="AG166">
        <v>0</v>
      </c>
      <c r="AH166">
        <v>0</v>
      </c>
      <c r="AI166" s="121">
        <v>200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200</v>
      </c>
    </row>
    <row r="167" spans="1:41">
      <c r="A167">
        <v>201903</v>
      </c>
      <c r="B167">
        <v>25</v>
      </c>
      <c r="C167" t="s">
        <v>526</v>
      </c>
      <c r="D167">
        <v>3190104326541</v>
      </c>
      <c r="E167" t="s">
        <v>53</v>
      </c>
      <c r="F167" t="s">
        <v>597</v>
      </c>
      <c r="G167" t="s">
        <v>598</v>
      </c>
      <c r="H167" t="s">
        <v>599</v>
      </c>
      <c r="I167" t="s">
        <v>702</v>
      </c>
      <c r="J167" t="s">
        <v>702</v>
      </c>
      <c r="K167" t="s">
        <v>703</v>
      </c>
      <c r="L167" t="s">
        <v>513</v>
      </c>
      <c r="M167" t="s">
        <v>512</v>
      </c>
      <c r="N167" t="s">
        <v>930</v>
      </c>
      <c r="P167" t="s">
        <v>603</v>
      </c>
      <c r="Q167" t="s">
        <v>648</v>
      </c>
      <c r="R167" t="s">
        <v>1042</v>
      </c>
      <c r="S167">
        <v>20171031</v>
      </c>
      <c r="T167" t="s">
        <v>1227</v>
      </c>
      <c r="X167">
        <v>17</v>
      </c>
      <c r="Y167">
        <v>33000</v>
      </c>
      <c r="AA167" t="s">
        <v>605</v>
      </c>
      <c r="AB167">
        <v>20190225</v>
      </c>
      <c r="AE167">
        <f t="shared" si="2"/>
        <v>0</v>
      </c>
      <c r="AF167">
        <v>0</v>
      </c>
      <c r="AG167">
        <v>0</v>
      </c>
      <c r="AH167">
        <v>0</v>
      </c>
      <c r="AI167" s="121">
        <v>165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165</v>
      </c>
    </row>
    <row r="168" spans="1:41">
      <c r="A168">
        <v>201903</v>
      </c>
      <c r="B168">
        <v>25</v>
      </c>
      <c r="C168" t="s">
        <v>526</v>
      </c>
      <c r="D168">
        <v>3190105595891</v>
      </c>
      <c r="E168" t="s">
        <v>53</v>
      </c>
      <c r="F168" t="s">
        <v>597</v>
      </c>
      <c r="G168" t="s">
        <v>598</v>
      </c>
      <c r="H168" t="s">
        <v>599</v>
      </c>
      <c r="I168" t="s">
        <v>1167</v>
      </c>
      <c r="J168" t="s">
        <v>734</v>
      </c>
      <c r="K168" t="s">
        <v>735</v>
      </c>
      <c r="L168" t="s">
        <v>736</v>
      </c>
      <c r="M168" t="s">
        <v>737</v>
      </c>
      <c r="N168" t="s">
        <v>1052</v>
      </c>
      <c r="P168" t="s">
        <v>603</v>
      </c>
      <c r="Q168" t="s">
        <v>648</v>
      </c>
      <c r="R168" t="s">
        <v>1238</v>
      </c>
      <c r="S168">
        <v>20171107</v>
      </c>
      <c r="T168" t="s">
        <v>1261</v>
      </c>
      <c r="V168">
        <v>0</v>
      </c>
      <c r="W168">
        <v>0</v>
      </c>
      <c r="X168">
        <v>15</v>
      </c>
      <c r="Y168">
        <v>43272</v>
      </c>
      <c r="AA168" t="s">
        <v>605</v>
      </c>
      <c r="AB168">
        <v>20190228</v>
      </c>
      <c r="AE168">
        <f t="shared" si="2"/>
        <v>0</v>
      </c>
      <c r="AF168">
        <v>0</v>
      </c>
      <c r="AG168">
        <v>0</v>
      </c>
      <c r="AH168">
        <v>0</v>
      </c>
      <c r="AI168" s="121">
        <v>432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432</v>
      </c>
    </row>
    <row r="169" spans="1:41">
      <c r="A169">
        <v>201903</v>
      </c>
      <c r="B169">
        <v>25</v>
      </c>
      <c r="C169" t="s">
        <v>526</v>
      </c>
      <c r="D169">
        <v>3190105598791</v>
      </c>
      <c r="E169" t="s">
        <v>53</v>
      </c>
      <c r="F169" t="s">
        <v>597</v>
      </c>
      <c r="G169" t="s">
        <v>598</v>
      </c>
      <c r="H169" t="s">
        <v>599</v>
      </c>
      <c r="I169" t="s">
        <v>1167</v>
      </c>
      <c r="J169" t="s">
        <v>734</v>
      </c>
      <c r="K169" t="s">
        <v>735</v>
      </c>
      <c r="L169" t="s">
        <v>736</v>
      </c>
      <c r="M169" t="s">
        <v>737</v>
      </c>
      <c r="N169" t="s">
        <v>1052</v>
      </c>
      <c r="P169" t="s">
        <v>603</v>
      </c>
      <c r="Q169" t="s">
        <v>648</v>
      </c>
      <c r="R169" t="s">
        <v>1238</v>
      </c>
      <c r="S169">
        <v>20171107</v>
      </c>
      <c r="T169" t="s">
        <v>1261</v>
      </c>
      <c r="V169">
        <v>0</v>
      </c>
      <c r="W169">
        <v>0</v>
      </c>
      <c r="X169">
        <v>15</v>
      </c>
      <c r="Y169">
        <v>52381</v>
      </c>
      <c r="AA169" t="s">
        <v>605</v>
      </c>
      <c r="AB169">
        <v>20190228</v>
      </c>
      <c r="AE169">
        <f t="shared" si="2"/>
        <v>0</v>
      </c>
      <c r="AF169">
        <v>0</v>
      </c>
      <c r="AG169">
        <v>0</v>
      </c>
      <c r="AH169">
        <v>0</v>
      </c>
      <c r="AI169" s="121">
        <v>522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522</v>
      </c>
    </row>
    <row r="170" spans="1:41">
      <c r="A170">
        <v>201903</v>
      </c>
      <c r="B170">
        <v>25</v>
      </c>
      <c r="C170" t="s">
        <v>526</v>
      </c>
      <c r="D170">
        <v>3190105599601</v>
      </c>
      <c r="E170" t="s">
        <v>53</v>
      </c>
      <c r="F170" t="s">
        <v>597</v>
      </c>
      <c r="G170" t="s">
        <v>598</v>
      </c>
      <c r="H170" t="s">
        <v>599</v>
      </c>
      <c r="I170" t="s">
        <v>1167</v>
      </c>
      <c r="J170" t="s">
        <v>734</v>
      </c>
      <c r="K170" t="s">
        <v>735</v>
      </c>
      <c r="L170" t="s">
        <v>736</v>
      </c>
      <c r="M170" t="s">
        <v>737</v>
      </c>
      <c r="N170" t="s">
        <v>1052</v>
      </c>
      <c r="P170" t="s">
        <v>603</v>
      </c>
      <c r="Q170" t="s">
        <v>648</v>
      </c>
      <c r="R170" t="s">
        <v>1041</v>
      </c>
      <c r="S170">
        <v>20171107</v>
      </c>
      <c r="T170" t="s">
        <v>1261</v>
      </c>
      <c r="V170">
        <v>0</v>
      </c>
      <c r="W170">
        <v>0</v>
      </c>
      <c r="X170">
        <v>15</v>
      </c>
      <c r="Y170">
        <v>53710</v>
      </c>
      <c r="AA170" t="s">
        <v>605</v>
      </c>
      <c r="AB170">
        <v>20190228</v>
      </c>
      <c r="AE170">
        <f t="shared" si="2"/>
        <v>0</v>
      </c>
      <c r="AF170">
        <v>0</v>
      </c>
      <c r="AG170">
        <v>0</v>
      </c>
      <c r="AH170">
        <v>0</v>
      </c>
      <c r="AI170" s="121">
        <v>804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804</v>
      </c>
    </row>
    <row r="171" spans="1:41">
      <c r="A171">
        <v>201903</v>
      </c>
      <c r="B171">
        <v>25</v>
      </c>
      <c r="C171" t="s">
        <v>526</v>
      </c>
      <c r="D171">
        <v>3190105682071</v>
      </c>
      <c r="E171" t="s">
        <v>53</v>
      </c>
      <c r="F171" t="s">
        <v>597</v>
      </c>
      <c r="G171" t="s">
        <v>598</v>
      </c>
      <c r="H171" t="s">
        <v>599</v>
      </c>
      <c r="I171" t="s">
        <v>702</v>
      </c>
      <c r="L171" t="s">
        <v>515</v>
      </c>
      <c r="M171" t="s">
        <v>514</v>
      </c>
      <c r="N171" t="s">
        <v>935</v>
      </c>
      <c r="P171" t="s">
        <v>603</v>
      </c>
      <c r="Q171" t="s">
        <v>648</v>
      </c>
      <c r="R171" t="s">
        <v>1041</v>
      </c>
      <c r="S171">
        <v>20171103</v>
      </c>
      <c r="T171" t="s">
        <v>1133</v>
      </c>
      <c r="X171">
        <v>16</v>
      </c>
      <c r="Y171">
        <v>30000</v>
      </c>
      <c r="AA171" t="s">
        <v>605</v>
      </c>
      <c r="AB171">
        <v>20190228</v>
      </c>
      <c r="AE171">
        <f t="shared" si="2"/>
        <v>0</v>
      </c>
      <c r="AF171">
        <v>0</v>
      </c>
      <c r="AG171">
        <v>0</v>
      </c>
      <c r="AH171">
        <v>0</v>
      </c>
      <c r="AI171" s="121">
        <v>225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225</v>
      </c>
    </row>
    <row r="172" spans="1:41">
      <c r="A172">
        <v>201903</v>
      </c>
      <c r="B172">
        <v>25</v>
      </c>
      <c r="C172" t="s">
        <v>526</v>
      </c>
      <c r="D172">
        <v>3190105683631</v>
      </c>
      <c r="E172" t="s">
        <v>53</v>
      </c>
      <c r="F172" t="s">
        <v>597</v>
      </c>
      <c r="G172" t="s">
        <v>598</v>
      </c>
      <c r="H172" t="s">
        <v>599</v>
      </c>
      <c r="I172" t="s">
        <v>702</v>
      </c>
      <c r="L172" t="s">
        <v>515</v>
      </c>
      <c r="M172" t="s">
        <v>514</v>
      </c>
      <c r="N172" t="s">
        <v>935</v>
      </c>
      <c r="P172" t="s">
        <v>603</v>
      </c>
      <c r="Q172" t="s">
        <v>648</v>
      </c>
      <c r="R172" t="s">
        <v>1041</v>
      </c>
      <c r="S172">
        <v>20171103</v>
      </c>
      <c r="T172" t="s">
        <v>1134</v>
      </c>
      <c r="X172">
        <v>16</v>
      </c>
      <c r="Y172">
        <v>38000</v>
      </c>
      <c r="AA172" t="s">
        <v>605</v>
      </c>
      <c r="AB172">
        <v>20190220</v>
      </c>
      <c r="AE172">
        <f t="shared" si="2"/>
        <v>0</v>
      </c>
      <c r="AF172">
        <v>0</v>
      </c>
      <c r="AG172">
        <v>0</v>
      </c>
      <c r="AH172">
        <v>0</v>
      </c>
      <c r="AI172" s="121">
        <v>285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285</v>
      </c>
    </row>
    <row r="173" spans="1:41">
      <c r="A173">
        <v>201903</v>
      </c>
      <c r="B173">
        <v>25</v>
      </c>
      <c r="C173" t="s">
        <v>526</v>
      </c>
      <c r="D173">
        <v>3190105739421</v>
      </c>
      <c r="E173" t="s">
        <v>53</v>
      </c>
      <c r="F173" t="s">
        <v>597</v>
      </c>
      <c r="G173" t="s">
        <v>598</v>
      </c>
      <c r="H173" t="s">
        <v>599</v>
      </c>
      <c r="I173" t="s">
        <v>606</v>
      </c>
      <c r="J173" t="s">
        <v>606</v>
      </c>
      <c r="K173" t="s">
        <v>607</v>
      </c>
      <c r="L173" t="s">
        <v>639</v>
      </c>
      <c r="M173" t="s">
        <v>640</v>
      </c>
      <c r="N173" t="s">
        <v>1007</v>
      </c>
      <c r="P173" t="s">
        <v>603</v>
      </c>
      <c r="Q173" t="s">
        <v>648</v>
      </c>
      <c r="R173" t="s">
        <v>1042</v>
      </c>
      <c r="S173">
        <v>20171106</v>
      </c>
      <c r="T173" t="s">
        <v>868</v>
      </c>
      <c r="X173">
        <v>16</v>
      </c>
      <c r="Y173">
        <v>21000</v>
      </c>
      <c r="AA173" t="s">
        <v>605</v>
      </c>
      <c r="AB173">
        <v>20190220</v>
      </c>
      <c r="AE173">
        <f t="shared" si="2"/>
        <v>0</v>
      </c>
      <c r="AF173">
        <v>0</v>
      </c>
      <c r="AG173">
        <v>0</v>
      </c>
      <c r="AH173">
        <v>0</v>
      </c>
      <c r="AI173" s="121">
        <v>105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105</v>
      </c>
    </row>
    <row r="174" spans="1:41">
      <c r="A174">
        <v>201903</v>
      </c>
      <c r="B174">
        <v>25</v>
      </c>
      <c r="C174" t="s">
        <v>526</v>
      </c>
      <c r="D174">
        <v>3190106085581</v>
      </c>
      <c r="E174" t="s">
        <v>53</v>
      </c>
      <c r="F174" t="s">
        <v>597</v>
      </c>
      <c r="G174" t="s">
        <v>598</v>
      </c>
      <c r="H174" t="s">
        <v>599</v>
      </c>
      <c r="I174" t="s">
        <v>606</v>
      </c>
      <c r="J174" t="s">
        <v>606</v>
      </c>
      <c r="K174" t="s">
        <v>607</v>
      </c>
      <c r="L174" t="s">
        <v>643</v>
      </c>
      <c r="M174" t="s">
        <v>644</v>
      </c>
      <c r="N174" t="s">
        <v>947</v>
      </c>
      <c r="P174" t="s">
        <v>603</v>
      </c>
      <c r="Q174" t="s">
        <v>648</v>
      </c>
      <c r="R174" t="s">
        <v>1042</v>
      </c>
      <c r="S174">
        <v>20171117</v>
      </c>
      <c r="T174" t="s">
        <v>1135</v>
      </c>
      <c r="X174">
        <v>16</v>
      </c>
      <c r="Y174">
        <v>58000</v>
      </c>
      <c r="AA174" t="s">
        <v>605</v>
      </c>
      <c r="AB174">
        <v>20190225</v>
      </c>
      <c r="AE174">
        <f t="shared" si="2"/>
        <v>0</v>
      </c>
      <c r="AF174">
        <v>0</v>
      </c>
      <c r="AG174">
        <v>0</v>
      </c>
      <c r="AH174">
        <v>0</v>
      </c>
      <c r="AI174" s="121">
        <v>290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290</v>
      </c>
    </row>
    <row r="175" spans="1:41">
      <c r="A175">
        <v>201903</v>
      </c>
      <c r="B175">
        <v>25</v>
      </c>
      <c r="C175" t="s">
        <v>526</v>
      </c>
      <c r="D175">
        <v>3190106087261</v>
      </c>
      <c r="E175" t="s">
        <v>53</v>
      </c>
      <c r="F175" t="s">
        <v>597</v>
      </c>
      <c r="G175" t="s">
        <v>598</v>
      </c>
      <c r="H175" t="s">
        <v>599</v>
      </c>
      <c r="I175" t="s">
        <v>606</v>
      </c>
      <c r="J175" t="s">
        <v>606</v>
      </c>
      <c r="K175" t="s">
        <v>607</v>
      </c>
      <c r="L175" t="s">
        <v>643</v>
      </c>
      <c r="M175" t="s">
        <v>644</v>
      </c>
      <c r="N175" t="s">
        <v>947</v>
      </c>
      <c r="P175" t="s">
        <v>603</v>
      </c>
      <c r="Q175" t="s">
        <v>648</v>
      </c>
      <c r="R175" t="s">
        <v>1042</v>
      </c>
      <c r="S175">
        <v>20171117</v>
      </c>
      <c r="T175" t="s">
        <v>1135</v>
      </c>
      <c r="X175">
        <v>16</v>
      </c>
      <c r="Y175">
        <v>34000</v>
      </c>
      <c r="AA175" t="s">
        <v>605</v>
      </c>
      <c r="AB175">
        <v>20190225</v>
      </c>
      <c r="AE175">
        <f t="shared" si="2"/>
        <v>0</v>
      </c>
      <c r="AF175">
        <v>0</v>
      </c>
      <c r="AG175">
        <v>0</v>
      </c>
      <c r="AH175">
        <v>0</v>
      </c>
      <c r="AI175" s="121">
        <v>340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340</v>
      </c>
    </row>
    <row r="176" spans="1:41">
      <c r="A176">
        <v>201903</v>
      </c>
      <c r="B176">
        <v>25</v>
      </c>
      <c r="C176" t="s">
        <v>526</v>
      </c>
      <c r="D176">
        <v>3190389201831</v>
      </c>
      <c r="E176" t="s">
        <v>53</v>
      </c>
      <c r="F176" t="s">
        <v>597</v>
      </c>
      <c r="G176" t="s">
        <v>598</v>
      </c>
      <c r="H176" t="s">
        <v>599</v>
      </c>
      <c r="I176" t="s">
        <v>606</v>
      </c>
      <c r="J176" t="s">
        <v>606</v>
      </c>
      <c r="K176" t="s">
        <v>607</v>
      </c>
      <c r="L176" t="s">
        <v>608</v>
      </c>
      <c r="M176" t="s">
        <v>609</v>
      </c>
      <c r="N176" t="s">
        <v>943</v>
      </c>
      <c r="P176" t="s">
        <v>603</v>
      </c>
      <c r="Q176" t="s">
        <v>648</v>
      </c>
      <c r="R176" t="s">
        <v>1042</v>
      </c>
      <c r="S176">
        <v>20171117</v>
      </c>
      <c r="T176" t="s">
        <v>886</v>
      </c>
      <c r="X176">
        <v>16</v>
      </c>
      <c r="Y176">
        <v>56000</v>
      </c>
      <c r="AA176" t="s">
        <v>605</v>
      </c>
      <c r="AB176">
        <v>20190220</v>
      </c>
      <c r="AE176">
        <f t="shared" si="2"/>
        <v>0</v>
      </c>
      <c r="AF176">
        <v>0</v>
      </c>
      <c r="AG176">
        <v>0</v>
      </c>
      <c r="AH176">
        <v>0</v>
      </c>
      <c r="AI176" s="121">
        <v>280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280</v>
      </c>
    </row>
    <row r="177" spans="1:41">
      <c r="A177">
        <v>201903</v>
      </c>
      <c r="B177">
        <v>25</v>
      </c>
      <c r="C177" t="s">
        <v>526</v>
      </c>
      <c r="D177">
        <v>3190389202611</v>
      </c>
      <c r="E177" t="s">
        <v>53</v>
      </c>
      <c r="F177" t="s">
        <v>597</v>
      </c>
      <c r="G177" t="s">
        <v>598</v>
      </c>
      <c r="H177" t="s">
        <v>599</v>
      </c>
      <c r="I177" t="s">
        <v>606</v>
      </c>
      <c r="J177" t="s">
        <v>606</v>
      </c>
      <c r="K177" t="s">
        <v>607</v>
      </c>
      <c r="L177" t="s">
        <v>608</v>
      </c>
      <c r="M177" t="s">
        <v>609</v>
      </c>
      <c r="N177" t="s">
        <v>943</v>
      </c>
      <c r="P177" t="s">
        <v>603</v>
      </c>
      <c r="Q177" t="s">
        <v>648</v>
      </c>
      <c r="R177" t="s">
        <v>1042</v>
      </c>
      <c r="S177">
        <v>20171114</v>
      </c>
      <c r="T177" t="s">
        <v>1146</v>
      </c>
      <c r="X177">
        <v>16</v>
      </c>
      <c r="Y177">
        <v>34000</v>
      </c>
      <c r="AA177" t="s">
        <v>605</v>
      </c>
      <c r="AB177">
        <v>20190220</v>
      </c>
      <c r="AE177">
        <f t="shared" si="2"/>
        <v>0</v>
      </c>
      <c r="AF177">
        <v>0</v>
      </c>
      <c r="AG177">
        <v>0</v>
      </c>
      <c r="AH177">
        <v>0</v>
      </c>
      <c r="AI177" s="121">
        <v>170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170</v>
      </c>
    </row>
    <row r="178" spans="1:41">
      <c r="A178">
        <v>201903</v>
      </c>
      <c r="B178">
        <v>25</v>
      </c>
      <c r="C178" t="s">
        <v>526</v>
      </c>
      <c r="D178">
        <v>3190389224261</v>
      </c>
      <c r="E178" t="s">
        <v>53</v>
      </c>
      <c r="F178" t="s">
        <v>597</v>
      </c>
      <c r="G178" t="s">
        <v>598</v>
      </c>
      <c r="H178" t="s">
        <v>599</v>
      </c>
      <c r="I178" t="s">
        <v>606</v>
      </c>
      <c r="J178" t="s">
        <v>606</v>
      </c>
      <c r="K178" t="s">
        <v>607</v>
      </c>
      <c r="L178" t="s">
        <v>769</v>
      </c>
      <c r="M178" t="s">
        <v>738</v>
      </c>
      <c r="N178" t="s">
        <v>941</v>
      </c>
      <c r="P178" t="s">
        <v>603</v>
      </c>
      <c r="Q178" t="s">
        <v>648</v>
      </c>
      <c r="R178" t="s">
        <v>1051</v>
      </c>
      <c r="S178">
        <v>20171114</v>
      </c>
      <c r="T178" t="s">
        <v>1017</v>
      </c>
      <c r="X178">
        <v>16</v>
      </c>
      <c r="Y178">
        <v>30000</v>
      </c>
      <c r="AA178" t="s">
        <v>605</v>
      </c>
      <c r="AB178">
        <v>20190228</v>
      </c>
      <c r="AE178">
        <f t="shared" si="2"/>
        <v>0</v>
      </c>
      <c r="AF178">
        <v>0</v>
      </c>
      <c r="AG178">
        <v>0</v>
      </c>
      <c r="AH178">
        <v>0</v>
      </c>
      <c r="AI178" s="121">
        <v>150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150</v>
      </c>
    </row>
    <row r="179" spans="1:41">
      <c r="A179">
        <v>201903</v>
      </c>
      <c r="B179">
        <v>25</v>
      </c>
      <c r="C179" t="s">
        <v>526</v>
      </c>
      <c r="D179">
        <v>3190389270111</v>
      </c>
      <c r="E179" t="s">
        <v>53</v>
      </c>
      <c r="F179" t="s">
        <v>597</v>
      </c>
      <c r="G179" t="s">
        <v>598</v>
      </c>
      <c r="H179" t="s">
        <v>599</v>
      </c>
      <c r="I179" t="s">
        <v>606</v>
      </c>
      <c r="J179" t="s">
        <v>606</v>
      </c>
      <c r="K179" t="s">
        <v>607</v>
      </c>
      <c r="L179" t="s">
        <v>769</v>
      </c>
      <c r="M179" t="s">
        <v>738</v>
      </c>
      <c r="N179" t="s">
        <v>941</v>
      </c>
      <c r="P179" t="s">
        <v>603</v>
      </c>
      <c r="Q179" t="s">
        <v>648</v>
      </c>
      <c r="R179" t="s">
        <v>1042</v>
      </c>
      <c r="S179">
        <v>20171114</v>
      </c>
      <c r="T179" t="s">
        <v>1017</v>
      </c>
      <c r="X179">
        <v>16</v>
      </c>
      <c r="Y179">
        <v>31000</v>
      </c>
      <c r="AA179" t="s">
        <v>605</v>
      </c>
      <c r="AB179">
        <v>20190228</v>
      </c>
      <c r="AE179">
        <f t="shared" si="2"/>
        <v>0</v>
      </c>
      <c r="AF179">
        <v>0</v>
      </c>
      <c r="AG179">
        <v>0</v>
      </c>
      <c r="AH179">
        <v>0</v>
      </c>
      <c r="AI179" s="121">
        <v>155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155</v>
      </c>
    </row>
    <row r="180" spans="1:41">
      <c r="A180">
        <v>201903</v>
      </c>
      <c r="B180">
        <v>25</v>
      </c>
      <c r="C180" t="s">
        <v>526</v>
      </c>
      <c r="D180">
        <v>3190389388711</v>
      </c>
      <c r="E180" t="s">
        <v>53</v>
      </c>
      <c r="F180" t="s">
        <v>597</v>
      </c>
      <c r="G180" t="s">
        <v>598</v>
      </c>
      <c r="H180" t="s">
        <v>599</v>
      </c>
      <c r="I180" t="s">
        <v>674</v>
      </c>
      <c r="L180" t="s">
        <v>705</v>
      </c>
      <c r="M180" t="s">
        <v>706</v>
      </c>
      <c r="N180" t="s">
        <v>966</v>
      </c>
      <c r="P180" t="s">
        <v>603</v>
      </c>
      <c r="Q180" t="s">
        <v>648</v>
      </c>
      <c r="R180" t="s">
        <v>1042</v>
      </c>
      <c r="S180">
        <v>20171114</v>
      </c>
      <c r="T180" t="s">
        <v>1061</v>
      </c>
      <c r="X180">
        <v>16</v>
      </c>
      <c r="Y180">
        <v>80000</v>
      </c>
      <c r="AA180" t="s">
        <v>605</v>
      </c>
      <c r="AB180">
        <v>20190225</v>
      </c>
      <c r="AE180">
        <f t="shared" si="2"/>
        <v>0</v>
      </c>
      <c r="AF180">
        <v>0</v>
      </c>
      <c r="AG180">
        <v>0</v>
      </c>
      <c r="AH180">
        <v>0</v>
      </c>
      <c r="AI180" s="121">
        <v>400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400</v>
      </c>
    </row>
    <row r="181" spans="1:41">
      <c r="A181">
        <v>201903</v>
      </c>
      <c r="B181">
        <v>25</v>
      </c>
      <c r="C181" t="s">
        <v>526</v>
      </c>
      <c r="D181">
        <v>3190389463881</v>
      </c>
      <c r="E181" t="s">
        <v>53</v>
      </c>
      <c r="F181" t="s">
        <v>597</v>
      </c>
      <c r="G181" t="s">
        <v>598</v>
      </c>
      <c r="H181" t="s">
        <v>599</v>
      </c>
      <c r="I181" t="s">
        <v>1167</v>
      </c>
      <c r="J181" t="s">
        <v>734</v>
      </c>
      <c r="K181" t="s">
        <v>735</v>
      </c>
      <c r="L181" t="s">
        <v>736</v>
      </c>
      <c r="M181" t="s">
        <v>737</v>
      </c>
      <c r="N181" t="s">
        <v>1052</v>
      </c>
      <c r="P181" t="s">
        <v>603</v>
      </c>
      <c r="Q181" t="s">
        <v>648</v>
      </c>
      <c r="R181" t="s">
        <v>1041</v>
      </c>
      <c r="S181">
        <v>20171117</v>
      </c>
      <c r="T181" t="s">
        <v>731</v>
      </c>
      <c r="V181">
        <v>0</v>
      </c>
      <c r="W181">
        <v>0</v>
      </c>
      <c r="X181">
        <v>16</v>
      </c>
      <c r="Y181">
        <v>156200</v>
      </c>
      <c r="AA181" t="s">
        <v>605</v>
      </c>
      <c r="AB181">
        <v>20190215</v>
      </c>
      <c r="AE181">
        <f t="shared" si="2"/>
        <v>0</v>
      </c>
      <c r="AF181">
        <v>0</v>
      </c>
      <c r="AG181">
        <v>0</v>
      </c>
      <c r="AH181">
        <v>0</v>
      </c>
      <c r="AI181" s="121">
        <v>1171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1171</v>
      </c>
    </row>
    <row r="182" spans="1:41">
      <c r="A182">
        <v>201903</v>
      </c>
      <c r="B182">
        <v>25</v>
      </c>
      <c r="C182" t="s">
        <v>526</v>
      </c>
      <c r="D182">
        <v>3190389942051</v>
      </c>
      <c r="E182" t="s">
        <v>53</v>
      </c>
      <c r="F182" t="s">
        <v>597</v>
      </c>
      <c r="G182" t="s">
        <v>598</v>
      </c>
      <c r="H182" t="s">
        <v>599</v>
      </c>
      <c r="I182" t="s">
        <v>606</v>
      </c>
      <c r="J182" t="s">
        <v>606</v>
      </c>
      <c r="K182" t="s">
        <v>607</v>
      </c>
      <c r="L182" t="s">
        <v>608</v>
      </c>
      <c r="M182" t="s">
        <v>609</v>
      </c>
      <c r="N182" t="s">
        <v>943</v>
      </c>
      <c r="P182" t="s">
        <v>603</v>
      </c>
      <c r="Q182" t="s">
        <v>648</v>
      </c>
      <c r="R182" t="s">
        <v>1042</v>
      </c>
      <c r="S182">
        <v>20171117</v>
      </c>
      <c r="T182" t="s">
        <v>862</v>
      </c>
      <c r="X182">
        <v>16</v>
      </c>
      <c r="Y182">
        <v>43500</v>
      </c>
      <c r="AA182" t="s">
        <v>605</v>
      </c>
      <c r="AB182">
        <v>20190228</v>
      </c>
      <c r="AE182">
        <f t="shared" si="2"/>
        <v>0</v>
      </c>
      <c r="AF182">
        <v>0</v>
      </c>
      <c r="AG182">
        <v>0</v>
      </c>
      <c r="AH182">
        <v>0</v>
      </c>
      <c r="AI182" s="121">
        <v>217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217</v>
      </c>
    </row>
    <row r="183" spans="1:41">
      <c r="A183">
        <v>201903</v>
      </c>
      <c r="B183">
        <v>25</v>
      </c>
      <c r="C183" t="s">
        <v>526</v>
      </c>
      <c r="D183">
        <v>3190390094221</v>
      </c>
      <c r="E183" t="s">
        <v>53</v>
      </c>
      <c r="F183" t="s">
        <v>597</v>
      </c>
      <c r="G183" t="s">
        <v>598</v>
      </c>
      <c r="H183" t="s">
        <v>599</v>
      </c>
      <c r="I183" t="s">
        <v>702</v>
      </c>
      <c r="L183" t="s">
        <v>515</v>
      </c>
      <c r="M183" t="s">
        <v>514</v>
      </c>
      <c r="N183" t="s">
        <v>935</v>
      </c>
      <c r="P183" t="s">
        <v>603</v>
      </c>
      <c r="Q183" t="s">
        <v>648</v>
      </c>
      <c r="R183" t="s">
        <v>1041</v>
      </c>
      <c r="S183">
        <v>20171122</v>
      </c>
      <c r="T183" t="s">
        <v>1111</v>
      </c>
      <c r="X183">
        <v>15</v>
      </c>
      <c r="Y183">
        <v>132000</v>
      </c>
      <c r="AA183" t="s">
        <v>605</v>
      </c>
      <c r="AB183">
        <v>20190220</v>
      </c>
      <c r="AE183">
        <f t="shared" si="2"/>
        <v>0</v>
      </c>
      <c r="AF183">
        <v>0</v>
      </c>
      <c r="AG183">
        <v>0</v>
      </c>
      <c r="AH183">
        <v>0</v>
      </c>
      <c r="AI183" s="121">
        <v>990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990</v>
      </c>
    </row>
    <row r="184" spans="1:41">
      <c r="A184">
        <v>201903</v>
      </c>
      <c r="B184">
        <v>25</v>
      </c>
      <c r="C184" t="s">
        <v>526</v>
      </c>
      <c r="D184">
        <v>3190390354471</v>
      </c>
      <c r="E184" t="s">
        <v>53</v>
      </c>
      <c r="F184" t="s">
        <v>597</v>
      </c>
      <c r="G184" t="s">
        <v>598</v>
      </c>
      <c r="H184" t="s">
        <v>599</v>
      </c>
      <c r="I184" t="s">
        <v>606</v>
      </c>
      <c r="J184" t="s">
        <v>606</v>
      </c>
      <c r="K184" t="s">
        <v>607</v>
      </c>
      <c r="L184" t="s">
        <v>608</v>
      </c>
      <c r="M184" t="s">
        <v>609</v>
      </c>
      <c r="N184" t="s">
        <v>943</v>
      </c>
      <c r="P184" t="s">
        <v>603</v>
      </c>
      <c r="Q184" t="s">
        <v>648</v>
      </c>
      <c r="R184" t="s">
        <v>1042</v>
      </c>
      <c r="S184">
        <v>20171117</v>
      </c>
      <c r="T184" t="s">
        <v>859</v>
      </c>
      <c r="X184">
        <v>16</v>
      </c>
      <c r="Y184">
        <v>47500</v>
      </c>
      <c r="AA184" t="s">
        <v>605</v>
      </c>
      <c r="AB184">
        <v>20190225</v>
      </c>
      <c r="AE184">
        <f t="shared" si="2"/>
        <v>0</v>
      </c>
      <c r="AF184">
        <v>0</v>
      </c>
      <c r="AG184">
        <v>0</v>
      </c>
      <c r="AH184">
        <v>0</v>
      </c>
      <c r="AI184" s="121">
        <v>237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237</v>
      </c>
    </row>
    <row r="185" spans="1:41">
      <c r="A185">
        <v>201903</v>
      </c>
      <c r="B185">
        <v>25</v>
      </c>
      <c r="C185" t="s">
        <v>526</v>
      </c>
      <c r="D185">
        <v>3190390420491</v>
      </c>
      <c r="E185" t="s">
        <v>53</v>
      </c>
      <c r="F185" t="s">
        <v>597</v>
      </c>
      <c r="G185" t="s">
        <v>598</v>
      </c>
      <c r="H185" t="s">
        <v>599</v>
      </c>
      <c r="I185" t="s">
        <v>606</v>
      </c>
      <c r="J185" t="s">
        <v>606</v>
      </c>
      <c r="K185" t="s">
        <v>607</v>
      </c>
      <c r="L185" t="s">
        <v>625</v>
      </c>
      <c r="M185" t="s">
        <v>626</v>
      </c>
      <c r="N185" t="s">
        <v>941</v>
      </c>
      <c r="P185" t="s">
        <v>603</v>
      </c>
      <c r="Q185" t="s">
        <v>648</v>
      </c>
      <c r="R185" t="s">
        <v>1041</v>
      </c>
      <c r="S185">
        <v>20171117</v>
      </c>
      <c r="T185" t="s">
        <v>887</v>
      </c>
      <c r="X185">
        <v>14</v>
      </c>
      <c r="Y185">
        <v>61673</v>
      </c>
      <c r="AA185" t="s">
        <v>605</v>
      </c>
      <c r="AB185">
        <v>20190228</v>
      </c>
      <c r="AE185">
        <f t="shared" si="2"/>
        <v>0</v>
      </c>
      <c r="AF185">
        <v>0</v>
      </c>
      <c r="AG185">
        <v>0</v>
      </c>
      <c r="AH185">
        <v>0</v>
      </c>
      <c r="AI185" s="121">
        <v>462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462</v>
      </c>
    </row>
    <row r="186" spans="1:41">
      <c r="A186">
        <v>201903</v>
      </c>
      <c r="B186">
        <v>25</v>
      </c>
      <c r="C186" t="s">
        <v>526</v>
      </c>
      <c r="D186">
        <v>3190487711951</v>
      </c>
      <c r="E186" t="s">
        <v>53</v>
      </c>
      <c r="F186" t="s">
        <v>690</v>
      </c>
      <c r="G186" t="s">
        <v>598</v>
      </c>
      <c r="H186" t="s">
        <v>599</v>
      </c>
      <c r="I186" t="s">
        <v>661</v>
      </c>
      <c r="L186" t="s">
        <v>669</v>
      </c>
      <c r="M186" t="s">
        <v>670</v>
      </c>
      <c r="N186" t="s">
        <v>949</v>
      </c>
      <c r="P186" t="s">
        <v>691</v>
      </c>
      <c r="Q186" t="s">
        <v>648</v>
      </c>
      <c r="R186" t="s">
        <v>984</v>
      </c>
      <c r="S186">
        <v>20190228</v>
      </c>
      <c r="T186" t="s">
        <v>998</v>
      </c>
      <c r="X186">
        <v>1</v>
      </c>
      <c r="Y186">
        <v>77500</v>
      </c>
      <c r="Z186">
        <v>182828</v>
      </c>
      <c r="AA186" t="s">
        <v>605</v>
      </c>
      <c r="AB186">
        <v>20190228</v>
      </c>
      <c r="AE186">
        <f t="shared" si="2"/>
        <v>393080</v>
      </c>
      <c r="AF186">
        <v>393080</v>
      </c>
      <c r="AG186">
        <v>0</v>
      </c>
      <c r="AH186">
        <v>0</v>
      </c>
      <c r="AI186" s="121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393080</v>
      </c>
    </row>
    <row r="187" spans="1:41">
      <c r="A187">
        <v>201903</v>
      </c>
      <c r="B187">
        <v>25</v>
      </c>
      <c r="C187" t="s">
        <v>526</v>
      </c>
      <c r="D187">
        <v>3190487717001</v>
      </c>
      <c r="E187" t="s">
        <v>53</v>
      </c>
      <c r="F187" t="s">
        <v>690</v>
      </c>
      <c r="G187" t="s">
        <v>598</v>
      </c>
      <c r="H187" t="s">
        <v>599</v>
      </c>
      <c r="I187" t="s">
        <v>661</v>
      </c>
      <c r="L187" t="s">
        <v>669</v>
      </c>
      <c r="M187" t="s">
        <v>670</v>
      </c>
      <c r="N187" t="s">
        <v>949</v>
      </c>
      <c r="P187" t="s">
        <v>691</v>
      </c>
      <c r="Q187" t="s">
        <v>648</v>
      </c>
      <c r="R187" t="s">
        <v>985</v>
      </c>
      <c r="S187">
        <v>20190201</v>
      </c>
      <c r="T187" t="s">
        <v>912</v>
      </c>
      <c r="X187">
        <v>1</v>
      </c>
      <c r="Y187">
        <v>57827</v>
      </c>
      <c r="Z187">
        <v>136472</v>
      </c>
      <c r="AA187" t="s">
        <v>605</v>
      </c>
      <c r="AB187">
        <v>20190201</v>
      </c>
      <c r="AE187">
        <f t="shared" si="2"/>
        <v>293414</v>
      </c>
      <c r="AF187">
        <v>293414</v>
      </c>
      <c r="AG187">
        <v>0</v>
      </c>
      <c r="AH187">
        <v>0</v>
      </c>
      <c r="AI187" s="121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293414</v>
      </c>
    </row>
    <row r="188" spans="1:41">
      <c r="A188">
        <v>201903</v>
      </c>
      <c r="B188">
        <v>25</v>
      </c>
      <c r="C188" t="s">
        <v>526</v>
      </c>
      <c r="D188">
        <v>3190487758711</v>
      </c>
      <c r="E188" t="s">
        <v>53</v>
      </c>
      <c r="F188" t="s">
        <v>690</v>
      </c>
      <c r="G188" t="s">
        <v>598</v>
      </c>
      <c r="H188" t="s">
        <v>599</v>
      </c>
      <c r="I188" t="s">
        <v>661</v>
      </c>
      <c r="L188" t="s">
        <v>669</v>
      </c>
      <c r="M188" t="s">
        <v>670</v>
      </c>
      <c r="N188" t="s">
        <v>949</v>
      </c>
      <c r="P188" t="s">
        <v>691</v>
      </c>
      <c r="Q188" t="s">
        <v>648</v>
      </c>
      <c r="R188" t="s">
        <v>985</v>
      </c>
      <c r="S188">
        <v>20190201</v>
      </c>
      <c r="T188" t="s">
        <v>908</v>
      </c>
      <c r="X188">
        <v>1</v>
      </c>
      <c r="Y188">
        <v>134412</v>
      </c>
      <c r="Z188">
        <v>317212</v>
      </c>
      <c r="AA188" t="s">
        <v>605</v>
      </c>
      <c r="AB188">
        <v>20190201</v>
      </c>
      <c r="AE188">
        <f t="shared" si="2"/>
        <v>682005</v>
      </c>
      <c r="AF188">
        <v>682005</v>
      </c>
      <c r="AG188">
        <v>0</v>
      </c>
      <c r="AH188">
        <v>0</v>
      </c>
      <c r="AI188" s="121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682005</v>
      </c>
    </row>
    <row r="189" spans="1:41">
      <c r="A189">
        <v>201903</v>
      </c>
      <c r="B189">
        <v>25</v>
      </c>
      <c r="C189" t="s">
        <v>526</v>
      </c>
      <c r="D189">
        <v>3190487900711</v>
      </c>
      <c r="E189" t="s">
        <v>53</v>
      </c>
      <c r="F189" t="s">
        <v>690</v>
      </c>
      <c r="G189" t="s">
        <v>598</v>
      </c>
      <c r="H189" t="s">
        <v>599</v>
      </c>
      <c r="I189" t="s">
        <v>674</v>
      </c>
      <c r="L189" t="s">
        <v>705</v>
      </c>
      <c r="M189" t="s">
        <v>706</v>
      </c>
      <c r="N189" t="s">
        <v>966</v>
      </c>
      <c r="P189" t="s">
        <v>691</v>
      </c>
      <c r="Q189" t="s">
        <v>648</v>
      </c>
      <c r="R189" t="s">
        <v>984</v>
      </c>
      <c r="S189">
        <v>20190201</v>
      </c>
      <c r="T189" t="s">
        <v>999</v>
      </c>
      <c r="X189">
        <v>1</v>
      </c>
      <c r="Y189">
        <v>26500</v>
      </c>
      <c r="Z189">
        <v>62463</v>
      </c>
      <c r="AA189" t="s">
        <v>605</v>
      </c>
      <c r="AB189">
        <v>20190201</v>
      </c>
      <c r="AE189">
        <f t="shared" si="2"/>
        <v>134295</v>
      </c>
      <c r="AF189">
        <v>134295</v>
      </c>
      <c r="AG189">
        <v>0</v>
      </c>
      <c r="AH189">
        <v>0</v>
      </c>
      <c r="AI189" s="121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134295</v>
      </c>
    </row>
    <row r="190" spans="1:41">
      <c r="A190">
        <v>201903</v>
      </c>
      <c r="B190">
        <v>25</v>
      </c>
      <c r="C190" t="s">
        <v>526</v>
      </c>
      <c r="D190">
        <v>3190422930901</v>
      </c>
      <c r="E190" t="s">
        <v>53</v>
      </c>
      <c r="F190" t="s">
        <v>597</v>
      </c>
      <c r="G190" t="s">
        <v>598</v>
      </c>
      <c r="H190" t="s">
        <v>599</v>
      </c>
      <c r="I190" t="s">
        <v>661</v>
      </c>
      <c r="L190" t="s">
        <v>669</v>
      </c>
      <c r="M190" t="s">
        <v>670</v>
      </c>
      <c r="N190" t="s">
        <v>949</v>
      </c>
      <c r="P190" t="s">
        <v>603</v>
      </c>
      <c r="Q190" t="s">
        <v>648</v>
      </c>
      <c r="R190" t="s">
        <v>1035</v>
      </c>
      <c r="S190">
        <v>20180504</v>
      </c>
      <c r="T190" t="s">
        <v>681</v>
      </c>
      <c r="V190">
        <v>33</v>
      </c>
      <c r="W190">
        <v>20</v>
      </c>
      <c r="X190">
        <v>10</v>
      </c>
      <c r="Y190">
        <v>43000</v>
      </c>
      <c r="AA190" t="s">
        <v>605</v>
      </c>
      <c r="AB190">
        <v>20190220</v>
      </c>
      <c r="AE190">
        <f t="shared" si="2"/>
        <v>24983</v>
      </c>
      <c r="AF190">
        <v>0</v>
      </c>
      <c r="AG190">
        <v>24983</v>
      </c>
      <c r="AH190">
        <v>0</v>
      </c>
      <c r="AI190" s="121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24983</v>
      </c>
    </row>
    <row r="191" spans="1:41">
      <c r="A191">
        <v>201903</v>
      </c>
      <c r="B191">
        <v>25</v>
      </c>
      <c r="C191" t="s">
        <v>526</v>
      </c>
      <c r="D191">
        <v>3190422999761</v>
      </c>
      <c r="E191" t="s">
        <v>53</v>
      </c>
      <c r="F191" t="s">
        <v>597</v>
      </c>
      <c r="G191" t="s">
        <v>598</v>
      </c>
      <c r="H191" t="s">
        <v>599</v>
      </c>
      <c r="I191" t="s">
        <v>702</v>
      </c>
      <c r="J191" t="s">
        <v>702</v>
      </c>
      <c r="K191" t="s">
        <v>703</v>
      </c>
      <c r="L191" t="s">
        <v>513</v>
      </c>
      <c r="M191" t="s">
        <v>512</v>
      </c>
      <c r="N191" t="s">
        <v>930</v>
      </c>
      <c r="P191" t="s">
        <v>603</v>
      </c>
      <c r="Q191" t="s">
        <v>648</v>
      </c>
      <c r="R191" t="s">
        <v>1035</v>
      </c>
      <c r="S191">
        <v>20180504</v>
      </c>
      <c r="T191" t="s">
        <v>855</v>
      </c>
      <c r="X191">
        <v>10</v>
      </c>
      <c r="Y191">
        <v>22000</v>
      </c>
      <c r="AA191" t="s">
        <v>605</v>
      </c>
      <c r="AB191">
        <v>20190225</v>
      </c>
      <c r="AE191">
        <f t="shared" si="2"/>
        <v>12782</v>
      </c>
      <c r="AF191">
        <v>0</v>
      </c>
      <c r="AG191">
        <v>12782</v>
      </c>
      <c r="AH191">
        <v>0</v>
      </c>
      <c r="AI191" s="12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12782</v>
      </c>
    </row>
    <row r="192" spans="1:41">
      <c r="A192">
        <v>201903</v>
      </c>
      <c r="B192">
        <v>25</v>
      </c>
      <c r="C192" t="s">
        <v>526</v>
      </c>
      <c r="D192">
        <v>3190423161521</v>
      </c>
      <c r="E192" t="s">
        <v>53</v>
      </c>
      <c r="F192" t="s">
        <v>597</v>
      </c>
      <c r="G192" t="s">
        <v>598</v>
      </c>
      <c r="H192" t="s">
        <v>599</v>
      </c>
      <c r="I192" t="s">
        <v>702</v>
      </c>
      <c r="J192" t="s">
        <v>702</v>
      </c>
      <c r="K192" t="s">
        <v>703</v>
      </c>
      <c r="L192" t="s">
        <v>513</v>
      </c>
      <c r="M192" t="s">
        <v>512</v>
      </c>
      <c r="N192" t="s">
        <v>930</v>
      </c>
      <c r="P192" t="s">
        <v>603</v>
      </c>
      <c r="Q192" t="s">
        <v>648</v>
      </c>
      <c r="R192" t="s">
        <v>1035</v>
      </c>
      <c r="S192">
        <v>20180504</v>
      </c>
      <c r="T192" t="s">
        <v>831</v>
      </c>
      <c r="X192">
        <v>10</v>
      </c>
      <c r="Y192">
        <v>29000</v>
      </c>
      <c r="AA192" t="s">
        <v>605</v>
      </c>
      <c r="AB192">
        <v>20190225</v>
      </c>
      <c r="AE192">
        <f t="shared" si="2"/>
        <v>16849</v>
      </c>
      <c r="AF192">
        <v>0</v>
      </c>
      <c r="AG192">
        <v>16849</v>
      </c>
      <c r="AH192">
        <v>0</v>
      </c>
      <c r="AI192" s="121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16849</v>
      </c>
    </row>
    <row r="193" spans="1:41">
      <c r="A193">
        <v>201903</v>
      </c>
      <c r="B193">
        <v>25</v>
      </c>
      <c r="C193" t="s">
        <v>526</v>
      </c>
      <c r="D193">
        <v>3190423997121</v>
      </c>
      <c r="E193" t="s">
        <v>53</v>
      </c>
      <c r="F193" t="s">
        <v>597</v>
      </c>
      <c r="G193" t="s">
        <v>598</v>
      </c>
      <c r="H193" t="s">
        <v>599</v>
      </c>
      <c r="I193" t="s">
        <v>606</v>
      </c>
      <c r="J193" t="s">
        <v>606</v>
      </c>
      <c r="K193" t="s">
        <v>607</v>
      </c>
      <c r="L193" t="s">
        <v>686</v>
      </c>
      <c r="M193" t="s">
        <v>687</v>
      </c>
      <c r="N193" t="s">
        <v>1034</v>
      </c>
      <c r="P193" t="s">
        <v>603</v>
      </c>
      <c r="Q193" t="s">
        <v>648</v>
      </c>
      <c r="R193" t="s">
        <v>1035</v>
      </c>
      <c r="S193">
        <v>20180510</v>
      </c>
      <c r="T193" t="s">
        <v>1036</v>
      </c>
      <c r="X193">
        <v>10</v>
      </c>
      <c r="Y193">
        <v>50000</v>
      </c>
      <c r="AA193" t="s">
        <v>605</v>
      </c>
      <c r="AB193">
        <v>20190228</v>
      </c>
      <c r="AE193">
        <f t="shared" si="2"/>
        <v>29050</v>
      </c>
      <c r="AF193">
        <v>0</v>
      </c>
      <c r="AG193">
        <v>29050</v>
      </c>
      <c r="AH193">
        <v>0</v>
      </c>
      <c r="AI193" s="121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29050</v>
      </c>
    </row>
    <row r="194" spans="1:41">
      <c r="A194">
        <v>201903</v>
      </c>
      <c r="B194">
        <v>25</v>
      </c>
      <c r="C194" t="s">
        <v>526</v>
      </c>
      <c r="D194">
        <v>3190029752031</v>
      </c>
      <c r="E194" t="s">
        <v>53</v>
      </c>
      <c r="F194" t="s">
        <v>597</v>
      </c>
      <c r="G194" t="s">
        <v>598</v>
      </c>
      <c r="H194" t="s">
        <v>599</v>
      </c>
      <c r="I194" t="s">
        <v>606</v>
      </c>
      <c r="J194" t="s">
        <v>606</v>
      </c>
      <c r="K194" t="s">
        <v>607</v>
      </c>
      <c r="L194" t="s">
        <v>747</v>
      </c>
      <c r="M194" t="s">
        <v>748</v>
      </c>
      <c r="N194" t="s">
        <v>948</v>
      </c>
      <c r="P194" t="s">
        <v>603</v>
      </c>
      <c r="Q194" t="s">
        <v>648</v>
      </c>
      <c r="R194" t="s">
        <v>933</v>
      </c>
      <c r="S194">
        <v>20160127</v>
      </c>
      <c r="T194" t="s">
        <v>887</v>
      </c>
      <c r="X194">
        <v>38</v>
      </c>
      <c r="Y194">
        <v>50000</v>
      </c>
      <c r="AA194" t="s">
        <v>605</v>
      </c>
      <c r="AB194">
        <v>20190225</v>
      </c>
      <c r="AE194">
        <f t="shared" si="2"/>
        <v>0</v>
      </c>
      <c r="AF194">
        <v>0</v>
      </c>
      <c r="AG194">
        <v>0</v>
      </c>
      <c r="AH194">
        <v>0</v>
      </c>
      <c r="AI194" s="121">
        <v>250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250</v>
      </c>
    </row>
    <row r="195" spans="1:41">
      <c r="A195">
        <v>201903</v>
      </c>
      <c r="B195">
        <v>25</v>
      </c>
      <c r="C195" t="s">
        <v>526</v>
      </c>
      <c r="D195">
        <v>3190029900891</v>
      </c>
      <c r="E195" t="s">
        <v>53</v>
      </c>
      <c r="F195" t="s">
        <v>597</v>
      </c>
      <c r="G195" t="s">
        <v>598</v>
      </c>
      <c r="H195" t="s">
        <v>599</v>
      </c>
      <c r="I195" t="s">
        <v>661</v>
      </c>
      <c r="L195" t="s">
        <v>669</v>
      </c>
      <c r="M195" t="s">
        <v>670</v>
      </c>
      <c r="N195" t="s">
        <v>949</v>
      </c>
      <c r="P195" t="s">
        <v>603</v>
      </c>
      <c r="Q195" t="s">
        <v>648</v>
      </c>
      <c r="R195" t="s">
        <v>933</v>
      </c>
      <c r="S195">
        <v>20160129</v>
      </c>
      <c r="T195" t="s">
        <v>950</v>
      </c>
      <c r="X195">
        <v>38</v>
      </c>
      <c r="Y195">
        <v>38000</v>
      </c>
      <c r="AA195" t="s">
        <v>605</v>
      </c>
      <c r="AB195">
        <v>20190228</v>
      </c>
      <c r="AE195">
        <f t="shared" ref="AE195:AE258" si="3">AO195-AI195</f>
        <v>0</v>
      </c>
      <c r="AF195">
        <v>0</v>
      </c>
      <c r="AG195">
        <v>0</v>
      </c>
      <c r="AH195">
        <v>0</v>
      </c>
      <c r="AI195" s="121">
        <v>190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190</v>
      </c>
    </row>
    <row r="196" spans="1:41">
      <c r="A196">
        <v>201903</v>
      </c>
      <c r="B196">
        <v>25</v>
      </c>
      <c r="C196" t="s">
        <v>526</v>
      </c>
      <c r="D196">
        <v>3190029904111</v>
      </c>
      <c r="E196" t="s">
        <v>53</v>
      </c>
      <c r="F196" t="s">
        <v>597</v>
      </c>
      <c r="G196" t="s">
        <v>598</v>
      </c>
      <c r="H196" t="s">
        <v>599</v>
      </c>
      <c r="I196" t="s">
        <v>661</v>
      </c>
      <c r="L196" t="s">
        <v>669</v>
      </c>
      <c r="M196" t="s">
        <v>670</v>
      </c>
      <c r="N196" t="s">
        <v>949</v>
      </c>
      <c r="P196" t="s">
        <v>603</v>
      </c>
      <c r="Q196" t="s">
        <v>648</v>
      </c>
      <c r="R196" t="s">
        <v>933</v>
      </c>
      <c r="S196">
        <v>20160128</v>
      </c>
      <c r="T196" t="s">
        <v>950</v>
      </c>
      <c r="X196">
        <v>38</v>
      </c>
      <c r="Y196">
        <v>30000</v>
      </c>
      <c r="AA196" t="s">
        <v>605</v>
      </c>
      <c r="AB196">
        <v>20190228</v>
      </c>
      <c r="AE196">
        <f t="shared" si="3"/>
        <v>0</v>
      </c>
      <c r="AF196">
        <v>0</v>
      </c>
      <c r="AG196">
        <v>0</v>
      </c>
      <c r="AH196">
        <v>0</v>
      </c>
      <c r="AI196" s="121">
        <v>150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150</v>
      </c>
    </row>
    <row r="197" spans="1:41">
      <c r="A197">
        <v>201903</v>
      </c>
      <c r="B197">
        <v>25</v>
      </c>
      <c r="C197" t="s">
        <v>526</v>
      </c>
      <c r="D197">
        <v>3190030187671</v>
      </c>
      <c r="E197" t="s">
        <v>53</v>
      </c>
      <c r="F197" t="s">
        <v>597</v>
      </c>
      <c r="G197" t="s">
        <v>598</v>
      </c>
      <c r="H197" t="s">
        <v>599</v>
      </c>
      <c r="I197" t="s">
        <v>719</v>
      </c>
      <c r="J197" t="s">
        <v>720</v>
      </c>
      <c r="K197" t="s">
        <v>728</v>
      </c>
      <c r="L197" t="s">
        <v>742</v>
      </c>
      <c r="M197" t="s">
        <v>743</v>
      </c>
      <c r="N197" t="s">
        <v>951</v>
      </c>
      <c r="P197" t="s">
        <v>603</v>
      </c>
      <c r="Q197" t="s">
        <v>648</v>
      </c>
      <c r="R197" t="s">
        <v>933</v>
      </c>
      <c r="S197">
        <v>20160129</v>
      </c>
      <c r="T197" t="s">
        <v>952</v>
      </c>
      <c r="X197">
        <v>38</v>
      </c>
      <c r="Y197">
        <v>80340</v>
      </c>
      <c r="AA197" t="s">
        <v>605</v>
      </c>
      <c r="AB197">
        <v>20190228</v>
      </c>
      <c r="AE197">
        <f t="shared" si="3"/>
        <v>0</v>
      </c>
      <c r="AF197">
        <v>0</v>
      </c>
      <c r="AG197">
        <v>0</v>
      </c>
      <c r="AH197">
        <v>0</v>
      </c>
      <c r="AI197" s="121">
        <v>401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401</v>
      </c>
    </row>
    <row r="198" spans="1:41">
      <c r="A198">
        <v>201903</v>
      </c>
      <c r="B198">
        <v>25</v>
      </c>
      <c r="C198" t="s">
        <v>526</v>
      </c>
      <c r="D198">
        <v>3190030584861</v>
      </c>
      <c r="E198" t="s">
        <v>53</v>
      </c>
      <c r="F198" t="s">
        <v>597</v>
      </c>
      <c r="G198" t="s">
        <v>598</v>
      </c>
      <c r="H198" t="s">
        <v>599</v>
      </c>
      <c r="I198" t="s">
        <v>719</v>
      </c>
      <c r="J198" t="s">
        <v>720</v>
      </c>
      <c r="K198" t="s">
        <v>728</v>
      </c>
      <c r="L198" t="s">
        <v>742</v>
      </c>
      <c r="M198" t="s">
        <v>743</v>
      </c>
      <c r="N198" t="s">
        <v>951</v>
      </c>
      <c r="P198" t="s">
        <v>603</v>
      </c>
      <c r="Q198" t="s">
        <v>648</v>
      </c>
      <c r="R198" t="s">
        <v>933</v>
      </c>
      <c r="S198">
        <v>20160203</v>
      </c>
      <c r="T198" t="s">
        <v>811</v>
      </c>
      <c r="X198">
        <v>37</v>
      </c>
      <c r="Y198">
        <v>139400</v>
      </c>
      <c r="AA198" t="s">
        <v>605</v>
      </c>
      <c r="AB198">
        <v>20190208</v>
      </c>
      <c r="AE198">
        <f t="shared" si="3"/>
        <v>0</v>
      </c>
      <c r="AF198">
        <v>0</v>
      </c>
      <c r="AG198">
        <v>0</v>
      </c>
      <c r="AH198">
        <v>0</v>
      </c>
      <c r="AI198" s="121">
        <v>697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697</v>
      </c>
    </row>
    <row r="199" spans="1:41">
      <c r="A199">
        <v>201903</v>
      </c>
      <c r="B199">
        <v>25</v>
      </c>
      <c r="C199" t="s">
        <v>526</v>
      </c>
      <c r="D199">
        <v>3190030757241</v>
      </c>
      <c r="E199" t="s">
        <v>53</v>
      </c>
      <c r="F199" t="s">
        <v>597</v>
      </c>
      <c r="G199" t="s">
        <v>598</v>
      </c>
      <c r="H199" t="s">
        <v>599</v>
      </c>
      <c r="I199" t="s">
        <v>606</v>
      </c>
      <c r="J199" t="s">
        <v>606</v>
      </c>
      <c r="K199" t="s">
        <v>607</v>
      </c>
      <c r="L199" t="s">
        <v>614</v>
      </c>
      <c r="M199" t="s">
        <v>615</v>
      </c>
      <c r="N199" t="s">
        <v>1226</v>
      </c>
      <c r="P199" t="s">
        <v>603</v>
      </c>
      <c r="Q199" t="s">
        <v>648</v>
      </c>
      <c r="R199" t="s">
        <v>933</v>
      </c>
      <c r="S199">
        <v>20160204</v>
      </c>
      <c r="T199" t="s">
        <v>891</v>
      </c>
      <c r="X199">
        <v>37</v>
      </c>
      <c r="Y199">
        <v>102000</v>
      </c>
      <c r="AA199" t="s">
        <v>605</v>
      </c>
      <c r="AB199">
        <v>20190228</v>
      </c>
      <c r="AE199">
        <f t="shared" si="3"/>
        <v>0</v>
      </c>
      <c r="AF199">
        <v>0</v>
      </c>
      <c r="AG199">
        <v>0</v>
      </c>
      <c r="AH199">
        <v>0</v>
      </c>
      <c r="AI199" s="121">
        <v>510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510</v>
      </c>
    </row>
    <row r="200" spans="1:41">
      <c r="A200">
        <v>201903</v>
      </c>
      <c r="B200">
        <v>25</v>
      </c>
      <c r="C200" t="s">
        <v>526</v>
      </c>
      <c r="D200">
        <v>3190424378771</v>
      </c>
      <c r="E200" t="s">
        <v>53</v>
      </c>
      <c r="F200" t="s">
        <v>597</v>
      </c>
      <c r="G200" t="s">
        <v>598</v>
      </c>
      <c r="H200" t="s">
        <v>599</v>
      </c>
      <c r="I200" t="s">
        <v>661</v>
      </c>
      <c r="L200" t="s">
        <v>669</v>
      </c>
      <c r="M200" t="s">
        <v>670</v>
      </c>
      <c r="N200" t="s">
        <v>949</v>
      </c>
      <c r="P200" t="s">
        <v>603</v>
      </c>
      <c r="Q200" t="s">
        <v>648</v>
      </c>
      <c r="R200" t="s">
        <v>1029</v>
      </c>
      <c r="S200">
        <v>20180525</v>
      </c>
      <c r="T200" t="s">
        <v>1027</v>
      </c>
      <c r="X200">
        <v>8</v>
      </c>
      <c r="Y200">
        <v>52000</v>
      </c>
      <c r="AA200" t="s">
        <v>605</v>
      </c>
      <c r="AB200">
        <v>20190228</v>
      </c>
      <c r="AE200">
        <f t="shared" si="3"/>
        <v>43862</v>
      </c>
      <c r="AF200">
        <v>0</v>
      </c>
      <c r="AG200">
        <v>43862</v>
      </c>
      <c r="AH200">
        <v>0</v>
      </c>
      <c r="AI200" s="121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43862</v>
      </c>
    </row>
    <row r="201" spans="1:41">
      <c r="A201">
        <v>201903</v>
      </c>
      <c r="B201">
        <v>25</v>
      </c>
      <c r="C201" t="s">
        <v>526</v>
      </c>
      <c r="D201">
        <v>3190424947741</v>
      </c>
      <c r="E201" t="s">
        <v>53</v>
      </c>
      <c r="F201" t="s">
        <v>597</v>
      </c>
      <c r="G201" t="s">
        <v>598</v>
      </c>
      <c r="H201" t="s">
        <v>599</v>
      </c>
      <c r="I201" t="s">
        <v>661</v>
      </c>
      <c r="L201" t="s">
        <v>669</v>
      </c>
      <c r="M201" t="s">
        <v>670</v>
      </c>
      <c r="N201" t="s">
        <v>949</v>
      </c>
      <c r="P201" t="s">
        <v>603</v>
      </c>
      <c r="Q201" t="s">
        <v>648</v>
      </c>
      <c r="R201" t="s">
        <v>1029</v>
      </c>
      <c r="S201">
        <v>20180515</v>
      </c>
      <c r="T201" t="s">
        <v>921</v>
      </c>
      <c r="V201">
        <v>0</v>
      </c>
      <c r="W201">
        <v>0</v>
      </c>
      <c r="X201">
        <v>10</v>
      </c>
      <c r="Y201">
        <v>64000</v>
      </c>
      <c r="AA201" t="s">
        <v>605</v>
      </c>
      <c r="AB201">
        <v>20190220</v>
      </c>
      <c r="AE201">
        <f t="shared" si="3"/>
        <v>53984</v>
      </c>
      <c r="AF201">
        <v>0</v>
      </c>
      <c r="AG201">
        <v>53984</v>
      </c>
      <c r="AH201">
        <v>0</v>
      </c>
      <c r="AI201" s="12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53984</v>
      </c>
    </row>
    <row r="202" spans="1:41">
      <c r="A202">
        <v>201903</v>
      </c>
      <c r="B202">
        <v>25</v>
      </c>
      <c r="C202" t="s">
        <v>526</v>
      </c>
      <c r="D202">
        <v>3190425392021</v>
      </c>
      <c r="E202" t="s">
        <v>53</v>
      </c>
      <c r="F202" t="s">
        <v>597</v>
      </c>
      <c r="G202" t="s">
        <v>598</v>
      </c>
      <c r="H202" t="s">
        <v>599</v>
      </c>
      <c r="I202" t="s">
        <v>606</v>
      </c>
      <c r="J202" t="s">
        <v>606</v>
      </c>
      <c r="K202" t="s">
        <v>607</v>
      </c>
      <c r="L202" t="s">
        <v>614</v>
      </c>
      <c r="M202" t="s">
        <v>615</v>
      </c>
      <c r="N202" t="s">
        <v>1226</v>
      </c>
      <c r="P202" t="s">
        <v>603</v>
      </c>
      <c r="Q202" t="s">
        <v>648</v>
      </c>
      <c r="R202" t="s">
        <v>989</v>
      </c>
      <c r="S202">
        <v>20180529</v>
      </c>
      <c r="T202" t="s">
        <v>1055</v>
      </c>
      <c r="X202">
        <v>10</v>
      </c>
      <c r="Y202">
        <v>17000</v>
      </c>
      <c r="AA202" t="s">
        <v>605</v>
      </c>
      <c r="AB202">
        <v>20190226</v>
      </c>
      <c r="AE202">
        <f t="shared" si="3"/>
        <v>27608</v>
      </c>
      <c r="AF202">
        <v>0</v>
      </c>
      <c r="AG202">
        <v>27608</v>
      </c>
      <c r="AH202">
        <v>0</v>
      </c>
      <c r="AI202" s="121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27608</v>
      </c>
    </row>
    <row r="203" spans="1:41">
      <c r="A203">
        <v>201903</v>
      </c>
      <c r="B203">
        <v>25</v>
      </c>
      <c r="C203" t="s">
        <v>526</v>
      </c>
      <c r="D203">
        <v>3190425642831</v>
      </c>
      <c r="E203" t="s">
        <v>53</v>
      </c>
      <c r="F203" t="s">
        <v>597</v>
      </c>
      <c r="G203" t="s">
        <v>598</v>
      </c>
      <c r="H203" t="s">
        <v>599</v>
      </c>
      <c r="I203" t="s">
        <v>702</v>
      </c>
      <c r="J203" t="s">
        <v>702</v>
      </c>
      <c r="K203" t="s">
        <v>703</v>
      </c>
      <c r="L203" t="s">
        <v>511</v>
      </c>
      <c r="M203" t="s">
        <v>510</v>
      </c>
      <c r="N203" t="s">
        <v>965</v>
      </c>
      <c r="P203" t="s">
        <v>603</v>
      </c>
      <c r="Q203" t="s">
        <v>648</v>
      </c>
      <c r="R203" t="s">
        <v>1035</v>
      </c>
      <c r="S203">
        <v>20180518</v>
      </c>
      <c r="T203" t="s">
        <v>1006</v>
      </c>
      <c r="X203">
        <v>10</v>
      </c>
      <c r="Y203">
        <v>21000</v>
      </c>
      <c r="AA203" t="s">
        <v>605</v>
      </c>
      <c r="AB203">
        <v>20190208</v>
      </c>
      <c r="AE203">
        <f t="shared" si="3"/>
        <v>12201</v>
      </c>
      <c r="AF203">
        <v>0</v>
      </c>
      <c r="AG203">
        <v>12201</v>
      </c>
      <c r="AH203">
        <v>0</v>
      </c>
      <c r="AI203" s="121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12201</v>
      </c>
    </row>
    <row r="204" spans="1:41">
      <c r="A204">
        <v>201903</v>
      </c>
      <c r="B204">
        <v>25</v>
      </c>
      <c r="C204" t="s">
        <v>526</v>
      </c>
      <c r="D204">
        <v>3190426020171</v>
      </c>
      <c r="E204" t="s">
        <v>53</v>
      </c>
      <c r="F204" t="s">
        <v>597</v>
      </c>
      <c r="G204" t="s">
        <v>598</v>
      </c>
      <c r="H204" t="s">
        <v>599</v>
      </c>
      <c r="I204" t="s">
        <v>649</v>
      </c>
      <c r="J204" t="s">
        <v>649</v>
      </c>
      <c r="K204" t="s">
        <v>685</v>
      </c>
      <c r="L204" t="s">
        <v>709</v>
      </c>
      <c r="M204" t="s">
        <v>710</v>
      </c>
      <c r="N204" t="s">
        <v>1234</v>
      </c>
      <c r="P204" t="s">
        <v>603</v>
      </c>
      <c r="Q204" t="s">
        <v>648</v>
      </c>
      <c r="R204" t="s">
        <v>1029</v>
      </c>
      <c r="S204">
        <v>20180523</v>
      </c>
      <c r="T204" t="s">
        <v>1064</v>
      </c>
      <c r="V204">
        <v>82</v>
      </c>
      <c r="W204">
        <v>30</v>
      </c>
      <c r="X204">
        <v>10</v>
      </c>
      <c r="Y204">
        <v>30700</v>
      </c>
      <c r="AA204" t="s">
        <v>605</v>
      </c>
      <c r="AB204">
        <v>20190225</v>
      </c>
      <c r="AE204">
        <f t="shared" si="3"/>
        <v>25895</v>
      </c>
      <c r="AF204">
        <v>0</v>
      </c>
      <c r="AG204">
        <v>25895</v>
      </c>
      <c r="AH204">
        <v>0</v>
      </c>
      <c r="AI204" s="121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25895</v>
      </c>
    </row>
    <row r="205" spans="1:41">
      <c r="A205">
        <v>201903</v>
      </c>
      <c r="B205">
        <v>25</v>
      </c>
      <c r="C205" t="s">
        <v>526</v>
      </c>
      <c r="D205">
        <v>3190426621991</v>
      </c>
      <c r="E205" t="s">
        <v>53</v>
      </c>
      <c r="F205" t="s">
        <v>597</v>
      </c>
      <c r="G205" t="s">
        <v>598</v>
      </c>
      <c r="H205" t="s">
        <v>599</v>
      </c>
      <c r="I205" t="s">
        <v>606</v>
      </c>
      <c r="J205" t="s">
        <v>606</v>
      </c>
      <c r="K205" t="s">
        <v>607</v>
      </c>
      <c r="L205" t="s">
        <v>611</v>
      </c>
      <c r="M205" t="s">
        <v>612</v>
      </c>
      <c r="N205" t="s">
        <v>1070</v>
      </c>
      <c r="P205" t="s">
        <v>603</v>
      </c>
      <c r="Q205" t="s">
        <v>648</v>
      </c>
      <c r="R205" t="s">
        <v>979</v>
      </c>
      <c r="S205">
        <v>20180529</v>
      </c>
      <c r="T205" t="s">
        <v>972</v>
      </c>
      <c r="X205">
        <v>9</v>
      </c>
      <c r="Y205">
        <v>61000</v>
      </c>
      <c r="AA205" t="s">
        <v>605</v>
      </c>
      <c r="AB205">
        <v>20190220</v>
      </c>
      <c r="AE205">
        <f t="shared" si="3"/>
        <v>43127</v>
      </c>
      <c r="AF205">
        <v>0</v>
      </c>
      <c r="AG205">
        <v>43127</v>
      </c>
      <c r="AH205">
        <v>0</v>
      </c>
      <c r="AI205" s="121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43127</v>
      </c>
    </row>
    <row r="206" spans="1:41">
      <c r="A206">
        <v>201903</v>
      </c>
      <c r="B206">
        <v>25</v>
      </c>
      <c r="C206" t="s">
        <v>526</v>
      </c>
      <c r="D206">
        <v>3190427026871</v>
      </c>
      <c r="E206" t="s">
        <v>53</v>
      </c>
      <c r="F206" t="s">
        <v>597</v>
      </c>
      <c r="G206" t="s">
        <v>598</v>
      </c>
      <c r="H206" t="s">
        <v>599</v>
      </c>
      <c r="I206" t="s">
        <v>702</v>
      </c>
      <c r="L206" t="s">
        <v>515</v>
      </c>
      <c r="M206" t="s">
        <v>514</v>
      </c>
      <c r="N206" t="s">
        <v>935</v>
      </c>
      <c r="P206" t="s">
        <v>754</v>
      </c>
      <c r="Q206" t="s">
        <v>648</v>
      </c>
      <c r="R206" t="s">
        <v>1035</v>
      </c>
      <c r="S206">
        <v>20180529</v>
      </c>
      <c r="T206" t="s">
        <v>1163</v>
      </c>
      <c r="X206">
        <v>9</v>
      </c>
      <c r="Y206">
        <v>26480</v>
      </c>
      <c r="Z206">
        <v>-1402</v>
      </c>
      <c r="AA206" t="s">
        <v>605</v>
      </c>
      <c r="AB206">
        <v>20190225</v>
      </c>
      <c r="AE206">
        <f t="shared" si="3"/>
        <v>12370</v>
      </c>
      <c r="AF206">
        <v>0</v>
      </c>
      <c r="AG206">
        <v>15384</v>
      </c>
      <c r="AH206">
        <v>-3014</v>
      </c>
      <c r="AI206" s="121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12370</v>
      </c>
    </row>
    <row r="207" spans="1:41">
      <c r="A207">
        <v>201903</v>
      </c>
      <c r="B207">
        <v>25</v>
      </c>
      <c r="C207" t="s">
        <v>526</v>
      </c>
      <c r="D207">
        <v>3190427286481</v>
      </c>
      <c r="E207" t="s">
        <v>53</v>
      </c>
      <c r="F207" t="s">
        <v>597</v>
      </c>
      <c r="G207" t="s">
        <v>598</v>
      </c>
      <c r="H207" t="s">
        <v>599</v>
      </c>
      <c r="I207" t="s">
        <v>649</v>
      </c>
      <c r="J207" t="s">
        <v>649</v>
      </c>
      <c r="K207" t="s">
        <v>685</v>
      </c>
      <c r="L207" t="s">
        <v>709</v>
      </c>
      <c r="M207" t="s">
        <v>710</v>
      </c>
      <c r="N207" t="s">
        <v>1234</v>
      </c>
      <c r="P207" t="s">
        <v>603</v>
      </c>
      <c r="Q207" t="s">
        <v>648</v>
      </c>
      <c r="R207" t="s">
        <v>1029</v>
      </c>
      <c r="S207">
        <v>20180530</v>
      </c>
      <c r="T207" t="s">
        <v>1064</v>
      </c>
      <c r="V207">
        <v>35</v>
      </c>
      <c r="W207">
        <v>20</v>
      </c>
      <c r="X207">
        <v>10</v>
      </c>
      <c r="Y207">
        <v>48950</v>
      </c>
      <c r="AA207" t="s">
        <v>605</v>
      </c>
      <c r="AB207">
        <v>20190225</v>
      </c>
      <c r="AE207">
        <f t="shared" si="3"/>
        <v>41289</v>
      </c>
      <c r="AF207">
        <v>0</v>
      </c>
      <c r="AG207">
        <v>41289</v>
      </c>
      <c r="AH207">
        <v>0</v>
      </c>
      <c r="AI207" s="121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41289</v>
      </c>
    </row>
    <row r="208" spans="1:41">
      <c r="A208">
        <v>201903</v>
      </c>
      <c r="B208">
        <v>25</v>
      </c>
      <c r="C208" t="s">
        <v>526</v>
      </c>
      <c r="D208">
        <v>3190427497681</v>
      </c>
      <c r="E208" t="s">
        <v>53</v>
      </c>
      <c r="F208" t="s">
        <v>597</v>
      </c>
      <c r="G208" t="s">
        <v>598</v>
      </c>
      <c r="H208" t="s">
        <v>599</v>
      </c>
      <c r="I208" t="s">
        <v>649</v>
      </c>
      <c r="J208" t="s">
        <v>649</v>
      </c>
      <c r="K208" t="s">
        <v>685</v>
      </c>
      <c r="L208" t="s">
        <v>709</v>
      </c>
      <c r="M208" t="s">
        <v>710</v>
      </c>
      <c r="N208" t="s">
        <v>1234</v>
      </c>
      <c r="P208" t="s">
        <v>603</v>
      </c>
      <c r="Q208" t="s">
        <v>648</v>
      </c>
      <c r="R208" t="s">
        <v>989</v>
      </c>
      <c r="S208">
        <v>20180530</v>
      </c>
      <c r="T208" t="s">
        <v>831</v>
      </c>
      <c r="V208">
        <v>20</v>
      </c>
      <c r="W208">
        <v>20</v>
      </c>
      <c r="X208">
        <v>10</v>
      </c>
      <c r="Y208">
        <v>12500</v>
      </c>
      <c r="AA208" t="s">
        <v>605</v>
      </c>
      <c r="AB208">
        <v>20190225</v>
      </c>
      <c r="AE208">
        <f t="shared" si="3"/>
        <v>10150</v>
      </c>
      <c r="AF208">
        <v>0</v>
      </c>
      <c r="AG208">
        <v>10150</v>
      </c>
      <c r="AH208">
        <v>0</v>
      </c>
      <c r="AI208" s="121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10150</v>
      </c>
    </row>
    <row r="209" spans="1:41">
      <c r="A209">
        <v>201903</v>
      </c>
      <c r="B209">
        <v>25</v>
      </c>
      <c r="C209" t="s">
        <v>526</v>
      </c>
      <c r="D209">
        <v>3190431412201</v>
      </c>
      <c r="E209" t="s">
        <v>53</v>
      </c>
      <c r="F209" t="s">
        <v>597</v>
      </c>
      <c r="G209" t="s">
        <v>598</v>
      </c>
      <c r="H209" t="s">
        <v>599</v>
      </c>
      <c r="I209" t="s">
        <v>606</v>
      </c>
      <c r="L209" t="s">
        <v>600</v>
      </c>
      <c r="M209" t="s">
        <v>601</v>
      </c>
      <c r="N209" t="s">
        <v>986</v>
      </c>
      <c r="P209" t="s">
        <v>603</v>
      </c>
      <c r="Q209" t="s">
        <v>727</v>
      </c>
      <c r="R209" t="s">
        <v>1002</v>
      </c>
      <c r="S209">
        <v>20180622</v>
      </c>
      <c r="T209" t="s">
        <v>1120</v>
      </c>
      <c r="X209">
        <v>9</v>
      </c>
      <c r="Y209">
        <v>35000</v>
      </c>
      <c r="AA209" t="s">
        <v>605</v>
      </c>
      <c r="AB209">
        <v>20190220</v>
      </c>
      <c r="AE209">
        <f t="shared" si="3"/>
        <v>20335</v>
      </c>
      <c r="AF209">
        <v>0</v>
      </c>
      <c r="AG209">
        <v>20335</v>
      </c>
      <c r="AH209">
        <v>0</v>
      </c>
      <c r="AI209" s="121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20335</v>
      </c>
    </row>
    <row r="210" spans="1:41">
      <c r="A210">
        <v>201903</v>
      </c>
      <c r="B210">
        <v>25</v>
      </c>
      <c r="C210" t="s">
        <v>526</v>
      </c>
      <c r="D210">
        <v>3190431412781</v>
      </c>
      <c r="E210" t="s">
        <v>53</v>
      </c>
      <c r="F210" t="s">
        <v>597</v>
      </c>
      <c r="G210" t="s">
        <v>598</v>
      </c>
      <c r="H210" t="s">
        <v>599</v>
      </c>
      <c r="I210" t="s">
        <v>606</v>
      </c>
      <c r="L210" t="s">
        <v>600</v>
      </c>
      <c r="M210" t="s">
        <v>601</v>
      </c>
      <c r="N210" t="s">
        <v>986</v>
      </c>
      <c r="P210" t="s">
        <v>603</v>
      </c>
      <c r="Q210" t="s">
        <v>727</v>
      </c>
      <c r="R210" t="s">
        <v>1002</v>
      </c>
      <c r="S210">
        <v>20180622</v>
      </c>
      <c r="T210" t="s">
        <v>1121</v>
      </c>
      <c r="X210">
        <v>9</v>
      </c>
      <c r="Y210">
        <v>35000</v>
      </c>
      <c r="AA210" t="s">
        <v>605</v>
      </c>
      <c r="AB210">
        <v>20190211</v>
      </c>
      <c r="AE210">
        <f t="shared" si="3"/>
        <v>20335</v>
      </c>
      <c r="AF210">
        <v>0</v>
      </c>
      <c r="AG210">
        <v>20335</v>
      </c>
      <c r="AH210">
        <v>0</v>
      </c>
      <c r="AI210" s="121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20335</v>
      </c>
    </row>
    <row r="211" spans="1:41">
      <c r="A211">
        <v>201903</v>
      </c>
      <c r="B211">
        <v>25</v>
      </c>
      <c r="C211" t="s">
        <v>526</v>
      </c>
      <c r="D211">
        <v>3190431480151</v>
      </c>
      <c r="E211" t="s">
        <v>53</v>
      </c>
      <c r="F211" t="s">
        <v>597</v>
      </c>
      <c r="G211" t="s">
        <v>598</v>
      </c>
      <c r="H211" t="s">
        <v>599</v>
      </c>
      <c r="I211" t="s">
        <v>606</v>
      </c>
      <c r="J211" t="s">
        <v>606</v>
      </c>
      <c r="K211" t="s">
        <v>607</v>
      </c>
      <c r="L211" t="s">
        <v>614</v>
      </c>
      <c r="M211" t="s">
        <v>615</v>
      </c>
      <c r="N211" t="s">
        <v>1226</v>
      </c>
      <c r="P211" t="s">
        <v>603</v>
      </c>
      <c r="Q211" t="s">
        <v>648</v>
      </c>
      <c r="R211" t="s">
        <v>989</v>
      </c>
      <c r="S211">
        <v>20180627</v>
      </c>
      <c r="T211" t="s">
        <v>857</v>
      </c>
      <c r="X211">
        <v>9</v>
      </c>
      <c r="Y211">
        <v>18000</v>
      </c>
      <c r="AA211" t="s">
        <v>605</v>
      </c>
      <c r="AB211">
        <v>20190211</v>
      </c>
      <c r="AE211">
        <f t="shared" si="3"/>
        <v>14616</v>
      </c>
      <c r="AF211">
        <v>0</v>
      </c>
      <c r="AG211">
        <v>14616</v>
      </c>
      <c r="AH211">
        <v>0</v>
      </c>
      <c r="AI211" s="12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14616</v>
      </c>
    </row>
    <row r="212" spans="1:41">
      <c r="A212">
        <v>201903</v>
      </c>
      <c r="B212">
        <v>25</v>
      </c>
      <c r="C212" t="s">
        <v>526</v>
      </c>
      <c r="D212">
        <v>3190431522181</v>
      </c>
      <c r="E212" t="s">
        <v>53</v>
      </c>
      <c r="F212" t="s">
        <v>597</v>
      </c>
      <c r="G212" t="s">
        <v>598</v>
      </c>
      <c r="H212" t="s">
        <v>599</v>
      </c>
      <c r="I212" t="s">
        <v>661</v>
      </c>
      <c r="L212" t="s">
        <v>669</v>
      </c>
      <c r="M212" t="s">
        <v>670</v>
      </c>
      <c r="N212" t="s">
        <v>949</v>
      </c>
      <c r="P212" t="s">
        <v>603</v>
      </c>
      <c r="Q212" t="s">
        <v>648</v>
      </c>
      <c r="R212" t="s">
        <v>1029</v>
      </c>
      <c r="S212">
        <v>20180622</v>
      </c>
      <c r="T212" t="s">
        <v>852</v>
      </c>
      <c r="X212">
        <v>9</v>
      </c>
      <c r="Y212">
        <v>41000</v>
      </c>
      <c r="AA212" t="s">
        <v>605</v>
      </c>
      <c r="AB212">
        <v>20190220</v>
      </c>
      <c r="AE212">
        <f t="shared" si="3"/>
        <v>32000</v>
      </c>
      <c r="AF212">
        <v>0</v>
      </c>
      <c r="AG212">
        <v>32000</v>
      </c>
      <c r="AH212">
        <v>0</v>
      </c>
      <c r="AI212" s="121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32000</v>
      </c>
    </row>
    <row r="213" spans="1:41">
      <c r="A213">
        <v>201903</v>
      </c>
      <c r="B213">
        <v>25</v>
      </c>
      <c r="C213" t="s">
        <v>526</v>
      </c>
      <c r="D213">
        <v>3190432065051</v>
      </c>
      <c r="E213" t="s">
        <v>53</v>
      </c>
      <c r="F213" t="s">
        <v>597</v>
      </c>
      <c r="G213" t="s">
        <v>598</v>
      </c>
      <c r="H213" t="s">
        <v>599</v>
      </c>
      <c r="I213" t="s">
        <v>649</v>
      </c>
      <c r="J213" t="s">
        <v>649</v>
      </c>
      <c r="K213" t="s">
        <v>650</v>
      </c>
      <c r="L213" t="s">
        <v>657</v>
      </c>
      <c r="M213" t="s">
        <v>658</v>
      </c>
      <c r="N213" t="s">
        <v>932</v>
      </c>
      <c r="P213" t="s">
        <v>603</v>
      </c>
      <c r="Q213" t="s">
        <v>568</v>
      </c>
      <c r="R213" t="s">
        <v>983</v>
      </c>
      <c r="S213">
        <v>20180626</v>
      </c>
      <c r="T213" t="s">
        <v>975</v>
      </c>
      <c r="X213">
        <v>9</v>
      </c>
      <c r="Y213">
        <v>11492</v>
      </c>
      <c r="AA213" t="s">
        <v>605</v>
      </c>
      <c r="AB213">
        <v>20190220</v>
      </c>
      <c r="AE213">
        <f t="shared" si="3"/>
        <v>884</v>
      </c>
      <c r="AF213">
        <v>0</v>
      </c>
      <c r="AG213">
        <v>884</v>
      </c>
      <c r="AH213">
        <v>0</v>
      </c>
      <c r="AI213" s="121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884</v>
      </c>
    </row>
    <row r="214" spans="1:41">
      <c r="A214">
        <v>201903</v>
      </c>
      <c r="B214">
        <v>25</v>
      </c>
      <c r="C214" t="s">
        <v>526</v>
      </c>
      <c r="D214">
        <v>3190432137181</v>
      </c>
      <c r="E214" t="s">
        <v>53</v>
      </c>
      <c r="F214" t="s">
        <v>597</v>
      </c>
      <c r="G214" t="s">
        <v>598</v>
      </c>
      <c r="H214" t="s">
        <v>599</v>
      </c>
      <c r="I214" t="s">
        <v>606</v>
      </c>
      <c r="J214" t="s">
        <v>606</v>
      </c>
      <c r="K214" t="s">
        <v>607</v>
      </c>
      <c r="L214" t="s">
        <v>614</v>
      </c>
      <c r="M214" t="s">
        <v>615</v>
      </c>
      <c r="N214" t="s">
        <v>1226</v>
      </c>
      <c r="P214" t="s">
        <v>603</v>
      </c>
      <c r="Q214" t="s">
        <v>648</v>
      </c>
      <c r="R214" t="s">
        <v>989</v>
      </c>
      <c r="S214">
        <v>20180626</v>
      </c>
      <c r="T214" t="s">
        <v>1164</v>
      </c>
      <c r="X214">
        <v>9</v>
      </c>
      <c r="Y214">
        <v>15000</v>
      </c>
      <c r="AA214" t="s">
        <v>605</v>
      </c>
      <c r="AB214">
        <v>20190225</v>
      </c>
      <c r="AE214">
        <f t="shared" si="3"/>
        <v>12180</v>
      </c>
      <c r="AF214">
        <v>0</v>
      </c>
      <c r="AG214">
        <v>12180</v>
      </c>
      <c r="AH214">
        <v>0</v>
      </c>
      <c r="AI214" s="121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12180</v>
      </c>
    </row>
    <row r="215" spans="1:41">
      <c r="A215">
        <v>201903</v>
      </c>
      <c r="B215">
        <v>25</v>
      </c>
      <c r="C215" t="s">
        <v>526</v>
      </c>
      <c r="D215">
        <v>3190048754871</v>
      </c>
      <c r="E215" t="s">
        <v>53</v>
      </c>
      <c r="F215" t="s">
        <v>597</v>
      </c>
      <c r="G215" t="s">
        <v>598</v>
      </c>
      <c r="H215" t="s">
        <v>599</v>
      </c>
      <c r="I215" t="s">
        <v>702</v>
      </c>
      <c r="J215" t="s">
        <v>702</v>
      </c>
      <c r="K215" t="s">
        <v>703</v>
      </c>
      <c r="L215" t="s">
        <v>513</v>
      </c>
      <c r="M215" t="s">
        <v>512</v>
      </c>
      <c r="N215" t="s">
        <v>930</v>
      </c>
      <c r="P215" t="s">
        <v>603</v>
      </c>
      <c r="Q215" t="s">
        <v>648</v>
      </c>
      <c r="R215" t="s">
        <v>1047</v>
      </c>
      <c r="S215">
        <v>20160722</v>
      </c>
      <c r="T215" t="s">
        <v>1057</v>
      </c>
      <c r="X215">
        <v>32</v>
      </c>
      <c r="Y215">
        <v>61000</v>
      </c>
      <c r="AA215" t="s">
        <v>605</v>
      </c>
      <c r="AB215">
        <v>20190220</v>
      </c>
      <c r="AE215">
        <f t="shared" si="3"/>
        <v>0</v>
      </c>
      <c r="AF215">
        <v>0</v>
      </c>
      <c r="AG215">
        <v>0</v>
      </c>
      <c r="AH215">
        <v>0</v>
      </c>
      <c r="AI215" s="121">
        <v>305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305</v>
      </c>
    </row>
    <row r="216" spans="1:41">
      <c r="A216">
        <v>201903</v>
      </c>
      <c r="B216">
        <v>25</v>
      </c>
      <c r="C216" t="s">
        <v>526</v>
      </c>
      <c r="D216">
        <v>3190048917641</v>
      </c>
      <c r="E216" t="s">
        <v>53</v>
      </c>
      <c r="F216" t="s">
        <v>597</v>
      </c>
      <c r="G216" t="s">
        <v>598</v>
      </c>
      <c r="H216" t="s">
        <v>599</v>
      </c>
      <c r="I216" t="s">
        <v>702</v>
      </c>
      <c r="J216" t="s">
        <v>702</v>
      </c>
      <c r="K216" t="s">
        <v>703</v>
      </c>
      <c r="L216" t="s">
        <v>513</v>
      </c>
      <c r="M216" t="s">
        <v>512</v>
      </c>
      <c r="N216" t="s">
        <v>930</v>
      </c>
      <c r="P216" t="s">
        <v>603</v>
      </c>
      <c r="Q216" t="s">
        <v>648</v>
      </c>
      <c r="R216" t="s">
        <v>1047</v>
      </c>
      <c r="S216">
        <v>20160725</v>
      </c>
      <c r="T216" t="s">
        <v>1058</v>
      </c>
      <c r="X216">
        <v>32</v>
      </c>
      <c r="Y216">
        <v>23000</v>
      </c>
      <c r="AA216" t="s">
        <v>605</v>
      </c>
      <c r="AB216">
        <v>20190228</v>
      </c>
      <c r="AE216">
        <f t="shared" si="3"/>
        <v>0</v>
      </c>
      <c r="AF216">
        <v>0</v>
      </c>
      <c r="AG216">
        <v>0</v>
      </c>
      <c r="AH216">
        <v>0</v>
      </c>
      <c r="AI216" s="121">
        <v>230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230</v>
      </c>
    </row>
    <row r="217" spans="1:41">
      <c r="A217">
        <v>201903</v>
      </c>
      <c r="B217">
        <v>25</v>
      </c>
      <c r="C217" t="s">
        <v>526</v>
      </c>
      <c r="D217">
        <v>3190048924181</v>
      </c>
      <c r="E217" t="s">
        <v>53</v>
      </c>
      <c r="F217" t="s">
        <v>597</v>
      </c>
      <c r="G217" t="s">
        <v>598</v>
      </c>
      <c r="H217" t="s">
        <v>599</v>
      </c>
      <c r="I217" t="s">
        <v>702</v>
      </c>
      <c r="J217" t="s">
        <v>702</v>
      </c>
      <c r="K217" t="s">
        <v>703</v>
      </c>
      <c r="L217" t="s">
        <v>513</v>
      </c>
      <c r="M217" t="s">
        <v>512</v>
      </c>
      <c r="N217" t="s">
        <v>930</v>
      </c>
      <c r="P217" t="s">
        <v>603</v>
      </c>
      <c r="Q217" t="s">
        <v>648</v>
      </c>
      <c r="R217" t="s">
        <v>1047</v>
      </c>
      <c r="S217">
        <v>20160722</v>
      </c>
      <c r="T217" t="s">
        <v>1057</v>
      </c>
      <c r="X217">
        <v>32</v>
      </c>
      <c r="Y217">
        <v>20000</v>
      </c>
      <c r="AA217" t="s">
        <v>605</v>
      </c>
      <c r="AB217">
        <v>20190220</v>
      </c>
      <c r="AE217">
        <f t="shared" si="3"/>
        <v>0</v>
      </c>
      <c r="AF217">
        <v>0</v>
      </c>
      <c r="AG217">
        <v>0</v>
      </c>
      <c r="AH217">
        <v>0</v>
      </c>
      <c r="AI217" s="121">
        <v>100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100</v>
      </c>
    </row>
    <row r="218" spans="1:41">
      <c r="A218">
        <v>201903</v>
      </c>
      <c r="B218">
        <v>25</v>
      </c>
      <c r="C218" t="s">
        <v>526</v>
      </c>
      <c r="D218">
        <v>3190048927561</v>
      </c>
      <c r="E218" t="s">
        <v>53</v>
      </c>
      <c r="F218" t="s">
        <v>597</v>
      </c>
      <c r="G218" t="s">
        <v>598</v>
      </c>
      <c r="H218" t="s">
        <v>599</v>
      </c>
      <c r="I218" t="s">
        <v>702</v>
      </c>
      <c r="J218" t="s">
        <v>702</v>
      </c>
      <c r="K218" t="s">
        <v>703</v>
      </c>
      <c r="L218" t="s">
        <v>513</v>
      </c>
      <c r="M218" t="s">
        <v>512</v>
      </c>
      <c r="N218" t="s">
        <v>930</v>
      </c>
      <c r="P218" t="s">
        <v>603</v>
      </c>
      <c r="Q218" t="s">
        <v>648</v>
      </c>
      <c r="R218" t="s">
        <v>1047</v>
      </c>
      <c r="S218">
        <v>20160722</v>
      </c>
      <c r="T218" t="s">
        <v>1059</v>
      </c>
      <c r="X218">
        <v>32</v>
      </c>
      <c r="Y218">
        <v>30000</v>
      </c>
      <c r="AA218" t="s">
        <v>605</v>
      </c>
      <c r="AB218">
        <v>20190220</v>
      </c>
      <c r="AE218">
        <f t="shared" si="3"/>
        <v>0</v>
      </c>
      <c r="AF218">
        <v>0</v>
      </c>
      <c r="AG218">
        <v>0</v>
      </c>
      <c r="AH218">
        <v>0</v>
      </c>
      <c r="AI218" s="121">
        <v>150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150</v>
      </c>
    </row>
    <row r="219" spans="1:41">
      <c r="A219">
        <v>201903</v>
      </c>
      <c r="B219">
        <v>25</v>
      </c>
      <c r="C219" t="s">
        <v>526</v>
      </c>
      <c r="D219">
        <v>3190049100461</v>
      </c>
      <c r="E219" t="s">
        <v>53</v>
      </c>
      <c r="F219" t="s">
        <v>597</v>
      </c>
      <c r="G219" t="s">
        <v>598</v>
      </c>
      <c r="H219" t="s">
        <v>599</v>
      </c>
      <c r="I219" t="s">
        <v>702</v>
      </c>
      <c r="J219" t="s">
        <v>702</v>
      </c>
      <c r="K219" t="s">
        <v>703</v>
      </c>
      <c r="L219" t="s">
        <v>513</v>
      </c>
      <c r="M219" t="s">
        <v>512</v>
      </c>
      <c r="N219" t="s">
        <v>930</v>
      </c>
      <c r="P219" t="s">
        <v>603</v>
      </c>
      <c r="Q219" t="s">
        <v>648</v>
      </c>
      <c r="R219" t="s">
        <v>1037</v>
      </c>
      <c r="S219">
        <v>20160725</v>
      </c>
      <c r="T219" t="s">
        <v>825</v>
      </c>
      <c r="X219">
        <v>32</v>
      </c>
      <c r="Y219">
        <v>103000</v>
      </c>
      <c r="AA219" t="s">
        <v>605</v>
      </c>
      <c r="AB219">
        <v>20190225</v>
      </c>
      <c r="AE219">
        <f t="shared" si="3"/>
        <v>0</v>
      </c>
      <c r="AF219">
        <v>0</v>
      </c>
      <c r="AG219">
        <v>0</v>
      </c>
      <c r="AH219">
        <v>0</v>
      </c>
      <c r="AI219" s="121">
        <v>772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772</v>
      </c>
    </row>
    <row r="220" spans="1:41">
      <c r="A220">
        <v>201903</v>
      </c>
      <c r="B220">
        <v>25</v>
      </c>
      <c r="C220" t="s">
        <v>526</v>
      </c>
      <c r="D220">
        <v>3190049243791</v>
      </c>
      <c r="E220" t="s">
        <v>53</v>
      </c>
      <c r="F220" t="s">
        <v>597</v>
      </c>
      <c r="G220" t="s">
        <v>598</v>
      </c>
      <c r="H220" t="s">
        <v>599</v>
      </c>
      <c r="I220" t="s">
        <v>702</v>
      </c>
      <c r="J220" t="s">
        <v>702</v>
      </c>
      <c r="K220" t="s">
        <v>703</v>
      </c>
      <c r="L220" t="s">
        <v>513</v>
      </c>
      <c r="M220" t="s">
        <v>512</v>
      </c>
      <c r="N220" t="s">
        <v>930</v>
      </c>
      <c r="P220" t="s">
        <v>603</v>
      </c>
      <c r="Q220" t="s">
        <v>648</v>
      </c>
      <c r="R220" t="s">
        <v>1047</v>
      </c>
      <c r="S220">
        <v>20160726</v>
      </c>
      <c r="T220" t="s">
        <v>1072</v>
      </c>
      <c r="X220">
        <v>32</v>
      </c>
      <c r="Y220">
        <v>20000</v>
      </c>
      <c r="AA220" t="s">
        <v>605</v>
      </c>
      <c r="AB220">
        <v>20190220</v>
      </c>
      <c r="AE220">
        <f t="shared" si="3"/>
        <v>0</v>
      </c>
      <c r="AF220">
        <v>0</v>
      </c>
      <c r="AG220">
        <v>0</v>
      </c>
      <c r="AH220">
        <v>0</v>
      </c>
      <c r="AI220" s="121">
        <v>100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100</v>
      </c>
    </row>
    <row r="221" spans="1:41">
      <c r="A221">
        <v>201903</v>
      </c>
      <c r="B221">
        <v>25</v>
      </c>
      <c r="C221" t="s">
        <v>526</v>
      </c>
      <c r="D221">
        <v>3190049585211</v>
      </c>
      <c r="E221" t="s">
        <v>53</v>
      </c>
      <c r="F221" t="s">
        <v>597</v>
      </c>
      <c r="G221" t="s">
        <v>598</v>
      </c>
      <c r="H221" t="s">
        <v>599</v>
      </c>
      <c r="I221" t="s">
        <v>606</v>
      </c>
      <c r="J221" t="s">
        <v>606</v>
      </c>
      <c r="K221" t="s">
        <v>607</v>
      </c>
      <c r="L221" t="s">
        <v>608</v>
      </c>
      <c r="M221" t="s">
        <v>609</v>
      </c>
      <c r="N221" t="s">
        <v>943</v>
      </c>
      <c r="P221" t="s">
        <v>603</v>
      </c>
      <c r="Q221" t="s">
        <v>648</v>
      </c>
      <c r="R221" t="s">
        <v>1047</v>
      </c>
      <c r="S221">
        <v>20160801</v>
      </c>
      <c r="T221" t="s">
        <v>1152</v>
      </c>
      <c r="X221">
        <v>31</v>
      </c>
      <c r="Y221">
        <v>30000</v>
      </c>
      <c r="AA221" t="s">
        <v>605</v>
      </c>
      <c r="AB221">
        <v>20190225</v>
      </c>
      <c r="AE221">
        <f t="shared" si="3"/>
        <v>0</v>
      </c>
      <c r="AF221">
        <v>0</v>
      </c>
      <c r="AG221">
        <v>0</v>
      </c>
      <c r="AH221">
        <v>0</v>
      </c>
      <c r="AI221" s="121">
        <v>150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150</v>
      </c>
    </row>
    <row r="222" spans="1:41">
      <c r="A222">
        <v>201903</v>
      </c>
      <c r="B222">
        <v>25</v>
      </c>
      <c r="C222" t="s">
        <v>526</v>
      </c>
      <c r="D222">
        <v>3190049847921</v>
      </c>
      <c r="E222" t="s">
        <v>53</v>
      </c>
      <c r="F222" t="s">
        <v>597</v>
      </c>
      <c r="G222" t="s">
        <v>598</v>
      </c>
      <c r="H222" t="s">
        <v>599</v>
      </c>
      <c r="I222" t="s">
        <v>702</v>
      </c>
      <c r="J222" t="s">
        <v>702</v>
      </c>
      <c r="K222" t="s">
        <v>703</v>
      </c>
      <c r="L222" t="s">
        <v>513</v>
      </c>
      <c r="M222" t="s">
        <v>512</v>
      </c>
      <c r="N222" t="s">
        <v>930</v>
      </c>
      <c r="P222" t="s">
        <v>603</v>
      </c>
      <c r="Q222" t="s">
        <v>648</v>
      </c>
      <c r="R222" t="s">
        <v>1037</v>
      </c>
      <c r="S222">
        <v>20160805</v>
      </c>
      <c r="T222" t="s">
        <v>847</v>
      </c>
      <c r="X222">
        <v>31</v>
      </c>
      <c r="Y222">
        <v>112000</v>
      </c>
      <c r="AA222" t="s">
        <v>605</v>
      </c>
      <c r="AB222">
        <v>20190220</v>
      </c>
      <c r="AE222">
        <f t="shared" si="3"/>
        <v>0</v>
      </c>
      <c r="AF222">
        <v>0</v>
      </c>
      <c r="AG222">
        <v>0</v>
      </c>
      <c r="AH222">
        <v>0</v>
      </c>
      <c r="AI222" s="121">
        <v>840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840</v>
      </c>
    </row>
    <row r="223" spans="1:41">
      <c r="A223">
        <v>201903</v>
      </c>
      <c r="B223">
        <v>25</v>
      </c>
      <c r="C223" t="s">
        <v>526</v>
      </c>
      <c r="D223">
        <v>3190049848351</v>
      </c>
      <c r="E223" t="s">
        <v>53</v>
      </c>
      <c r="F223" t="s">
        <v>597</v>
      </c>
      <c r="G223" t="s">
        <v>598</v>
      </c>
      <c r="H223" t="s">
        <v>599</v>
      </c>
      <c r="I223" t="s">
        <v>702</v>
      </c>
      <c r="J223" t="s">
        <v>702</v>
      </c>
      <c r="K223" t="s">
        <v>703</v>
      </c>
      <c r="L223" t="s">
        <v>513</v>
      </c>
      <c r="M223" t="s">
        <v>512</v>
      </c>
      <c r="N223" t="s">
        <v>930</v>
      </c>
      <c r="P223" t="s">
        <v>603</v>
      </c>
      <c r="Q223" t="s">
        <v>648</v>
      </c>
      <c r="R223" t="s">
        <v>1037</v>
      </c>
      <c r="S223">
        <v>20160805</v>
      </c>
      <c r="T223" t="s">
        <v>847</v>
      </c>
      <c r="X223">
        <v>31</v>
      </c>
      <c r="Y223">
        <v>170000</v>
      </c>
      <c r="AA223" t="s">
        <v>605</v>
      </c>
      <c r="AB223">
        <v>20190220</v>
      </c>
      <c r="AE223">
        <f t="shared" si="3"/>
        <v>0</v>
      </c>
      <c r="AF223">
        <v>0</v>
      </c>
      <c r="AG223">
        <v>0</v>
      </c>
      <c r="AH223">
        <v>0</v>
      </c>
      <c r="AI223" s="121">
        <v>1275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1275</v>
      </c>
    </row>
    <row r="224" spans="1:41">
      <c r="A224">
        <v>201903</v>
      </c>
      <c r="B224">
        <v>25</v>
      </c>
      <c r="C224" t="s">
        <v>526</v>
      </c>
      <c r="D224">
        <v>3190050042861</v>
      </c>
      <c r="E224" t="s">
        <v>53</v>
      </c>
      <c r="F224" t="s">
        <v>597</v>
      </c>
      <c r="G224" t="s">
        <v>598</v>
      </c>
      <c r="H224" t="s">
        <v>599</v>
      </c>
      <c r="I224" t="s">
        <v>702</v>
      </c>
      <c r="J224" t="s">
        <v>702</v>
      </c>
      <c r="K224" t="s">
        <v>703</v>
      </c>
      <c r="L224" t="s">
        <v>513</v>
      </c>
      <c r="M224" t="s">
        <v>512</v>
      </c>
      <c r="N224" t="s">
        <v>930</v>
      </c>
      <c r="P224" t="s">
        <v>603</v>
      </c>
      <c r="Q224" t="s">
        <v>648</v>
      </c>
      <c r="R224" t="s">
        <v>1047</v>
      </c>
      <c r="S224">
        <v>20160805</v>
      </c>
      <c r="T224" t="s">
        <v>862</v>
      </c>
      <c r="X224">
        <v>31</v>
      </c>
      <c r="Y224">
        <v>30000</v>
      </c>
      <c r="AA224" t="s">
        <v>605</v>
      </c>
      <c r="AB224">
        <v>20190225</v>
      </c>
      <c r="AE224">
        <f t="shared" si="3"/>
        <v>0</v>
      </c>
      <c r="AF224">
        <v>0</v>
      </c>
      <c r="AG224">
        <v>0</v>
      </c>
      <c r="AH224">
        <v>0</v>
      </c>
      <c r="AI224" s="121">
        <v>150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150</v>
      </c>
    </row>
    <row r="225" spans="1:41">
      <c r="A225">
        <v>201903</v>
      </c>
      <c r="B225">
        <v>25</v>
      </c>
      <c r="C225" t="s">
        <v>526</v>
      </c>
      <c r="D225">
        <v>3190050044541</v>
      </c>
      <c r="E225" t="s">
        <v>53</v>
      </c>
      <c r="F225" t="s">
        <v>597</v>
      </c>
      <c r="G225" t="s">
        <v>598</v>
      </c>
      <c r="H225" t="s">
        <v>599</v>
      </c>
      <c r="I225" t="s">
        <v>606</v>
      </c>
      <c r="J225" t="s">
        <v>606</v>
      </c>
      <c r="K225" t="s">
        <v>607</v>
      </c>
      <c r="L225" t="s">
        <v>641</v>
      </c>
      <c r="M225" t="s">
        <v>642</v>
      </c>
      <c r="N225" t="s">
        <v>955</v>
      </c>
      <c r="P225" t="s">
        <v>603</v>
      </c>
      <c r="Q225" t="s">
        <v>648</v>
      </c>
      <c r="R225" t="s">
        <v>1047</v>
      </c>
      <c r="S225">
        <v>20160805</v>
      </c>
      <c r="T225" t="s">
        <v>1183</v>
      </c>
      <c r="X225">
        <v>31</v>
      </c>
      <c r="Y225">
        <v>39000</v>
      </c>
      <c r="AA225" t="s">
        <v>605</v>
      </c>
      <c r="AB225">
        <v>20190225</v>
      </c>
      <c r="AE225">
        <f t="shared" si="3"/>
        <v>0</v>
      </c>
      <c r="AF225">
        <v>0</v>
      </c>
      <c r="AG225">
        <v>0</v>
      </c>
      <c r="AH225">
        <v>0</v>
      </c>
      <c r="AI225" s="121">
        <v>195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195</v>
      </c>
    </row>
    <row r="226" spans="1:41">
      <c r="A226">
        <v>201903</v>
      </c>
      <c r="B226">
        <v>25</v>
      </c>
      <c r="C226" t="s">
        <v>526</v>
      </c>
      <c r="D226">
        <v>3190050399981</v>
      </c>
      <c r="E226" t="s">
        <v>53</v>
      </c>
      <c r="F226" t="s">
        <v>597</v>
      </c>
      <c r="G226" t="s">
        <v>598</v>
      </c>
      <c r="H226" t="s">
        <v>599</v>
      </c>
      <c r="I226" t="s">
        <v>606</v>
      </c>
      <c r="J226" t="s">
        <v>606</v>
      </c>
      <c r="K226" t="s">
        <v>607</v>
      </c>
      <c r="L226" t="s">
        <v>614</v>
      </c>
      <c r="M226" t="s">
        <v>615</v>
      </c>
      <c r="N226" t="s">
        <v>1226</v>
      </c>
      <c r="P226" t="s">
        <v>603</v>
      </c>
      <c r="Q226" t="s">
        <v>648</v>
      </c>
      <c r="R226" t="s">
        <v>1047</v>
      </c>
      <c r="S226">
        <v>20160812</v>
      </c>
      <c r="T226" t="s">
        <v>903</v>
      </c>
      <c r="X226">
        <v>31</v>
      </c>
      <c r="Y226">
        <v>44000</v>
      </c>
      <c r="AA226" t="s">
        <v>605</v>
      </c>
      <c r="AB226">
        <v>20190225</v>
      </c>
      <c r="AE226">
        <f t="shared" si="3"/>
        <v>0</v>
      </c>
      <c r="AF226">
        <v>0</v>
      </c>
      <c r="AG226">
        <v>0</v>
      </c>
      <c r="AH226">
        <v>0</v>
      </c>
      <c r="AI226" s="121">
        <v>220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220</v>
      </c>
    </row>
    <row r="227" spans="1:41">
      <c r="A227">
        <v>201903</v>
      </c>
      <c r="B227">
        <v>25</v>
      </c>
      <c r="C227" t="s">
        <v>526</v>
      </c>
      <c r="D227">
        <v>3190488077841</v>
      </c>
      <c r="E227" t="s">
        <v>53</v>
      </c>
      <c r="F227" t="s">
        <v>690</v>
      </c>
      <c r="G227" t="s">
        <v>598</v>
      </c>
      <c r="H227" t="s">
        <v>599</v>
      </c>
      <c r="I227" t="s">
        <v>661</v>
      </c>
      <c r="J227" t="s">
        <v>661</v>
      </c>
      <c r="K227" t="s">
        <v>662</v>
      </c>
      <c r="L227" t="s">
        <v>698</v>
      </c>
      <c r="M227" t="s">
        <v>699</v>
      </c>
      <c r="N227" t="s">
        <v>964</v>
      </c>
      <c r="P227" t="s">
        <v>691</v>
      </c>
      <c r="Q227" t="s">
        <v>648</v>
      </c>
      <c r="R227" t="s">
        <v>1182</v>
      </c>
      <c r="S227">
        <v>20190201</v>
      </c>
      <c r="T227" t="s">
        <v>830</v>
      </c>
      <c r="X227">
        <v>1</v>
      </c>
      <c r="Y227">
        <v>31500</v>
      </c>
      <c r="Z227">
        <v>52290</v>
      </c>
      <c r="AA227" t="s">
        <v>605</v>
      </c>
      <c r="AB227">
        <v>20190201</v>
      </c>
      <c r="AE227">
        <f t="shared" si="3"/>
        <v>112423</v>
      </c>
      <c r="AF227">
        <v>112423</v>
      </c>
      <c r="AG227">
        <v>0</v>
      </c>
      <c r="AH227">
        <v>0</v>
      </c>
      <c r="AI227" s="121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112423</v>
      </c>
    </row>
    <row r="228" spans="1:41">
      <c r="A228">
        <v>201903</v>
      </c>
      <c r="B228">
        <v>25</v>
      </c>
      <c r="C228" t="s">
        <v>526</v>
      </c>
      <c r="D228">
        <v>3190488280321</v>
      </c>
      <c r="E228" t="s">
        <v>53</v>
      </c>
      <c r="F228" t="s">
        <v>690</v>
      </c>
      <c r="G228" t="s">
        <v>598</v>
      </c>
      <c r="H228" t="s">
        <v>599</v>
      </c>
      <c r="I228" t="s">
        <v>674</v>
      </c>
      <c r="L228" t="s">
        <v>705</v>
      </c>
      <c r="M228" t="s">
        <v>706</v>
      </c>
      <c r="N228" t="s">
        <v>966</v>
      </c>
      <c r="P228" t="s">
        <v>691</v>
      </c>
      <c r="Q228" t="s">
        <v>648</v>
      </c>
      <c r="R228" t="s">
        <v>984</v>
      </c>
      <c r="S228">
        <v>20190220</v>
      </c>
      <c r="T228" t="s">
        <v>1159</v>
      </c>
      <c r="X228">
        <v>1</v>
      </c>
      <c r="Y228">
        <v>28800</v>
      </c>
      <c r="Z228">
        <v>67953</v>
      </c>
      <c r="AA228" t="s">
        <v>605</v>
      </c>
      <c r="AB228">
        <v>20190220</v>
      </c>
      <c r="AE228">
        <f t="shared" si="3"/>
        <v>146098</v>
      </c>
      <c r="AF228">
        <v>146098</v>
      </c>
      <c r="AG228">
        <v>0</v>
      </c>
      <c r="AH228">
        <v>0</v>
      </c>
      <c r="AI228" s="121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146098</v>
      </c>
    </row>
    <row r="229" spans="1:41">
      <c r="A229">
        <v>201903</v>
      </c>
      <c r="B229">
        <v>25</v>
      </c>
      <c r="C229" t="s">
        <v>526</v>
      </c>
      <c r="D229">
        <v>3190488879191</v>
      </c>
      <c r="E229" t="s">
        <v>53</v>
      </c>
      <c r="F229" t="s">
        <v>690</v>
      </c>
      <c r="G229" t="s">
        <v>598</v>
      </c>
      <c r="H229" t="s">
        <v>599</v>
      </c>
      <c r="I229" t="s">
        <v>719</v>
      </c>
      <c r="J229" t="s">
        <v>720</v>
      </c>
      <c r="L229" t="s">
        <v>721</v>
      </c>
      <c r="M229" t="s">
        <v>722</v>
      </c>
      <c r="N229" t="s">
        <v>977</v>
      </c>
      <c r="P229" t="s">
        <v>691</v>
      </c>
      <c r="Q229" t="s">
        <v>648</v>
      </c>
      <c r="R229" t="s">
        <v>1012</v>
      </c>
      <c r="S229">
        <v>20190208</v>
      </c>
      <c r="T229" t="s">
        <v>770</v>
      </c>
      <c r="V229">
        <v>0</v>
      </c>
      <c r="W229">
        <v>0</v>
      </c>
      <c r="X229">
        <v>1</v>
      </c>
      <c r="Y229">
        <v>38700</v>
      </c>
      <c r="Z229">
        <v>45279</v>
      </c>
      <c r="AA229" t="s">
        <v>605</v>
      </c>
      <c r="AB229">
        <v>20190208</v>
      </c>
      <c r="AE229">
        <f t="shared" si="3"/>
        <v>97349</v>
      </c>
      <c r="AF229">
        <v>97349</v>
      </c>
      <c r="AG229">
        <v>0</v>
      </c>
      <c r="AH229">
        <v>0</v>
      </c>
      <c r="AI229" s="121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97349</v>
      </c>
    </row>
    <row r="230" spans="1:41">
      <c r="A230">
        <v>201903</v>
      </c>
      <c r="B230">
        <v>25</v>
      </c>
      <c r="C230" t="s">
        <v>526</v>
      </c>
      <c r="D230">
        <v>3190488967071</v>
      </c>
      <c r="E230" t="s">
        <v>53</v>
      </c>
      <c r="F230" t="s">
        <v>690</v>
      </c>
      <c r="G230" t="s">
        <v>598</v>
      </c>
      <c r="H230" t="s">
        <v>599</v>
      </c>
      <c r="I230" t="s">
        <v>661</v>
      </c>
      <c r="L230" t="s">
        <v>669</v>
      </c>
      <c r="M230" t="s">
        <v>670</v>
      </c>
      <c r="N230" t="s">
        <v>949</v>
      </c>
      <c r="P230" t="s">
        <v>691</v>
      </c>
      <c r="Q230" t="s">
        <v>568</v>
      </c>
      <c r="R230" t="s">
        <v>1013</v>
      </c>
      <c r="S230">
        <v>20190208</v>
      </c>
      <c r="T230" t="s">
        <v>1014</v>
      </c>
      <c r="X230">
        <v>1</v>
      </c>
      <c r="Y230">
        <v>12182</v>
      </c>
      <c r="Z230">
        <v>2680</v>
      </c>
      <c r="AA230" t="s">
        <v>605</v>
      </c>
      <c r="AB230">
        <v>20190208</v>
      </c>
      <c r="AE230">
        <f t="shared" si="3"/>
        <v>5762</v>
      </c>
      <c r="AF230">
        <v>5762</v>
      </c>
      <c r="AG230">
        <v>0</v>
      </c>
      <c r="AH230">
        <v>0</v>
      </c>
      <c r="AI230" s="121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5762</v>
      </c>
    </row>
    <row r="231" spans="1:41">
      <c r="A231">
        <v>201903</v>
      </c>
      <c r="B231">
        <v>25</v>
      </c>
      <c r="C231" t="s">
        <v>526</v>
      </c>
      <c r="D231">
        <v>3190489004801</v>
      </c>
      <c r="E231" t="s">
        <v>53</v>
      </c>
      <c r="F231" t="s">
        <v>690</v>
      </c>
      <c r="G231" t="s">
        <v>598</v>
      </c>
      <c r="H231" t="s">
        <v>599</v>
      </c>
      <c r="I231" t="s">
        <v>661</v>
      </c>
      <c r="L231" t="s">
        <v>669</v>
      </c>
      <c r="M231" t="s">
        <v>670</v>
      </c>
      <c r="N231" t="s">
        <v>949</v>
      </c>
      <c r="P231" t="s">
        <v>691</v>
      </c>
      <c r="Q231" t="s">
        <v>648</v>
      </c>
      <c r="R231" t="s">
        <v>985</v>
      </c>
      <c r="S231">
        <v>20190208</v>
      </c>
      <c r="T231" t="s">
        <v>1014</v>
      </c>
      <c r="X231">
        <v>1</v>
      </c>
      <c r="Y231">
        <v>111012</v>
      </c>
      <c r="Z231">
        <v>261988</v>
      </c>
      <c r="AA231" t="s">
        <v>605</v>
      </c>
      <c r="AB231">
        <v>20190208</v>
      </c>
      <c r="AE231">
        <f t="shared" si="3"/>
        <v>563274</v>
      </c>
      <c r="AF231">
        <v>563274</v>
      </c>
      <c r="AG231">
        <v>0</v>
      </c>
      <c r="AH231">
        <v>0</v>
      </c>
      <c r="AI231" s="12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563274</v>
      </c>
    </row>
    <row r="232" spans="1:41">
      <c r="A232">
        <v>201903</v>
      </c>
      <c r="B232">
        <v>25</v>
      </c>
      <c r="C232" t="s">
        <v>526</v>
      </c>
      <c r="D232">
        <v>3190489585011</v>
      </c>
      <c r="E232" t="s">
        <v>53</v>
      </c>
      <c r="F232" t="s">
        <v>690</v>
      </c>
      <c r="G232" t="s">
        <v>598</v>
      </c>
      <c r="H232" t="s">
        <v>599</v>
      </c>
      <c r="I232" t="s">
        <v>674</v>
      </c>
      <c r="L232" t="s">
        <v>705</v>
      </c>
      <c r="M232" t="s">
        <v>706</v>
      </c>
      <c r="N232" t="s">
        <v>966</v>
      </c>
      <c r="P232" t="s">
        <v>691</v>
      </c>
      <c r="Q232" t="s">
        <v>648</v>
      </c>
      <c r="R232" t="s">
        <v>984</v>
      </c>
      <c r="S232">
        <v>20190212</v>
      </c>
      <c r="T232" t="s">
        <v>812</v>
      </c>
      <c r="X232">
        <v>1</v>
      </c>
      <c r="Y232">
        <v>20100</v>
      </c>
      <c r="Z232">
        <v>47382</v>
      </c>
      <c r="AA232" t="s">
        <v>605</v>
      </c>
      <c r="AB232">
        <v>20190212</v>
      </c>
      <c r="AE232">
        <f t="shared" si="3"/>
        <v>101871</v>
      </c>
      <c r="AF232">
        <v>101871</v>
      </c>
      <c r="AG232">
        <v>0</v>
      </c>
      <c r="AH232">
        <v>0</v>
      </c>
      <c r="AI232" s="121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101871</v>
      </c>
    </row>
    <row r="233" spans="1:41">
      <c r="A233">
        <v>201903</v>
      </c>
      <c r="B233">
        <v>25</v>
      </c>
      <c r="C233" t="s">
        <v>526</v>
      </c>
      <c r="D233">
        <v>3190490199001</v>
      </c>
      <c r="E233" t="s">
        <v>53</v>
      </c>
      <c r="F233" t="s">
        <v>690</v>
      </c>
      <c r="G233" t="s">
        <v>598</v>
      </c>
      <c r="H233" t="s">
        <v>599</v>
      </c>
      <c r="I233" t="s">
        <v>661</v>
      </c>
      <c r="J233" t="s">
        <v>661</v>
      </c>
      <c r="K233" t="s">
        <v>662</v>
      </c>
      <c r="L233" t="s">
        <v>679</v>
      </c>
      <c r="M233" t="s">
        <v>680</v>
      </c>
      <c r="N233" t="s">
        <v>974</v>
      </c>
      <c r="P233" t="s">
        <v>691</v>
      </c>
      <c r="Q233" t="s">
        <v>648</v>
      </c>
      <c r="R233" t="s">
        <v>985</v>
      </c>
      <c r="S233">
        <v>20190214</v>
      </c>
      <c r="T233" t="s">
        <v>837</v>
      </c>
      <c r="X233">
        <v>1</v>
      </c>
      <c r="Y233">
        <v>54566</v>
      </c>
      <c r="Z233">
        <v>128776</v>
      </c>
      <c r="AA233" t="s">
        <v>605</v>
      </c>
      <c r="AB233">
        <v>20190214</v>
      </c>
      <c r="AE233">
        <f t="shared" si="3"/>
        <v>276868</v>
      </c>
      <c r="AF233">
        <v>276868</v>
      </c>
      <c r="AG233">
        <v>0</v>
      </c>
      <c r="AH233">
        <v>0</v>
      </c>
      <c r="AI233" s="121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276868</v>
      </c>
    </row>
    <row r="234" spans="1:41">
      <c r="A234">
        <v>201903</v>
      </c>
      <c r="B234">
        <v>25</v>
      </c>
      <c r="C234" t="s">
        <v>526</v>
      </c>
      <c r="D234">
        <v>3190490232631</v>
      </c>
      <c r="E234" t="s">
        <v>53</v>
      </c>
      <c r="F234" t="s">
        <v>690</v>
      </c>
      <c r="G234" t="s">
        <v>598</v>
      </c>
      <c r="H234" t="s">
        <v>599</v>
      </c>
      <c r="I234" t="s">
        <v>674</v>
      </c>
      <c r="J234" t="s">
        <v>1165</v>
      </c>
      <c r="L234" t="s">
        <v>696</v>
      </c>
      <c r="M234" t="s">
        <v>697</v>
      </c>
      <c r="N234" t="s">
        <v>1022</v>
      </c>
      <c r="P234" t="s">
        <v>691</v>
      </c>
      <c r="Q234" t="s">
        <v>648</v>
      </c>
      <c r="R234" t="s">
        <v>984</v>
      </c>
      <c r="S234">
        <v>20190213</v>
      </c>
      <c r="T234" t="s">
        <v>818</v>
      </c>
      <c r="X234">
        <v>1</v>
      </c>
      <c r="Y234">
        <v>25000</v>
      </c>
      <c r="Z234">
        <v>58917</v>
      </c>
      <c r="AA234" t="s">
        <v>605</v>
      </c>
      <c r="AB234">
        <v>20190213</v>
      </c>
      <c r="AE234">
        <f t="shared" si="3"/>
        <v>126671</v>
      </c>
      <c r="AF234">
        <v>126671</v>
      </c>
      <c r="AG234">
        <v>0</v>
      </c>
      <c r="AH234">
        <v>0</v>
      </c>
      <c r="AI234" s="121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126671</v>
      </c>
    </row>
    <row r="235" spans="1:41">
      <c r="A235">
        <v>201903</v>
      </c>
      <c r="B235">
        <v>25</v>
      </c>
      <c r="C235" t="s">
        <v>526</v>
      </c>
      <c r="D235">
        <v>3190490268051</v>
      </c>
      <c r="E235" t="s">
        <v>53</v>
      </c>
      <c r="F235" t="s">
        <v>690</v>
      </c>
      <c r="G235" t="s">
        <v>598</v>
      </c>
      <c r="H235" t="s">
        <v>599</v>
      </c>
      <c r="I235" t="s">
        <v>661</v>
      </c>
      <c r="L235" t="s">
        <v>669</v>
      </c>
      <c r="M235" t="s">
        <v>670</v>
      </c>
      <c r="N235" t="s">
        <v>949</v>
      </c>
      <c r="P235" t="s">
        <v>691</v>
      </c>
      <c r="Q235" t="s">
        <v>648</v>
      </c>
      <c r="R235" t="s">
        <v>985</v>
      </c>
      <c r="S235">
        <v>20190215</v>
      </c>
      <c r="T235" t="s">
        <v>1023</v>
      </c>
      <c r="X235">
        <v>1</v>
      </c>
      <c r="Y235">
        <v>75656</v>
      </c>
      <c r="Z235">
        <v>178548</v>
      </c>
      <c r="AA235" t="s">
        <v>605</v>
      </c>
      <c r="AB235">
        <v>20190215</v>
      </c>
      <c r="AE235">
        <f t="shared" si="3"/>
        <v>383878</v>
      </c>
      <c r="AF235">
        <v>383878</v>
      </c>
      <c r="AG235">
        <v>0</v>
      </c>
      <c r="AH235">
        <v>0</v>
      </c>
      <c r="AI235" s="121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383878</v>
      </c>
    </row>
    <row r="236" spans="1:41">
      <c r="A236">
        <v>201903</v>
      </c>
      <c r="B236">
        <v>25</v>
      </c>
      <c r="C236" t="s">
        <v>526</v>
      </c>
      <c r="D236">
        <v>3190490364511</v>
      </c>
      <c r="E236" t="s">
        <v>53</v>
      </c>
      <c r="F236" t="s">
        <v>690</v>
      </c>
      <c r="G236" t="s">
        <v>598</v>
      </c>
      <c r="H236" t="s">
        <v>599</v>
      </c>
      <c r="I236" t="s">
        <v>661</v>
      </c>
      <c r="J236" t="s">
        <v>661</v>
      </c>
      <c r="K236" t="s">
        <v>662</v>
      </c>
      <c r="L236" t="s">
        <v>700</v>
      </c>
      <c r="M236" t="s">
        <v>701</v>
      </c>
      <c r="N236" t="s">
        <v>962</v>
      </c>
      <c r="P236" t="s">
        <v>691</v>
      </c>
      <c r="Q236" t="s">
        <v>648</v>
      </c>
      <c r="R236" t="s">
        <v>984</v>
      </c>
      <c r="S236">
        <v>20190213</v>
      </c>
      <c r="T236" t="s">
        <v>1262</v>
      </c>
      <c r="X236">
        <v>1</v>
      </c>
      <c r="Y236">
        <v>30600</v>
      </c>
      <c r="Z236">
        <v>72165</v>
      </c>
      <c r="AA236" t="s">
        <v>605</v>
      </c>
      <c r="AB236">
        <v>20190213</v>
      </c>
      <c r="AE236">
        <f t="shared" si="3"/>
        <v>155154</v>
      </c>
      <c r="AF236">
        <v>155154</v>
      </c>
      <c r="AG236">
        <v>0</v>
      </c>
      <c r="AH236">
        <v>0</v>
      </c>
      <c r="AI236" s="121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155154</v>
      </c>
    </row>
    <row r="237" spans="1:41">
      <c r="A237">
        <v>201903</v>
      </c>
      <c r="B237">
        <v>25</v>
      </c>
      <c r="C237" t="s">
        <v>526</v>
      </c>
      <c r="D237">
        <v>3190494284241</v>
      </c>
      <c r="E237" t="s">
        <v>53</v>
      </c>
      <c r="F237" t="s">
        <v>690</v>
      </c>
      <c r="G237" t="s">
        <v>598</v>
      </c>
      <c r="H237" t="s">
        <v>599</v>
      </c>
      <c r="I237" t="s">
        <v>661</v>
      </c>
      <c r="L237" t="s">
        <v>669</v>
      </c>
      <c r="M237" t="s">
        <v>670</v>
      </c>
      <c r="N237" t="s">
        <v>949</v>
      </c>
      <c r="P237" t="s">
        <v>691</v>
      </c>
      <c r="Q237" t="s">
        <v>648</v>
      </c>
      <c r="R237" t="s">
        <v>985</v>
      </c>
      <c r="S237">
        <v>20190227</v>
      </c>
      <c r="T237" t="s">
        <v>1263</v>
      </c>
      <c r="X237">
        <v>1</v>
      </c>
      <c r="Y237">
        <v>43016</v>
      </c>
      <c r="Z237">
        <v>101518</v>
      </c>
      <c r="AA237" t="s">
        <v>605</v>
      </c>
      <c r="AB237">
        <v>20190227</v>
      </c>
      <c r="AE237">
        <f t="shared" si="3"/>
        <v>218263</v>
      </c>
      <c r="AF237">
        <v>218263</v>
      </c>
      <c r="AG237">
        <v>0</v>
      </c>
      <c r="AH237">
        <v>0</v>
      </c>
      <c r="AI237" s="121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218263</v>
      </c>
    </row>
    <row r="238" spans="1:41">
      <c r="A238">
        <v>201903</v>
      </c>
      <c r="B238">
        <v>25</v>
      </c>
      <c r="C238" t="s">
        <v>526</v>
      </c>
      <c r="D238">
        <v>3190494511831</v>
      </c>
      <c r="E238" t="s">
        <v>53</v>
      </c>
      <c r="F238" t="s">
        <v>690</v>
      </c>
      <c r="G238" t="s">
        <v>598</v>
      </c>
      <c r="H238" t="s">
        <v>599</v>
      </c>
      <c r="I238" t="s">
        <v>661</v>
      </c>
      <c r="L238" t="s">
        <v>669</v>
      </c>
      <c r="M238" t="s">
        <v>670</v>
      </c>
      <c r="N238" t="s">
        <v>949</v>
      </c>
      <c r="P238" t="s">
        <v>691</v>
      </c>
      <c r="Q238" t="s">
        <v>648</v>
      </c>
      <c r="R238" t="s">
        <v>985</v>
      </c>
      <c r="S238">
        <v>20190225</v>
      </c>
      <c r="T238" t="s">
        <v>883</v>
      </c>
      <c r="X238">
        <v>1</v>
      </c>
      <c r="Y238">
        <v>59185</v>
      </c>
      <c r="Z238">
        <v>139677</v>
      </c>
      <c r="AA238" t="s">
        <v>605</v>
      </c>
      <c r="AB238">
        <v>20190225</v>
      </c>
      <c r="AE238">
        <f t="shared" si="3"/>
        <v>300305</v>
      </c>
      <c r="AF238">
        <v>300305</v>
      </c>
      <c r="AG238">
        <v>0</v>
      </c>
      <c r="AH238">
        <v>0</v>
      </c>
      <c r="AI238" s="121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300305</v>
      </c>
    </row>
    <row r="239" spans="1:41">
      <c r="A239">
        <v>201903</v>
      </c>
      <c r="B239">
        <v>25</v>
      </c>
      <c r="C239" t="s">
        <v>526</v>
      </c>
      <c r="D239">
        <v>3190495804911</v>
      </c>
      <c r="E239" t="s">
        <v>53</v>
      </c>
      <c r="F239" t="s">
        <v>690</v>
      </c>
      <c r="G239" t="s">
        <v>598</v>
      </c>
      <c r="H239" t="s">
        <v>599</v>
      </c>
      <c r="I239" t="s">
        <v>661</v>
      </c>
      <c r="L239" t="s">
        <v>669</v>
      </c>
      <c r="M239" t="s">
        <v>670</v>
      </c>
      <c r="N239" t="s">
        <v>949</v>
      </c>
      <c r="P239" t="s">
        <v>691</v>
      </c>
      <c r="Q239" t="s">
        <v>648</v>
      </c>
      <c r="R239" t="s">
        <v>985</v>
      </c>
      <c r="S239">
        <v>20190228</v>
      </c>
      <c r="T239" t="s">
        <v>837</v>
      </c>
      <c r="X239">
        <v>1</v>
      </c>
      <c r="Y239">
        <v>79497</v>
      </c>
      <c r="Z239">
        <v>187613</v>
      </c>
      <c r="AA239" t="s">
        <v>605</v>
      </c>
      <c r="AB239">
        <v>20190228</v>
      </c>
      <c r="AE239">
        <f t="shared" si="3"/>
        <v>403367</v>
      </c>
      <c r="AF239">
        <v>403367</v>
      </c>
      <c r="AG239">
        <v>0</v>
      </c>
      <c r="AH239">
        <v>0</v>
      </c>
      <c r="AI239" s="121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403367</v>
      </c>
    </row>
    <row r="240" spans="1:41">
      <c r="A240">
        <v>201903</v>
      </c>
      <c r="B240">
        <v>25</v>
      </c>
      <c r="C240" t="s">
        <v>526</v>
      </c>
      <c r="D240">
        <v>3190432148491</v>
      </c>
      <c r="E240" t="s">
        <v>53</v>
      </c>
      <c r="F240" t="s">
        <v>597</v>
      </c>
      <c r="G240" t="s">
        <v>598</v>
      </c>
      <c r="H240" t="s">
        <v>599</v>
      </c>
      <c r="I240" t="s">
        <v>606</v>
      </c>
      <c r="J240" t="s">
        <v>606</v>
      </c>
      <c r="K240" t="s">
        <v>607</v>
      </c>
      <c r="L240" t="s">
        <v>614</v>
      </c>
      <c r="M240" t="s">
        <v>615</v>
      </c>
      <c r="N240" t="s">
        <v>1226</v>
      </c>
      <c r="P240" t="s">
        <v>603</v>
      </c>
      <c r="Q240" t="s">
        <v>648</v>
      </c>
      <c r="R240" t="s">
        <v>989</v>
      </c>
      <c r="S240">
        <v>20180626</v>
      </c>
      <c r="T240" t="s">
        <v>1137</v>
      </c>
      <c r="X240">
        <v>9</v>
      </c>
      <c r="Y240">
        <v>21000</v>
      </c>
      <c r="AA240" t="s">
        <v>605</v>
      </c>
      <c r="AB240">
        <v>20190225</v>
      </c>
      <c r="AE240">
        <f t="shared" si="3"/>
        <v>17052</v>
      </c>
      <c r="AF240">
        <v>0</v>
      </c>
      <c r="AG240">
        <v>17052</v>
      </c>
      <c r="AH240">
        <v>0</v>
      </c>
      <c r="AI240" s="121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17052</v>
      </c>
    </row>
    <row r="241" spans="1:41">
      <c r="A241">
        <v>201903</v>
      </c>
      <c r="B241">
        <v>25</v>
      </c>
      <c r="C241" t="s">
        <v>526</v>
      </c>
      <c r="D241">
        <v>3190432340801</v>
      </c>
      <c r="E241" t="s">
        <v>53</v>
      </c>
      <c r="F241" t="s">
        <v>597</v>
      </c>
      <c r="G241" t="s">
        <v>598</v>
      </c>
      <c r="H241" t="s">
        <v>599</v>
      </c>
      <c r="I241" t="s">
        <v>649</v>
      </c>
      <c r="J241" t="s">
        <v>649</v>
      </c>
      <c r="K241" t="s">
        <v>650</v>
      </c>
      <c r="L241" t="s">
        <v>657</v>
      </c>
      <c r="M241" t="s">
        <v>658</v>
      </c>
      <c r="N241" t="s">
        <v>932</v>
      </c>
      <c r="P241" t="s">
        <v>603</v>
      </c>
      <c r="Q241" t="s">
        <v>648</v>
      </c>
      <c r="R241" t="s">
        <v>1029</v>
      </c>
      <c r="S241">
        <v>20180626</v>
      </c>
      <c r="T241" t="s">
        <v>975</v>
      </c>
      <c r="X241">
        <v>8</v>
      </c>
      <c r="Y241">
        <v>143000</v>
      </c>
      <c r="AA241" t="s">
        <v>605</v>
      </c>
      <c r="AB241">
        <v>20190213</v>
      </c>
      <c r="AE241">
        <f t="shared" si="3"/>
        <v>120620</v>
      </c>
      <c r="AF241">
        <v>0</v>
      </c>
      <c r="AG241">
        <v>120620</v>
      </c>
      <c r="AH241">
        <v>0</v>
      </c>
      <c r="AI241" s="12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120620</v>
      </c>
    </row>
    <row r="242" spans="1:41">
      <c r="A242">
        <v>201903</v>
      </c>
      <c r="B242">
        <v>25</v>
      </c>
      <c r="C242" t="s">
        <v>526</v>
      </c>
      <c r="D242">
        <v>3190433732071</v>
      </c>
      <c r="E242" t="s">
        <v>53</v>
      </c>
      <c r="F242" t="s">
        <v>597</v>
      </c>
      <c r="G242" t="s">
        <v>598</v>
      </c>
      <c r="H242" t="s">
        <v>599</v>
      </c>
      <c r="I242" t="s">
        <v>606</v>
      </c>
      <c r="J242" t="s">
        <v>606</v>
      </c>
      <c r="K242" t="s">
        <v>607</v>
      </c>
      <c r="L242" t="s">
        <v>614</v>
      </c>
      <c r="M242" t="s">
        <v>615</v>
      </c>
      <c r="N242" t="s">
        <v>1226</v>
      </c>
      <c r="P242" t="s">
        <v>603</v>
      </c>
      <c r="Q242" t="s">
        <v>648</v>
      </c>
      <c r="R242" t="s">
        <v>989</v>
      </c>
      <c r="S242">
        <v>20180703</v>
      </c>
      <c r="T242" t="s">
        <v>822</v>
      </c>
      <c r="X242">
        <v>6</v>
      </c>
      <c r="Y242">
        <v>22000</v>
      </c>
      <c r="AA242" t="s">
        <v>605</v>
      </c>
      <c r="AB242">
        <v>20190226</v>
      </c>
      <c r="AE242">
        <f t="shared" si="3"/>
        <v>0</v>
      </c>
      <c r="AF242">
        <v>0</v>
      </c>
      <c r="AG242">
        <v>0</v>
      </c>
      <c r="AH242">
        <v>0</v>
      </c>
      <c r="AI242" s="121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</row>
    <row r="243" spans="1:41">
      <c r="A243">
        <v>201903</v>
      </c>
      <c r="B243">
        <v>25</v>
      </c>
      <c r="C243" t="s">
        <v>526</v>
      </c>
      <c r="D243">
        <v>3190433777151</v>
      </c>
      <c r="E243" t="s">
        <v>53</v>
      </c>
      <c r="F243" t="s">
        <v>597</v>
      </c>
      <c r="G243" t="s">
        <v>598</v>
      </c>
      <c r="H243" t="s">
        <v>599</v>
      </c>
      <c r="I243" t="s">
        <v>606</v>
      </c>
      <c r="J243" t="s">
        <v>606</v>
      </c>
      <c r="K243" t="s">
        <v>607</v>
      </c>
      <c r="L243" t="s">
        <v>614</v>
      </c>
      <c r="M243" t="s">
        <v>615</v>
      </c>
      <c r="N243" t="s">
        <v>1226</v>
      </c>
      <c r="P243" t="s">
        <v>603</v>
      </c>
      <c r="Q243" t="s">
        <v>648</v>
      </c>
      <c r="R243" t="s">
        <v>989</v>
      </c>
      <c r="S243">
        <v>20180703</v>
      </c>
      <c r="T243" t="s">
        <v>1137</v>
      </c>
      <c r="X243">
        <v>8</v>
      </c>
      <c r="Y243">
        <v>24000</v>
      </c>
      <c r="AA243" t="s">
        <v>605</v>
      </c>
      <c r="AB243">
        <v>20190227</v>
      </c>
      <c r="AE243">
        <f t="shared" si="3"/>
        <v>38976</v>
      </c>
      <c r="AF243">
        <v>0</v>
      </c>
      <c r="AG243">
        <v>38976</v>
      </c>
      <c r="AH243">
        <v>0</v>
      </c>
      <c r="AI243" s="121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38976</v>
      </c>
    </row>
    <row r="244" spans="1:41">
      <c r="A244">
        <v>201903</v>
      </c>
      <c r="B244">
        <v>25</v>
      </c>
      <c r="C244" t="s">
        <v>526</v>
      </c>
      <c r="D244">
        <v>3190433899871</v>
      </c>
      <c r="E244" t="s">
        <v>53</v>
      </c>
      <c r="F244" t="s">
        <v>597</v>
      </c>
      <c r="G244" t="s">
        <v>598</v>
      </c>
      <c r="H244" t="s">
        <v>599</v>
      </c>
      <c r="I244" t="s">
        <v>702</v>
      </c>
      <c r="J244" t="s">
        <v>702</v>
      </c>
      <c r="K244" t="s">
        <v>703</v>
      </c>
      <c r="L244" t="s">
        <v>513</v>
      </c>
      <c r="M244" t="s">
        <v>512</v>
      </c>
      <c r="N244" t="s">
        <v>930</v>
      </c>
      <c r="P244" t="s">
        <v>603</v>
      </c>
      <c r="Q244" t="s">
        <v>648</v>
      </c>
      <c r="R244" t="s">
        <v>979</v>
      </c>
      <c r="S244">
        <v>20180703</v>
      </c>
      <c r="T244" t="s">
        <v>911</v>
      </c>
      <c r="X244">
        <v>8</v>
      </c>
      <c r="Y244">
        <v>30000</v>
      </c>
      <c r="AA244" t="s">
        <v>605</v>
      </c>
      <c r="AB244">
        <v>20190225</v>
      </c>
      <c r="AE244">
        <f t="shared" si="3"/>
        <v>21210</v>
      </c>
      <c r="AF244">
        <v>0</v>
      </c>
      <c r="AG244">
        <v>21210</v>
      </c>
      <c r="AH244">
        <v>0</v>
      </c>
      <c r="AI244" s="121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21210</v>
      </c>
    </row>
    <row r="245" spans="1:41">
      <c r="A245">
        <v>201903</v>
      </c>
      <c r="B245">
        <v>25</v>
      </c>
      <c r="C245" t="s">
        <v>526</v>
      </c>
      <c r="D245">
        <v>3190433949111</v>
      </c>
      <c r="E245" t="s">
        <v>53</v>
      </c>
      <c r="F245" t="s">
        <v>597</v>
      </c>
      <c r="G245" t="s">
        <v>598</v>
      </c>
      <c r="H245" t="s">
        <v>599</v>
      </c>
      <c r="I245" t="s">
        <v>702</v>
      </c>
      <c r="J245" t="s">
        <v>702</v>
      </c>
      <c r="K245" t="s">
        <v>703</v>
      </c>
      <c r="L245" t="s">
        <v>513</v>
      </c>
      <c r="M245" t="s">
        <v>512</v>
      </c>
      <c r="N245" t="s">
        <v>930</v>
      </c>
      <c r="P245" t="s">
        <v>603</v>
      </c>
      <c r="Q245" t="s">
        <v>648</v>
      </c>
      <c r="R245" t="s">
        <v>979</v>
      </c>
      <c r="S245">
        <v>20180703</v>
      </c>
      <c r="T245" t="s">
        <v>862</v>
      </c>
      <c r="X245">
        <v>8</v>
      </c>
      <c r="Y245">
        <v>50000</v>
      </c>
      <c r="AA245" t="s">
        <v>605</v>
      </c>
      <c r="AB245">
        <v>20190225</v>
      </c>
      <c r="AE245">
        <f t="shared" si="3"/>
        <v>35350</v>
      </c>
      <c r="AF245">
        <v>0</v>
      </c>
      <c r="AG245">
        <v>35350</v>
      </c>
      <c r="AH245">
        <v>0</v>
      </c>
      <c r="AI245" s="121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35350</v>
      </c>
    </row>
    <row r="246" spans="1:41">
      <c r="A246">
        <v>201903</v>
      </c>
      <c r="B246">
        <v>25</v>
      </c>
      <c r="C246" t="s">
        <v>526</v>
      </c>
      <c r="D246">
        <v>3190435387371</v>
      </c>
      <c r="E246" t="s">
        <v>53</v>
      </c>
      <c r="F246" t="s">
        <v>597</v>
      </c>
      <c r="G246" t="s">
        <v>598</v>
      </c>
      <c r="H246" t="s">
        <v>599</v>
      </c>
      <c r="I246" t="s">
        <v>702</v>
      </c>
      <c r="J246" t="s">
        <v>702</v>
      </c>
      <c r="K246" t="s">
        <v>703</v>
      </c>
      <c r="L246" t="s">
        <v>513</v>
      </c>
      <c r="M246" t="s">
        <v>512</v>
      </c>
      <c r="N246" t="s">
        <v>930</v>
      </c>
      <c r="P246" t="s">
        <v>603</v>
      </c>
      <c r="Q246" t="s">
        <v>648</v>
      </c>
      <c r="R246" t="s">
        <v>979</v>
      </c>
      <c r="S246">
        <v>20180711</v>
      </c>
      <c r="T246" t="s">
        <v>822</v>
      </c>
      <c r="X246">
        <v>8</v>
      </c>
      <c r="Y246">
        <v>30000</v>
      </c>
      <c r="AA246" t="s">
        <v>605</v>
      </c>
      <c r="AB246">
        <v>20190220</v>
      </c>
      <c r="AE246">
        <f t="shared" si="3"/>
        <v>21210</v>
      </c>
      <c r="AF246">
        <v>0</v>
      </c>
      <c r="AG246">
        <v>21210</v>
      </c>
      <c r="AH246">
        <v>0</v>
      </c>
      <c r="AI246" s="121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21210</v>
      </c>
    </row>
    <row r="247" spans="1:41">
      <c r="A247">
        <v>201903</v>
      </c>
      <c r="B247">
        <v>25</v>
      </c>
      <c r="C247" t="s">
        <v>526</v>
      </c>
      <c r="D247">
        <v>3190437710681</v>
      </c>
      <c r="E247" t="s">
        <v>53</v>
      </c>
      <c r="F247" t="s">
        <v>597</v>
      </c>
      <c r="G247" t="s">
        <v>598</v>
      </c>
      <c r="H247" t="s">
        <v>599</v>
      </c>
      <c r="I247" t="s">
        <v>702</v>
      </c>
      <c r="L247" t="s">
        <v>515</v>
      </c>
      <c r="M247" t="s">
        <v>514</v>
      </c>
      <c r="N247" t="s">
        <v>935</v>
      </c>
      <c r="P247" t="s">
        <v>603</v>
      </c>
      <c r="Q247" t="s">
        <v>648</v>
      </c>
      <c r="R247" t="s">
        <v>980</v>
      </c>
      <c r="S247">
        <v>20180720</v>
      </c>
      <c r="T247" t="s">
        <v>992</v>
      </c>
      <c r="X247">
        <v>8</v>
      </c>
      <c r="Y247">
        <v>85944</v>
      </c>
      <c r="AA247" t="s">
        <v>605</v>
      </c>
      <c r="AB247">
        <v>20190215</v>
      </c>
      <c r="AE247">
        <f t="shared" si="3"/>
        <v>70989</v>
      </c>
      <c r="AF247">
        <v>0</v>
      </c>
      <c r="AG247">
        <v>70989</v>
      </c>
      <c r="AH247">
        <v>0</v>
      </c>
      <c r="AI247" s="121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70989</v>
      </c>
    </row>
    <row r="248" spans="1:41">
      <c r="A248">
        <v>201903</v>
      </c>
      <c r="B248">
        <v>25</v>
      </c>
      <c r="C248" t="s">
        <v>526</v>
      </c>
      <c r="D248">
        <v>3190438980351</v>
      </c>
      <c r="E248" t="s">
        <v>53</v>
      </c>
      <c r="F248" t="s">
        <v>597</v>
      </c>
      <c r="G248" t="s">
        <v>598</v>
      </c>
      <c r="H248" t="s">
        <v>599</v>
      </c>
      <c r="I248" t="s">
        <v>702</v>
      </c>
      <c r="J248" t="s">
        <v>702</v>
      </c>
      <c r="K248" t="s">
        <v>703</v>
      </c>
      <c r="L248" t="s">
        <v>513</v>
      </c>
      <c r="M248" t="s">
        <v>512</v>
      </c>
      <c r="N248" t="s">
        <v>930</v>
      </c>
      <c r="P248" t="s">
        <v>603</v>
      </c>
      <c r="Q248" t="s">
        <v>648</v>
      </c>
      <c r="R248" t="s">
        <v>979</v>
      </c>
      <c r="S248">
        <v>20180727</v>
      </c>
      <c r="T248" t="s">
        <v>1122</v>
      </c>
      <c r="X248">
        <v>8</v>
      </c>
      <c r="Y248">
        <v>63000</v>
      </c>
      <c r="AA248" t="s">
        <v>605</v>
      </c>
      <c r="AB248">
        <v>20190220</v>
      </c>
      <c r="AE248">
        <f t="shared" si="3"/>
        <v>44541</v>
      </c>
      <c r="AF248">
        <v>0</v>
      </c>
      <c r="AG248">
        <v>44541</v>
      </c>
      <c r="AH248">
        <v>0</v>
      </c>
      <c r="AI248" s="121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44541</v>
      </c>
    </row>
    <row r="249" spans="1:41">
      <c r="A249">
        <v>201903</v>
      </c>
      <c r="B249">
        <v>25</v>
      </c>
      <c r="C249" t="s">
        <v>526</v>
      </c>
      <c r="D249">
        <v>3190442077991</v>
      </c>
      <c r="E249" t="s">
        <v>53</v>
      </c>
      <c r="F249" t="s">
        <v>597</v>
      </c>
      <c r="G249" t="s">
        <v>598</v>
      </c>
      <c r="H249" t="s">
        <v>599</v>
      </c>
      <c r="I249" t="s">
        <v>606</v>
      </c>
      <c r="L249" t="s">
        <v>600</v>
      </c>
      <c r="M249" t="s">
        <v>601</v>
      </c>
      <c r="N249" t="s">
        <v>986</v>
      </c>
      <c r="P249" t="s">
        <v>603</v>
      </c>
      <c r="Q249" t="s">
        <v>648</v>
      </c>
      <c r="R249" t="s">
        <v>979</v>
      </c>
      <c r="S249">
        <v>20180814</v>
      </c>
      <c r="T249" t="s">
        <v>838</v>
      </c>
      <c r="X249">
        <v>7</v>
      </c>
      <c r="Y249">
        <v>35000</v>
      </c>
      <c r="AA249" t="s">
        <v>605</v>
      </c>
      <c r="AB249">
        <v>20190220</v>
      </c>
      <c r="AE249">
        <f t="shared" si="3"/>
        <v>24745</v>
      </c>
      <c r="AF249">
        <v>0</v>
      </c>
      <c r="AG249">
        <v>24745</v>
      </c>
      <c r="AH249">
        <v>0</v>
      </c>
      <c r="AI249" s="121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24745</v>
      </c>
    </row>
    <row r="250" spans="1:41">
      <c r="A250">
        <v>201903</v>
      </c>
      <c r="B250">
        <v>25</v>
      </c>
      <c r="C250" t="s">
        <v>526</v>
      </c>
      <c r="D250">
        <v>3190442507581</v>
      </c>
      <c r="E250" t="s">
        <v>53</v>
      </c>
      <c r="F250" t="s">
        <v>597</v>
      </c>
      <c r="G250" t="s">
        <v>598</v>
      </c>
      <c r="H250" t="s">
        <v>599</v>
      </c>
      <c r="I250" t="s">
        <v>661</v>
      </c>
      <c r="J250" t="s">
        <v>661</v>
      </c>
      <c r="K250" t="s">
        <v>662</v>
      </c>
      <c r="L250" t="s">
        <v>665</v>
      </c>
      <c r="M250" t="s">
        <v>666</v>
      </c>
      <c r="N250" t="s">
        <v>1000</v>
      </c>
      <c r="P250" t="s">
        <v>603</v>
      </c>
      <c r="Q250" t="s">
        <v>648</v>
      </c>
      <c r="R250" t="s">
        <v>1001</v>
      </c>
      <c r="S250">
        <v>20180817</v>
      </c>
      <c r="T250" t="s">
        <v>699</v>
      </c>
      <c r="V250">
        <v>0</v>
      </c>
      <c r="W250">
        <v>0</v>
      </c>
      <c r="X250">
        <v>7</v>
      </c>
      <c r="Y250">
        <v>64493</v>
      </c>
      <c r="AA250" t="s">
        <v>605</v>
      </c>
      <c r="AB250">
        <v>20190228</v>
      </c>
      <c r="AE250">
        <f t="shared" si="3"/>
        <v>47853</v>
      </c>
      <c r="AF250">
        <v>0</v>
      </c>
      <c r="AG250">
        <v>47853</v>
      </c>
      <c r="AH250">
        <v>0</v>
      </c>
      <c r="AI250" s="121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47853</v>
      </c>
    </row>
    <row r="251" spans="1:41">
      <c r="A251">
        <v>201903</v>
      </c>
      <c r="B251">
        <v>25</v>
      </c>
      <c r="C251" t="s">
        <v>526</v>
      </c>
      <c r="D251">
        <v>3190444115361</v>
      </c>
      <c r="E251" t="s">
        <v>53</v>
      </c>
      <c r="F251" t="s">
        <v>597</v>
      </c>
      <c r="G251" t="s">
        <v>598</v>
      </c>
      <c r="H251" t="s">
        <v>599</v>
      </c>
      <c r="I251" t="s">
        <v>606</v>
      </c>
      <c r="J251" t="s">
        <v>606</v>
      </c>
      <c r="K251" t="s">
        <v>607</v>
      </c>
      <c r="L251" t="s">
        <v>637</v>
      </c>
      <c r="M251" t="s">
        <v>638</v>
      </c>
      <c r="N251" t="s">
        <v>973</v>
      </c>
      <c r="P251" t="s">
        <v>603</v>
      </c>
      <c r="Q251" t="s">
        <v>648</v>
      </c>
      <c r="R251" t="s">
        <v>979</v>
      </c>
      <c r="S251">
        <v>20180824</v>
      </c>
      <c r="T251" t="s">
        <v>843</v>
      </c>
      <c r="X251">
        <v>7</v>
      </c>
      <c r="Y251">
        <v>54000</v>
      </c>
      <c r="AA251" t="s">
        <v>605</v>
      </c>
      <c r="AB251">
        <v>20190225</v>
      </c>
      <c r="AE251">
        <f t="shared" si="3"/>
        <v>38178</v>
      </c>
      <c r="AF251">
        <v>0</v>
      </c>
      <c r="AG251">
        <v>38178</v>
      </c>
      <c r="AH251">
        <v>0</v>
      </c>
      <c r="AI251" s="12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38178</v>
      </c>
    </row>
    <row r="252" spans="1:41">
      <c r="A252">
        <v>201903</v>
      </c>
      <c r="B252">
        <v>25</v>
      </c>
      <c r="C252" t="s">
        <v>526</v>
      </c>
      <c r="D252">
        <v>3190444471911</v>
      </c>
      <c r="E252" t="s">
        <v>53</v>
      </c>
      <c r="F252" t="s">
        <v>597</v>
      </c>
      <c r="G252" t="s">
        <v>598</v>
      </c>
      <c r="H252" t="s">
        <v>599</v>
      </c>
      <c r="I252" t="s">
        <v>606</v>
      </c>
      <c r="J252" t="s">
        <v>606</v>
      </c>
      <c r="K252" t="s">
        <v>607</v>
      </c>
      <c r="L252" t="s">
        <v>611</v>
      </c>
      <c r="M252" t="s">
        <v>612</v>
      </c>
      <c r="N252" t="s">
        <v>1070</v>
      </c>
      <c r="P252" t="s">
        <v>603</v>
      </c>
      <c r="Q252" t="s">
        <v>648</v>
      </c>
      <c r="R252" t="s">
        <v>989</v>
      </c>
      <c r="S252">
        <v>20180824</v>
      </c>
      <c r="T252" t="s">
        <v>1230</v>
      </c>
      <c r="X252">
        <v>7</v>
      </c>
      <c r="Y252">
        <v>24000</v>
      </c>
      <c r="AA252" t="s">
        <v>605</v>
      </c>
      <c r="AB252">
        <v>20190225</v>
      </c>
      <c r="AE252">
        <f t="shared" si="3"/>
        <v>19488</v>
      </c>
      <c r="AF252">
        <v>0</v>
      </c>
      <c r="AG252">
        <v>19488</v>
      </c>
      <c r="AH252">
        <v>0</v>
      </c>
      <c r="AI252" s="121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19488</v>
      </c>
    </row>
    <row r="253" spans="1:41">
      <c r="A253">
        <v>201903</v>
      </c>
      <c r="B253">
        <v>25</v>
      </c>
      <c r="C253" t="s">
        <v>526</v>
      </c>
      <c r="D253">
        <v>3190444483031</v>
      </c>
      <c r="E253" t="s">
        <v>53</v>
      </c>
      <c r="F253" t="s">
        <v>597</v>
      </c>
      <c r="G253" t="s">
        <v>598</v>
      </c>
      <c r="H253" t="s">
        <v>599</v>
      </c>
      <c r="I253" t="s">
        <v>606</v>
      </c>
      <c r="J253" t="s">
        <v>606</v>
      </c>
      <c r="K253" t="s">
        <v>607</v>
      </c>
      <c r="L253" t="s">
        <v>639</v>
      </c>
      <c r="M253" t="s">
        <v>640</v>
      </c>
      <c r="N253" t="s">
        <v>1007</v>
      </c>
      <c r="P253" t="s">
        <v>603</v>
      </c>
      <c r="Q253" t="s">
        <v>648</v>
      </c>
      <c r="R253" t="s">
        <v>989</v>
      </c>
      <c r="S253">
        <v>20180824</v>
      </c>
      <c r="T253" t="s">
        <v>1081</v>
      </c>
      <c r="X253">
        <v>7</v>
      </c>
      <c r="Y253">
        <v>29399</v>
      </c>
      <c r="AA253" t="s">
        <v>605</v>
      </c>
      <c r="AB253">
        <v>20190228</v>
      </c>
      <c r="AE253">
        <f t="shared" si="3"/>
        <v>23872</v>
      </c>
      <c r="AF253">
        <v>0</v>
      </c>
      <c r="AG253">
        <v>23872</v>
      </c>
      <c r="AH253">
        <v>0</v>
      </c>
      <c r="AI253" s="121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23872</v>
      </c>
    </row>
    <row r="254" spans="1:41">
      <c r="A254">
        <v>201903</v>
      </c>
      <c r="B254">
        <v>25</v>
      </c>
      <c r="C254" t="s">
        <v>526</v>
      </c>
      <c r="D254">
        <v>3190444490531</v>
      </c>
      <c r="E254" t="s">
        <v>53</v>
      </c>
      <c r="F254" t="s">
        <v>597</v>
      </c>
      <c r="G254" t="s">
        <v>598</v>
      </c>
      <c r="H254" t="s">
        <v>599</v>
      </c>
      <c r="I254" t="s">
        <v>702</v>
      </c>
      <c r="J254" t="s">
        <v>702</v>
      </c>
      <c r="K254" t="s">
        <v>703</v>
      </c>
      <c r="L254" t="s">
        <v>513</v>
      </c>
      <c r="M254" t="s">
        <v>512</v>
      </c>
      <c r="N254" t="s">
        <v>930</v>
      </c>
      <c r="P254" t="s">
        <v>603</v>
      </c>
      <c r="Q254" t="s">
        <v>648</v>
      </c>
      <c r="R254" t="s">
        <v>989</v>
      </c>
      <c r="S254">
        <v>20180824</v>
      </c>
      <c r="T254" t="s">
        <v>843</v>
      </c>
      <c r="X254">
        <v>7</v>
      </c>
      <c r="Y254">
        <v>19000</v>
      </c>
      <c r="AA254" t="s">
        <v>605</v>
      </c>
      <c r="AB254">
        <v>20190228</v>
      </c>
      <c r="AE254">
        <f t="shared" si="3"/>
        <v>15428</v>
      </c>
      <c r="AF254">
        <v>0</v>
      </c>
      <c r="AG254">
        <v>15428</v>
      </c>
      <c r="AH254">
        <v>0</v>
      </c>
      <c r="AI254" s="121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15428</v>
      </c>
    </row>
    <row r="255" spans="1:41">
      <c r="A255">
        <v>201903</v>
      </c>
      <c r="B255">
        <v>25</v>
      </c>
      <c r="C255" t="s">
        <v>526</v>
      </c>
      <c r="D255">
        <v>3190444561001</v>
      </c>
      <c r="E255" t="s">
        <v>53</v>
      </c>
      <c r="F255" t="s">
        <v>597</v>
      </c>
      <c r="G255" t="s">
        <v>598</v>
      </c>
      <c r="H255" t="s">
        <v>599</v>
      </c>
      <c r="I255" t="s">
        <v>702</v>
      </c>
      <c r="J255" t="s">
        <v>702</v>
      </c>
      <c r="K255" t="s">
        <v>703</v>
      </c>
      <c r="L255" t="s">
        <v>513</v>
      </c>
      <c r="M255" t="s">
        <v>512</v>
      </c>
      <c r="N255" t="s">
        <v>930</v>
      </c>
      <c r="P255" t="s">
        <v>603</v>
      </c>
      <c r="Q255" t="s">
        <v>648</v>
      </c>
      <c r="R255" t="s">
        <v>989</v>
      </c>
      <c r="S255">
        <v>20180824</v>
      </c>
      <c r="T255" t="s">
        <v>832</v>
      </c>
      <c r="X255">
        <v>7</v>
      </c>
      <c r="Y255">
        <v>27000</v>
      </c>
      <c r="AA255" t="s">
        <v>605</v>
      </c>
      <c r="AB255">
        <v>20190228</v>
      </c>
      <c r="AE255">
        <f t="shared" si="3"/>
        <v>21924</v>
      </c>
      <c r="AF255">
        <v>0</v>
      </c>
      <c r="AG255">
        <v>21924</v>
      </c>
      <c r="AH255">
        <v>0</v>
      </c>
      <c r="AI255" s="121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21924</v>
      </c>
    </row>
    <row r="256" spans="1:41">
      <c r="A256">
        <v>201903</v>
      </c>
      <c r="B256">
        <v>25</v>
      </c>
      <c r="C256" t="s">
        <v>526</v>
      </c>
      <c r="D256">
        <v>3190445253501</v>
      </c>
      <c r="E256" t="s">
        <v>53</v>
      </c>
      <c r="F256" t="s">
        <v>597</v>
      </c>
      <c r="G256" t="s">
        <v>598</v>
      </c>
      <c r="H256" t="s">
        <v>599</v>
      </c>
      <c r="I256" t="s">
        <v>756</v>
      </c>
      <c r="J256" t="s">
        <v>756</v>
      </c>
      <c r="K256" t="s">
        <v>757</v>
      </c>
      <c r="L256" t="s">
        <v>762</v>
      </c>
      <c r="M256" t="s">
        <v>763</v>
      </c>
      <c r="N256" t="s">
        <v>1250</v>
      </c>
      <c r="P256" t="s">
        <v>603</v>
      </c>
      <c r="Q256" t="s">
        <v>648</v>
      </c>
      <c r="R256" t="s">
        <v>979</v>
      </c>
      <c r="S256">
        <v>20180829</v>
      </c>
      <c r="T256" t="s">
        <v>899</v>
      </c>
      <c r="X256">
        <v>7</v>
      </c>
      <c r="Y256">
        <v>53000</v>
      </c>
      <c r="AA256" t="s">
        <v>605</v>
      </c>
      <c r="AB256">
        <v>20190225</v>
      </c>
      <c r="AE256">
        <f t="shared" si="3"/>
        <v>37471</v>
      </c>
      <c r="AF256">
        <v>0</v>
      </c>
      <c r="AG256">
        <v>37471</v>
      </c>
      <c r="AH256">
        <v>0</v>
      </c>
      <c r="AI256" s="121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37471</v>
      </c>
    </row>
    <row r="257" spans="1:41">
      <c r="A257">
        <v>201903</v>
      </c>
      <c r="B257">
        <v>25</v>
      </c>
      <c r="C257" t="s">
        <v>526</v>
      </c>
      <c r="D257">
        <v>3190445922981</v>
      </c>
      <c r="E257" t="s">
        <v>53</v>
      </c>
      <c r="F257" t="s">
        <v>597</v>
      </c>
      <c r="G257" t="s">
        <v>598</v>
      </c>
      <c r="H257" t="s">
        <v>599</v>
      </c>
      <c r="I257" t="s">
        <v>649</v>
      </c>
      <c r="J257" t="s">
        <v>649</v>
      </c>
      <c r="K257" t="s">
        <v>650</v>
      </c>
      <c r="L257" t="s">
        <v>657</v>
      </c>
      <c r="M257" t="s">
        <v>658</v>
      </c>
      <c r="N257" t="s">
        <v>932</v>
      </c>
      <c r="P257" t="s">
        <v>603</v>
      </c>
      <c r="Q257" t="s">
        <v>648</v>
      </c>
      <c r="R257" t="s">
        <v>980</v>
      </c>
      <c r="S257">
        <v>20180831</v>
      </c>
      <c r="T257" t="s">
        <v>884</v>
      </c>
      <c r="X257">
        <v>7</v>
      </c>
      <c r="Y257">
        <v>36705</v>
      </c>
      <c r="AA257" t="s">
        <v>605</v>
      </c>
      <c r="AB257">
        <v>20190220</v>
      </c>
      <c r="AE257">
        <f t="shared" si="3"/>
        <v>30318</v>
      </c>
      <c r="AF257">
        <v>0</v>
      </c>
      <c r="AG257">
        <v>30318</v>
      </c>
      <c r="AH257">
        <v>0</v>
      </c>
      <c r="AI257" s="121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30318</v>
      </c>
    </row>
    <row r="258" spans="1:41">
      <c r="A258">
        <v>201903</v>
      </c>
      <c r="B258">
        <v>25</v>
      </c>
      <c r="C258" t="s">
        <v>526</v>
      </c>
      <c r="D258">
        <v>3190446096011</v>
      </c>
      <c r="E258" t="s">
        <v>53</v>
      </c>
      <c r="F258" t="s">
        <v>597</v>
      </c>
      <c r="G258" t="s">
        <v>598</v>
      </c>
      <c r="H258" t="s">
        <v>599</v>
      </c>
      <c r="I258" t="s">
        <v>674</v>
      </c>
      <c r="L258" t="s">
        <v>705</v>
      </c>
      <c r="M258" t="s">
        <v>706</v>
      </c>
      <c r="N258" t="s">
        <v>966</v>
      </c>
      <c r="P258" t="s">
        <v>603</v>
      </c>
      <c r="Q258" t="s">
        <v>648</v>
      </c>
      <c r="R258" t="s">
        <v>989</v>
      </c>
      <c r="S258">
        <v>20180911</v>
      </c>
      <c r="T258" t="s">
        <v>1149</v>
      </c>
      <c r="X258">
        <v>6</v>
      </c>
      <c r="Y258">
        <v>18423</v>
      </c>
      <c r="AA258" t="s">
        <v>605</v>
      </c>
      <c r="AB258">
        <v>20190220</v>
      </c>
      <c r="AE258">
        <f t="shared" si="3"/>
        <v>0</v>
      </c>
      <c r="AF258">
        <v>0</v>
      </c>
      <c r="AG258">
        <v>0</v>
      </c>
      <c r="AH258">
        <v>0</v>
      </c>
      <c r="AI258" s="121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</row>
    <row r="259" spans="1:41">
      <c r="A259">
        <v>201903</v>
      </c>
      <c r="B259">
        <v>25</v>
      </c>
      <c r="C259" t="s">
        <v>526</v>
      </c>
      <c r="D259">
        <v>3190446373411</v>
      </c>
      <c r="E259" t="s">
        <v>53</v>
      </c>
      <c r="F259" t="s">
        <v>597</v>
      </c>
      <c r="G259" t="s">
        <v>598</v>
      </c>
      <c r="H259" t="s">
        <v>599</v>
      </c>
      <c r="I259" t="s">
        <v>606</v>
      </c>
      <c r="J259" t="s">
        <v>606</v>
      </c>
      <c r="K259" t="s">
        <v>607</v>
      </c>
      <c r="L259" t="s">
        <v>686</v>
      </c>
      <c r="M259" t="s">
        <v>687</v>
      </c>
      <c r="N259" t="s">
        <v>1034</v>
      </c>
      <c r="P259" t="s">
        <v>603</v>
      </c>
      <c r="Q259" t="s">
        <v>727</v>
      </c>
      <c r="R259" t="s">
        <v>1002</v>
      </c>
      <c r="S259">
        <v>20180910</v>
      </c>
      <c r="T259" t="s">
        <v>848</v>
      </c>
      <c r="X259">
        <v>6</v>
      </c>
      <c r="Y259">
        <v>20000</v>
      </c>
      <c r="AA259" t="s">
        <v>605</v>
      </c>
      <c r="AB259">
        <v>20190220</v>
      </c>
      <c r="AE259">
        <f t="shared" ref="AE259:AE322" si="4">AO259-AI259</f>
        <v>0</v>
      </c>
      <c r="AF259">
        <v>0</v>
      </c>
      <c r="AG259">
        <v>0</v>
      </c>
      <c r="AH259">
        <v>0</v>
      </c>
      <c r="AI259" s="121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</row>
    <row r="260" spans="1:41">
      <c r="A260">
        <v>201903</v>
      </c>
      <c r="B260">
        <v>25</v>
      </c>
      <c r="C260" t="s">
        <v>526</v>
      </c>
      <c r="D260">
        <v>3190050952921</v>
      </c>
      <c r="E260" t="s">
        <v>53</v>
      </c>
      <c r="F260" t="s">
        <v>597</v>
      </c>
      <c r="G260" t="s">
        <v>598</v>
      </c>
      <c r="H260" t="s">
        <v>599</v>
      </c>
      <c r="I260" t="s">
        <v>646</v>
      </c>
      <c r="J260" t="s">
        <v>646</v>
      </c>
      <c r="L260" t="s">
        <v>677</v>
      </c>
      <c r="M260" t="s">
        <v>678</v>
      </c>
      <c r="N260" t="s">
        <v>1248</v>
      </c>
      <c r="P260" t="s">
        <v>603</v>
      </c>
      <c r="Q260" t="s">
        <v>739</v>
      </c>
      <c r="R260" t="s">
        <v>1249</v>
      </c>
      <c r="S260">
        <v>20160819</v>
      </c>
      <c r="T260" t="s">
        <v>876</v>
      </c>
      <c r="X260">
        <v>31</v>
      </c>
      <c r="Y260">
        <v>300000</v>
      </c>
      <c r="AA260" t="s">
        <v>605</v>
      </c>
      <c r="AB260">
        <v>20190225</v>
      </c>
      <c r="AE260">
        <f t="shared" si="4"/>
        <v>0</v>
      </c>
      <c r="AF260">
        <v>0</v>
      </c>
      <c r="AG260">
        <v>0</v>
      </c>
      <c r="AH260">
        <v>0</v>
      </c>
      <c r="AI260" s="121">
        <v>450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450</v>
      </c>
    </row>
    <row r="261" spans="1:41">
      <c r="A261">
        <v>201903</v>
      </c>
      <c r="B261">
        <v>25</v>
      </c>
      <c r="C261" t="s">
        <v>526</v>
      </c>
      <c r="D261">
        <v>3190051621381</v>
      </c>
      <c r="E261" t="s">
        <v>53</v>
      </c>
      <c r="F261" t="s">
        <v>597</v>
      </c>
      <c r="G261" t="s">
        <v>598</v>
      </c>
      <c r="H261" t="s">
        <v>599</v>
      </c>
      <c r="I261" t="s">
        <v>702</v>
      </c>
      <c r="J261" t="s">
        <v>702</v>
      </c>
      <c r="K261" t="s">
        <v>703</v>
      </c>
      <c r="L261" t="s">
        <v>513</v>
      </c>
      <c r="M261" t="s">
        <v>512</v>
      </c>
      <c r="N261" t="s">
        <v>930</v>
      </c>
      <c r="P261" t="s">
        <v>603</v>
      </c>
      <c r="Q261" t="s">
        <v>648</v>
      </c>
      <c r="R261" t="s">
        <v>1037</v>
      </c>
      <c r="S261">
        <v>20160825</v>
      </c>
      <c r="T261" t="s">
        <v>1104</v>
      </c>
      <c r="X261">
        <v>31</v>
      </c>
      <c r="Y261">
        <v>89000</v>
      </c>
      <c r="AA261" t="s">
        <v>605</v>
      </c>
      <c r="AB261">
        <v>20190225</v>
      </c>
      <c r="AE261">
        <f t="shared" si="4"/>
        <v>0</v>
      </c>
      <c r="AF261">
        <v>0</v>
      </c>
      <c r="AG261">
        <v>0</v>
      </c>
      <c r="AH261">
        <v>0</v>
      </c>
      <c r="AI261" s="121">
        <v>667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667</v>
      </c>
    </row>
    <row r="262" spans="1:41">
      <c r="A262">
        <v>201903</v>
      </c>
      <c r="B262">
        <v>25</v>
      </c>
      <c r="C262" t="s">
        <v>526</v>
      </c>
      <c r="D262">
        <v>3190052998171</v>
      </c>
      <c r="E262" t="s">
        <v>53</v>
      </c>
      <c r="F262" t="s">
        <v>597</v>
      </c>
      <c r="G262" t="s">
        <v>598</v>
      </c>
      <c r="H262" t="s">
        <v>599</v>
      </c>
      <c r="I262" t="s">
        <v>702</v>
      </c>
      <c r="J262" t="s">
        <v>702</v>
      </c>
      <c r="K262" t="s">
        <v>703</v>
      </c>
      <c r="L262" t="s">
        <v>513</v>
      </c>
      <c r="M262" t="s">
        <v>512</v>
      </c>
      <c r="N262" t="s">
        <v>930</v>
      </c>
      <c r="P262" t="s">
        <v>603</v>
      </c>
      <c r="Q262" t="s">
        <v>727</v>
      </c>
      <c r="R262" t="s">
        <v>1040</v>
      </c>
      <c r="S262">
        <v>20160921</v>
      </c>
      <c r="T262" t="s">
        <v>810</v>
      </c>
      <c r="X262">
        <v>30</v>
      </c>
      <c r="Y262">
        <v>15000</v>
      </c>
      <c r="AA262" t="s">
        <v>605</v>
      </c>
      <c r="AB262">
        <v>20190220</v>
      </c>
      <c r="AE262">
        <f t="shared" si="4"/>
        <v>0</v>
      </c>
      <c r="AF262">
        <v>0</v>
      </c>
      <c r="AG262">
        <v>0</v>
      </c>
      <c r="AH262">
        <v>0</v>
      </c>
      <c r="AI262" s="121">
        <v>75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75</v>
      </c>
    </row>
    <row r="263" spans="1:41">
      <c r="A263">
        <v>201903</v>
      </c>
      <c r="B263">
        <v>25</v>
      </c>
      <c r="C263" t="s">
        <v>526</v>
      </c>
      <c r="D263">
        <v>3190053098211</v>
      </c>
      <c r="E263" t="s">
        <v>53</v>
      </c>
      <c r="F263" t="s">
        <v>597</v>
      </c>
      <c r="G263" t="s">
        <v>598</v>
      </c>
      <c r="H263" t="s">
        <v>599</v>
      </c>
      <c r="I263" t="s">
        <v>606</v>
      </c>
      <c r="J263" t="s">
        <v>606</v>
      </c>
      <c r="K263" t="s">
        <v>607</v>
      </c>
      <c r="L263" t="s">
        <v>686</v>
      </c>
      <c r="M263" t="s">
        <v>687</v>
      </c>
      <c r="N263" t="s">
        <v>1034</v>
      </c>
      <c r="P263" t="s">
        <v>603</v>
      </c>
      <c r="Q263" t="s">
        <v>727</v>
      </c>
      <c r="R263" t="s">
        <v>1040</v>
      </c>
      <c r="S263">
        <v>20160920</v>
      </c>
      <c r="T263" t="s">
        <v>1252</v>
      </c>
      <c r="X263">
        <v>30</v>
      </c>
      <c r="Y263">
        <v>30000</v>
      </c>
      <c r="AA263" t="s">
        <v>605</v>
      </c>
      <c r="AB263">
        <v>20190225</v>
      </c>
      <c r="AE263">
        <f t="shared" si="4"/>
        <v>0</v>
      </c>
      <c r="AF263">
        <v>0</v>
      </c>
      <c r="AG263">
        <v>0</v>
      </c>
      <c r="AH263">
        <v>0</v>
      </c>
      <c r="AI263" s="121">
        <v>150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150</v>
      </c>
    </row>
    <row r="264" spans="1:41">
      <c r="A264">
        <v>201903</v>
      </c>
      <c r="B264">
        <v>25</v>
      </c>
      <c r="C264" t="s">
        <v>526</v>
      </c>
      <c r="D264">
        <v>3190053453041</v>
      </c>
      <c r="E264" t="s">
        <v>53</v>
      </c>
      <c r="F264" t="s">
        <v>597</v>
      </c>
      <c r="G264" t="s">
        <v>598</v>
      </c>
      <c r="H264" t="s">
        <v>599</v>
      </c>
      <c r="I264" t="s">
        <v>606</v>
      </c>
      <c r="J264" t="s">
        <v>606</v>
      </c>
      <c r="K264" t="s">
        <v>607</v>
      </c>
      <c r="L264" t="s">
        <v>622</v>
      </c>
      <c r="M264" t="s">
        <v>623</v>
      </c>
      <c r="N264" t="s">
        <v>936</v>
      </c>
      <c r="P264" t="s">
        <v>603</v>
      </c>
      <c r="Q264" t="s">
        <v>727</v>
      </c>
      <c r="R264" t="s">
        <v>1040</v>
      </c>
      <c r="S264">
        <v>20160923</v>
      </c>
      <c r="T264" t="s">
        <v>864</v>
      </c>
      <c r="X264">
        <v>30</v>
      </c>
      <c r="Y264">
        <v>50000</v>
      </c>
      <c r="AA264" t="s">
        <v>605</v>
      </c>
      <c r="AB264">
        <v>20190220</v>
      </c>
      <c r="AE264">
        <f t="shared" si="4"/>
        <v>0</v>
      </c>
      <c r="AF264">
        <v>0</v>
      </c>
      <c r="AG264">
        <v>0</v>
      </c>
      <c r="AH264">
        <v>0</v>
      </c>
      <c r="AI264" s="121">
        <v>250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250</v>
      </c>
    </row>
    <row r="265" spans="1:41">
      <c r="A265">
        <v>201903</v>
      </c>
      <c r="B265">
        <v>25</v>
      </c>
      <c r="C265" t="s">
        <v>526</v>
      </c>
      <c r="D265">
        <v>3190053651421</v>
      </c>
      <c r="E265" t="s">
        <v>53</v>
      </c>
      <c r="F265" t="s">
        <v>597</v>
      </c>
      <c r="G265" t="s">
        <v>598</v>
      </c>
      <c r="H265" t="s">
        <v>599</v>
      </c>
      <c r="I265" t="s">
        <v>702</v>
      </c>
      <c r="J265" t="s">
        <v>702</v>
      </c>
      <c r="K265" t="s">
        <v>703</v>
      </c>
      <c r="L265" t="s">
        <v>513</v>
      </c>
      <c r="M265" t="s">
        <v>512</v>
      </c>
      <c r="N265" t="s">
        <v>930</v>
      </c>
      <c r="P265" t="s">
        <v>603</v>
      </c>
      <c r="Q265" t="s">
        <v>727</v>
      </c>
      <c r="R265" t="s">
        <v>1040</v>
      </c>
      <c r="S265">
        <v>20160927</v>
      </c>
      <c r="T265" t="s">
        <v>879</v>
      </c>
      <c r="X265">
        <v>30</v>
      </c>
      <c r="Y265">
        <v>30000</v>
      </c>
      <c r="AA265" t="s">
        <v>605</v>
      </c>
      <c r="AB265">
        <v>20190220</v>
      </c>
      <c r="AE265">
        <f t="shared" si="4"/>
        <v>0</v>
      </c>
      <c r="AF265">
        <v>0</v>
      </c>
      <c r="AG265">
        <v>0</v>
      </c>
      <c r="AH265">
        <v>0</v>
      </c>
      <c r="AI265" s="121">
        <v>150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150</v>
      </c>
    </row>
    <row r="266" spans="1:41">
      <c r="A266">
        <v>201903</v>
      </c>
      <c r="B266">
        <v>25</v>
      </c>
      <c r="C266" t="s">
        <v>526</v>
      </c>
      <c r="D266">
        <v>3190053654771</v>
      </c>
      <c r="E266" t="s">
        <v>53</v>
      </c>
      <c r="F266" t="s">
        <v>597</v>
      </c>
      <c r="G266" t="s">
        <v>598</v>
      </c>
      <c r="H266" t="s">
        <v>599</v>
      </c>
      <c r="I266" t="s">
        <v>702</v>
      </c>
      <c r="J266" t="s">
        <v>702</v>
      </c>
      <c r="K266" t="s">
        <v>703</v>
      </c>
      <c r="L266" t="s">
        <v>513</v>
      </c>
      <c r="M266" t="s">
        <v>512</v>
      </c>
      <c r="N266" t="s">
        <v>930</v>
      </c>
      <c r="P266" t="s">
        <v>603</v>
      </c>
      <c r="Q266" t="s">
        <v>727</v>
      </c>
      <c r="R266" t="s">
        <v>1140</v>
      </c>
      <c r="S266">
        <v>20160927</v>
      </c>
      <c r="T266" t="s">
        <v>823</v>
      </c>
      <c r="X266">
        <v>30</v>
      </c>
      <c r="Y266">
        <v>30000</v>
      </c>
      <c r="AA266" t="s">
        <v>605</v>
      </c>
      <c r="AB266">
        <v>20190220</v>
      </c>
      <c r="AE266">
        <f t="shared" si="4"/>
        <v>0</v>
      </c>
      <c r="AF266">
        <v>0</v>
      </c>
      <c r="AG266">
        <v>0</v>
      </c>
      <c r="AH266">
        <v>0</v>
      </c>
      <c r="AI266" s="121">
        <v>150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150</v>
      </c>
    </row>
    <row r="267" spans="1:41">
      <c r="A267">
        <v>201903</v>
      </c>
      <c r="B267">
        <v>25</v>
      </c>
      <c r="C267" t="s">
        <v>526</v>
      </c>
      <c r="D267">
        <v>3190053678451</v>
      </c>
      <c r="E267" t="s">
        <v>53</v>
      </c>
      <c r="F267" t="s">
        <v>597</v>
      </c>
      <c r="G267" t="s">
        <v>598</v>
      </c>
      <c r="H267" t="s">
        <v>599</v>
      </c>
      <c r="I267" t="s">
        <v>606</v>
      </c>
      <c r="J267" t="s">
        <v>606</v>
      </c>
      <c r="K267" t="s">
        <v>607</v>
      </c>
      <c r="L267" t="s">
        <v>643</v>
      </c>
      <c r="M267" t="s">
        <v>644</v>
      </c>
      <c r="N267" t="s">
        <v>947</v>
      </c>
      <c r="P267" t="s">
        <v>603</v>
      </c>
      <c r="Q267" t="s">
        <v>727</v>
      </c>
      <c r="R267" t="s">
        <v>1040</v>
      </c>
      <c r="S267">
        <v>20160928</v>
      </c>
      <c r="T267" t="s">
        <v>946</v>
      </c>
      <c r="X267">
        <v>30</v>
      </c>
      <c r="Y267">
        <v>30000</v>
      </c>
      <c r="AA267" t="s">
        <v>605</v>
      </c>
      <c r="AB267">
        <v>20190228</v>
      </c>
      <c r="AE267">
        <f t="shared" si="4"/>
        <v>0</v>
      </c>
      <c r="AF267">
        <v>0</v>
      </c>
      <c r="AG267">
        <v>0</v>
      </c>
      <c r="AH267">
        <v>0</v>
      </c>
      <c r="AI267" s="121">
        <v>300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300</v>
      </c>
    </row>
    <row r="268" spans="1:41">
      <c r="A268">
        <v>201903</v>
      </c>
      <c r="B268">
        <v>25</v>
      </c>
      <c r="C268" t="s">
        <v>526</v>
      </c>
      <c r="D268">
        <v>3190054299421</v>
      </c>
      <c r="E268" t="s">
        <v>53</v>
      </c>
      <c r="F268" t="s">
        <v>597</v>
      </c>
      <c r="G268" t="s">
        <v>598</v>
      </c>
      <c r="H268" t="s">
        <v>599</v>
      </c>
      <c r="I268" t="s">
        <v>606</v>
      </c>
      <c r="J268" t="s">
        <v>606</v>
      </c>
      <c r="K268" t="s">
        <v>607</v>
      </c>
      <c r="L268" t="s">
        <v>643</v>
      </c>
      <c r="M268" t="s">
        <v>644</v>
      </c>
      <c r="N268" t="s">
        <v>947</v>
      </c>
      <c r="P268" t="s">
        <v>603</v>
      </c>
      <c r="Q268" t="s">
        <v>727</v>
      </c>
      <c r="R268" t="s">
        <v>1040</v>
      </c>
      <c r="S268">
        <v>20161005</v>
      </c>
      <c r="T268" t="s">
        <v>850</v>
      </c>
      <c r="X268">
        <v>29</v>
      </c>
      <c r="Y268">
        <v>30000</v>
      </c>
      <c r="AA268" t="s">
        <v>605</v>
      </c>
      <c r="AB268">
        <v>20190220</v>
      </c>
      <c r="AE268">
        <f t="shared" si="4"/>
        <v>0</v>
      </c>
      <c r="AF268">
        <v>0</v>
      </c>
      <c r="AG268">
        <v>0</v>
      </c>
      <c r="AH268">
        <v>0</v>
      </c>
      <c r="AI268" s="121">
        <v>150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150</v>
      </c>
    </row>
    <row r="269" spans="1:41">
      <c r="A269">
        <v>201903</v>
      </c>
      <c r="B269">
        <v>25</v>
      </c>
      <c r="C269" t="s">
        <v>526</v>
      </c>
      <c r="D269">
        <v>3190054357511</v>
      </c>
      <c r="E269" t="s">
        <v>53</v>
      </c>
      <c r="F269" t="s">
        <v>597</v>
      </c>
      <c r="G269" t="s">
        <v>598</v>
      </c>
      <c r="H269" t="s">
        <v>599</v>
      </c>
      <c r="I269" t="s">
        <v>606</v>
      </c>
      <c r="J269" t="s">
        <v>606</v>
      </c>
      <c r="K269" t="s">
        <v>607</v>
      </c>
      <c r="L269" t="s">
        <v>608</v>
      </c>
      <c r="M269" t="s">
        <v>609</v>
      </c>
      <c r="N269" t="s">
        <v>943</v>
      </c>
      <c r="P269" t="s">
        <v>603</v>
      </c>
      <c r="Q269" t="s">
        <v>727</v>
      </c>
      <c r="R269" t="s">
        <v>1140</v>
      </c>
      <c r="S269">
        <v>20161006</v>
      </c>
      <c r="T269" t="s">
        <v>1181</v>
      </c>
      <c r="X269">
        <v>29</v>
      </c>
      <c r="Y269">
        <v>104000</v>
      </c>
      <c r="AA269" t="s">
        <v>605</v>
      </c>
      <c r="AB269">
        <v>20190220</v>
      </c>
      <c r="AE269">
        <f t="shared" si="4"/>
        <v>0</v>
      </c>
      <c r="AF269">
        <v>0</v>
      </c>
      <c r="AG269">
        <v>0</v>
      </c>
      <c r="AH269">
        <v>0</v>
      </c>
      <c r="AI269" s="121">
        <v>520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520</v>
      </c>
    </row>
    <row r="270" spans="1:41">
      <c r="A270">
        <v>201903</v>
      </c>
      <c r="B270">
        <v>25</v>
      </c>
      <c r="C270" t="s">
        <v>526</v>
      </c>
      <c r="D270">
        <v>3190059418571</v>
      </c>
      <c r="E270" t="s">
        <v>53</v>
      </c>
      <c r="F270" t="s">
        <v>597</v>
      </c>
      <c r="G270" t="s">
        <v>598</v>
      </c>
      <c r="H270" t="s">
        <v>599</v>
      </c>
      <c r="I270" t="s">
        <v>606</v>
      </c>
      <c r="J270" t="s">
        <v>606</v>
      </c>
      <c r="K270" t="s">
        <v>607</v>
      </c>
      <c r="L270" t="s">
        <v>643</v>
      </c>
      <c r="M270" t="s">
        <v>644</v>
      </c>
      <c r="N270" t="s">
        <v>947</v>
      </c>
      <c r="P270" t="s">
        <v>603</v>
      </c>
      <c r="Q270" t="s">
        <v>648</v>
      </c>
      <c r="R270" t="s">
        <v>1037</v>
      </c>
      <c r="S270">
        <v>20161209</v>
      </c>
      <c r="T270" t="s">
        <v>1097</v>
      </c>
      <c r="X270">
        <v>27</v>
      </c>
      <c r="Y270">
        <v>81400</v>
      </c>
      <c r="AA270" t="s">
        <v>605</v>
      </c>
      <c r="AB270">
        <v>20190225</v>
      </c>
      <c r="AE270">
        <f t="shared" si="4"/>
        <v>0</v>
      </c>
      <c r="AF270">
        <v>0</v>
      </c>
      <c r="AG270">
        <v>0</v>
      </c>
      <c r="AH270">
        <v>0</v>
      </c>
      <c r="AI270" s="121">
        <v>610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610</v>
      </c>
    </row>
    <row r="271" spans="1:41">
      <c r="A271">
        <v>201903</v>
      </c>
      <c r="B271">
        <v>25</v>
      </c>
      <c r="C271" t="s">
        <v>526</v>
      </c>
      <c r="D271">
        <v>3190061107911</v>
      </c>
      <c r="E271" t="s">
        <v>53</v>
      </c>
      <c r="F271" t="s">
        <v>597</v>
      </c>
      <c r="G271" t="s">
        <v>598</v>
      </c>
      <c r="H271" t="s">
        <v>599</v>
      </c>
      <c r="I271" t="s">
        <v>606</v>
      </c>
      <c r="J271" t="s">
        <v>606</v>
      </c>
      <c r="K271" t="s">
        <v>607</v>
      </c>
      <c r="L271" t="s">
        <v>614</v>
      </c>
      <c r="M271" t="s">
        <v>615</v>
      </c>
      <c r="N271" t="s">
        <v>1226</v>
      </c>
      <c r="P271" t="s">
        <v>603</v>
      </c>
      <c r="Q271" t="s">
        <v>648</v>
      </c>
      <c r="R271" t="s">
        <v>1038</v>
      </c>
      <c r="S271">
        <v>20170111</v>
      </c>
      <c r="T271" t="s">
        <v>1101</v>
      </c>
      <c r="X271">
        <v>26</v>
      </c>
      <c r="Y271">
        <v>25000</v>
      </c>
      <c r="AA271" t="s">
        <v>605</v>
      </c>
      <c r="AB271">
        <v>20190225</v>
      </c>
      <c r="AE271">
        <f t="shared" si="4"/>
        <v>0</v>
      </c>
      <c r="AF271">
        <v>0</v>
      </c>
      <c r="AG271">
        <v>0</v>
      </c>
      <c r="AH271">
        <v>0</v>
      </c>
      <c r="AI271" s="121">
        <v>125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125</v>
      </c>
    </row>
    <row r="272" spans="1:41">
      <c r="A272">
        <v>201903</v>
      </c>
      <c r="B272">
        <v>25</v>
      </c>
      <c r="C272" t="s">
        <v>526</v>
      </c>
      <c r="D272">
        <v>3190061188991</v>
      </c>
      <c r="E272" t="s">
        <v>53</v>
      </c>
      <c r="F272" t="s">
        <v>597</v>
      </c>
      <c r="G272" t="s">
        <v>598</v>
      </c>
      <c r="H272" t="s">
        <v>599</v>
      </c>
      <c r="I272" t="s">
        <v>606</v>
      </c>
      <c r="J272" t="s">
        <v>606</v>
      </c>
      <c r="K272" t="s">
        <v>607</v>
      </c>
      <c r="L272" t="s">
        <v>614</v>
      </c>
      <c r="M272" t="s">
        <v>615</v>
      </c>
      <c r="N272" t="s">
        <v>1226</v>
      </c>
      <c r="P272" t="s">
        <v>603</v>
      </c>
      <c r="Q272" t="s">
        <v>648</v>
      </c>
      <c r="R272" t="s">
        <v>1047</v>
      </c>
      <c r="S272">
        <v>20170105</v>
      </c>
      <c r="T272" t="s">
        <v>883</v>
      </c>
      <c r="X272">
        <v>26</v>
      </c>
      <c r="Y272">
        <v>71000</v>
      </c>
      <c r="AA272" t="s">
        <v>605</v>
      </c>
      <c r="AB272">
        <v>20190225</v>
      </c>
      <c r="AE272">
        <f t="shared" si="4"/>
        <v>0</v>
      </c>
      <c r="AF272">
        <v>0</v>
      </c>
      <c r="AG272">
        <v>0</v>
      </c>
      <c r="AH272">
        <v>0</v>
      </c>
      <c r="AI272" s="121">
        <v>355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355</v>
      </c>
    </row>
    <row r="273" spans="1:41">
      <c r="A273">
        <v>201903</v>
      </c>
      <c r="B273">
        <v>25</v>
      </c>
      <c r="C273" t="s">
        <v>526</v>
      </c>
      <c r="D273">
        <v>3190061674211</v>
      </c>
      <c r="E273" t="s">
        <v>53</v>
      </c>
      <c r="F273" t="s">
        <v>597</v>
      </c>
      <c r="G273" t="s">
        <v>598</v>
      </c>
      <c r="H273" t="s">
        <v>599</v>
      </c>
      <c r="I273" t="s">
        <v>702</v>
      </c>
      <c r="J273" t="s">
        <v>702</v>
      </c>
      <c r="K273" t="s">
        <v>703</v>
      </c>
      <c r="L273" t="s">
        <v>513</v>
      </c>
      <c r="M273" t="s">
        <v>512</v>
      </c>
      <c r="N273" t="s">
        <v>930</v>
      </c>
      <c r="P273" t="s">
        <v>603</v>
      </c>
      <c r="Q273" t="s">
        <v>648</v>
      </c>
      <c r="R273" t="s">
        <v>1253</v>
      </c>
      <c r="S273">
        <v>20170109</v>
      </c>
      <c r="T273" t="s">
        <v>1111</v>
      </c>
      <c r="X273">
        <v>26</v>
      </c>
      <c r="Y273">
        <v>42312</v>
      </c>
      <c r="AA273" t="s">
        <v>605</v>
      </c>
      <c r="AB273">
        <v>20190220</v>
      </c>
      <c r="AE273">
        <f t="shared" si="4"/>
        <v>0</v>
      </c>
      <c r="AF273">
        <v>0</v>
      </c>
      <c r="AG273">
        <v>0</v>
      </c>
      <c r="AH273">
        <v>0</v>
      </c>
      <c r="AI273" s="121">
        <v>211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211</v>
      </c>
    </row>
    <row r="274" spans="1:41">
      <c r="A274">
        <v>201903</v>
      </c>
      <c r="B274">
        <v>25</v>
      </c>
      <c r="C274" t="s">
        <v>526</v>
      </c>
      <c r="D274">
        <v>3190062041511</v>
      </c>
      <c r="E274" t="s">
        <v>53</v>
      </c>
      <c r="F274" t="s">
        <v>597</v>
      </c>
      <c r="G274" t="s">
        <v>598</v>
      </c>
      <c r="H274" t="s">
        <v>599</v>
      </c>
      <c r="I274" t="s">
        <v>661</v>
      </c>
      <c r="L274" t="s">
        <v>669</v>
      </c>
      <c r="M274" t="s">
        <v>670</v>
      </c>
      <c r="N274" t="s">
        <v>949</v>
      </c>
      <c r="P274" t="s">
        <v>603</v>
      </c>
      <c r="Q274" t="s">
        <v>648</v>
      </c>
      <c r="R274" t="s">
        <v>1039</v>
      </c>
      <c r="S274">
        <v>20170112</v>
      </c>
      <c r="T274" t="s">
        <v>1127</v>
      </c>
      <c r="X274">
        <v>25</v>
      </c>
      <c r="Y274">
        <v>150794</v>
      </c>
      <c r="AA274" t="s">
        <v>605</v>
      </c>
      <c r="AB274">
        <v>20190219</v>
      </c>
      <c r="AE274">
        <f t="shared" si="4"/>
        <v>0</v>
      </c>
      <c r="AF274">
        <v>0</v>
      </c>
      <c r="AG274">
        <v>0</v>
      </c>
      <c r="AH274">
        <v>0</v>
      </c>
      <c r="AI274" s="121">
        <v>1130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1130</v>
      </c>
    </row>
    <row r="275" spans="1:41">
      <c r="A275">
        <v>201903</v>
      </c>
      <c r="B275">
        <v>25</v>
      </c>
      <c r="C275" t="s">
        <v>526</v>
      </c>
      <c r="D275">
        <v>3190062238471</v>
      </c>
      <c r="E275" t="s">
        <v>53</v>
      </c>
      <c r="F275" t="s">
        <v>597</v>
      </c>
      <c r="G275" t="s">
        <v>598</v>
      </c>
      <c r="H275" t="s">
        <v>599</v>
      </c>
      <c r="I275" t="s">
        <v>661</v>
      </c>
      <c r="L275" t="s">
        <v>669</v>
      </c>
      <c r="M275" t="s">
        <v>670</v>
      </c>
      <c r="N275" t="s">
        <v>949</v>
      </c>
      <c r="P275" t="s">
        <v>603</v>
      </c>
      <c r="Q275" t="s">
        <v>648</v>
      </c>
      <c r="R275" t="s">
        <v>1039</v>
      </c>
      <c r="S275">
        <v>20170111</v>
      </c>
      <c r="T275" t="s">
        <v>1128</v>
      </c>
      <c r="X275">
        <v>26</v>
      </c>
      <c r="Y275">
        <v>31000</v>
      </c>
      <c r="AA275" t="s">
        <v>605</v>
      </c>
      <c r="AB275">
        <v>20190215</v>
      </c>
      <c r="AE275">
        <f t="shared" si="4"/>
        <v>0</v>
      </c>
      <c r="AF275">
        <v>0</v>
      </c>
      <c r="AG275">
        <v>0</v>
      </c>
      <c r="AH275">
        <v>0</v>
      </c>
      <c r="AI275" s="121">
        <v>232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232</v>
      </c>
    </row>
    <row r="276" spans="1:41">
      <c r="A276">
        <v>201903</v>
      </c>
      <c r="B276">
        <v>25</v>
      </c>
      <c r="C276" t="s">
        <v>526</v>
      </c>
      <c r="D276">
        <v>3190062614301</v>
      </c>
      <c r="E276" t="s">
        <v>53</v>
      </c>
      <c r="F276" t="s">
        <v>597</v>
      </c>
      <c r="G276" t="s">
        <v>598</v>
      </c>
      <c r="H276" t="s">
        <v>599</v>
      </c>
      <c r="I276" t="s">
        <v>702</v>
      </c>
      <c r="L276" t="s">
        <v>515</v>
      </c>
      <c r="M276" t="s">
        <v>514</v>
      </c>
      <c r="N276" t="s">
        <v>935</v>
      </c>
      <c r="P276" t="s">
        <v>603</v>
      </c>
      <c r="Q276" t="s">
        <v>648</v>
      </c>
      <c r="R276" t="s">
        <v>1141</v>
      </c>
      <c r="S276">
        <v>20170113</v>
      </c>
      <c r="T276" t="s">
        <v>946</v>
      </c>
      <c r="X276">
        <v>26</v>
      </c>
      <c r="Y276">
        <v>27709</v>
      </c>
      <c r="AA276" t="s">
        <v>605</v>
      </c>
      <c r="AB276">
        <v>20190220</v>
      </c>
      <c r="AE276">
        <f t="shared" si="4"/>
        <v>0</v>
      </c>
      <c r="AF276">
        <v>0</v>
      </c>
      <c r="AG276">
        <v>0</v>
      </c>
      <c r="AH276">
        <v>0</v>
      </c>
      <c r="AI276" s="121">
        <v>138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138</v>
      </c>
    </row>
    <row r="277" spans="1:41">
      <c r="A277">
        <v>201903</v>
      </c>
      <c r="B277">
        <v>25</v>
      </c>
      <c r="C277" t="s">
        <v>526</v>
      </c>
      <c r="D277">
        <v>3190062669741</v>
      </c>
      <c r="E277" t="s">
        <v>53</v>
      </c>
      <c r="F277" t="s">
        <v>597</v>
      </c>
      <c r="G277" t="s">
        <v>598</v>
      </c>
      <c r="H277" t="s">
        <v>599</v>
      </c>
      <c r="I277" t="s">
        <v>606</v>
      </c>
      <c r="J277" t="s">
        <v>606</v>
      </c>
      <c r="K277" t="s">
        <v>607</v>
      </c>
      <c r="L277" t="s">
        <v>769</v>
      </c>
      <c r="M277" t="s">
        <v>738</v>
      </c>
      <c r="N277" t="s">
        <v>941</v>
      </c>
      <c r="P277" t="s">
        <v>603</v>
      </c>
      <c r="Q277" t="s">
        <v>648</v>
      </c>
      <c r="R277" t="s">
        <v>1039</v>
      </c>
      <c r="S277">
        <v>20170116</v>
      </c>
      <c r="T277" t="s">
        <v>1142</v>
      </c>
      <c r="X277">
        <v>26</v>
      </c>
      <c r="Y277">
        <v>39436</v>
      </c>
      <c r="AA277" t="s">
        <v>605</v>
      </c>
      <c r="AB277">
        <v>20190211</v>
      </c>
      <c r="AE277">
        <f t="shared" si="4"/>
        <v>0</v>
      </c>
      <c r="AF277">
        <v>0</v>
      </c>
      <c r="AG277">
        <v>0</v>
      </c>
      <c r="AH277">
        <v>0</v>
      </c>
      <c r="AI277" s="121">
        <v>295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295</v>
      </c>
    </row>
    <row r="278" spans="1:41">
      <c r="A278">
        <v>201903</v>
      </c>
      <c r="B278">
        <v>25</v>
      </c>
      <c r="C278" t="s">
        <v>526</v>
      </c>
      <c r="D278">
        <v>3190446748081</v>
      </c>
      <c r="E278" t="s">
        <v>53</v>
      </c>
      <c r="F278" t="s">
        <v>597</v>
      </c>
      <c r="G278" t="s">
        <v>598</v>
      </c>
      <c r="H278" t="s">
        <v>599</v>
      </c>
      <c r="I278" t="s">
        <v>606</v>
      </c>
      <c r="J278" t="s">
        <v>606</v>
      </c>
      <c r="K278" t="s">
        <v>607</v>
      </c>
      <c r="L278" t="s">
        <v>608</v>
      </c>
      <c r="M278" t="s">
        <v>609</v>
      </c>
      <c r="N278" t="s">
        <v>943</v>
      </c>
      <c r="P278" t="s">
        <v>603</v>
      </c>
      <c r="Q278" t="s">
        <v>648</v>
      </c>
      <c r="R278" t="s">
        <v>979</v>
      </c>
      <c r="S278">
        <v>20180906</v>
      </c>
      <c r="T278" t="s">
        <v>898</v>
      </c>
      <c r="X278">
        <v>6</v>
      </c>
      <c r="Y278">
        <v>50000</v>
      </c>
      <c r="AA278" t="s">
        <v>605</v>
      </c>
      <c r="AB278">
        <v>20190220</v>
      </c>
      <c r="AE278">
        <f t="shared" si="4"/>
        <v>0</v>
      </c>
      <c r="AF278">
        <v>0</v>
      </c>
      <c r="AG278">
        <v>0</v>
      </c>
      <c r="AH278">
        <v>0</v>
      </c>
      <c r="AI278" s="121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</row>
    <row r="279" spans="1:41">
      <c r="A279">
        <v>201903</v>
      </c>
      <c r="B279">
        <v>25</v>
      </c>
      <c r="C279" t="s">
        <v>526</v>
      </c>
      <c r="D279">
        <v>3190448024881</v>
      </c>
      <c r="E279" t="s">
        <v>53</v>
      </c>
      <c r="F279" t="s">
        <v>597</v>
      </c>
      <c r="G279" t="s">
        <v>598</v>
      </c>
      <c r="H279" t="s">
        <v>599</v>
      </c>
      <c r="I279" t="s">
        <v>702</v>
      </c>
      <c r="L279" t="s">
        <v>515</v>
      </c>
      <c r="M279" t="s">
        <v>514</v>
      </c>
      <c r="N279" t="s">
        <v>935</v>
      </c>
      <c r="P279" t="s">
        <v>603</v>
      </c>
      <c r="Q279" t="s">
        <v>648</v>
      </c>
      <c r="R279" t="s">
        <v>996</v>
      </c>
      <c r="S279">
        <v>20180910</v>
      </c>
      <c r="T279" t="s">
        <v>822</v>
      </c>
      <c r="X279">
        <v>6</v>
      </c>
      <c r="Y279">
        <v>114000</v>
      </c>
      <c r="AA279" t="s">
        <v>605</v>
      </c>
      <c r="AB279">
        <v>20190228</v>
      </c>
      <c r="AE279">
        <f t="shared" si="4"/>
        <v>0</v>
      </c>
      <c r="AF279">
        <v>0</v>
      </c>
      <c r="AG279">
        <v>0</v>
      </c>
      <c r="AH279">
        <v>0</v>
      </c>
      <c r="AI279" s="121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</row>
    <row r="280" spans="1:41">
      <c r="A280">
        <v>201903</v>
      </c>
      <c r="B280">
        <v>25</v>
      </c>
      <c r="C280" t="s">
        <v>526</v>
      </c>
      <c r="D280">
        <v>3190448283891</v>
      </c>
      <c r="E280" t="s">
        <v>53</v>
      </c>
      <c r="F280" t="s">
        <v>597</v>
      </c>
      <c r="G280" t="s">
        <v>598</v>
      </c>
      <c r="H280" t="s">
        <v>599</v>
      </c>
      <c r="I280" t="s">
        <v>702</v>
      </c>
      <c r="L280" t="s">
        <v>515</v>
      </c>
      <c r="M280" t="s">
        <v>514</v>
      </c>
      <c r="N280" t="s">
        <v>935</v>
      </c>
      <c r="P280" t="s">
        <v>603</v>
      </c>
      <c r="Q280" t="s">
        <v>648</v>
      </c>
      <c r="R280" t="s">
        <v>980</v>
      </c>
      <c r="S280">
        <v>20180913</v>
      </c>
      <c r="T280" t="s">
        <v>829</v>
      </c>
      <c r="X280">
        <v>6</v>
      </c>
      <c r="Y280">
        <v>33551</v>
      </c>
      <c r="AA280" t="s">
        <v>605</v>
      </c>
      <c r="AB280">
        <v>20190225</v>
      </c>
      <c r="AE280">
        <f t="shared" si="4"/>
        <v>0</v>
      </c>
      <c r="AF280">
        <v>0</v>
      </c>
      <c r="AG280">
        <v>0</v>
      </c>
      <c r="AH280">
        <v>0</v>
      </c>
      <c r="AI280" s="121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</row>
    <row r="281" spans="1:41">
      <c r="A281">
        <v>201903</v>
      </c>
      <c r="B281">
        <v>25</v>
      </c>
      <c r="C281" t="s">
        <v>526</v>
      </c>
      <c r="D281">
        <v>3190448757961</v>
      </c>
      <c r="E281" t="s">
        <v>53</v>
      </c>
      <c r="F281" t="s">
        <v>597</v>
      </c>
      <c r="G281" t="s">
        <v>598</v>
      </c>
      <c r="H281" t="s">
        <v>599</v>
      </c>
      <c r="I281" t="s">
        <v>702</v>
      </c>
      <c r="J281" t="s">
        <v>702</v>
      </c>
      <c r="K281" t="s">
        <v>703</v>
      </c>
      <c r="L281" t="s">
        <v>513</v>
      </c>
      <c r="M281" t="s">
        <v>512</v>
      </c>
      <c r="N281" t="s">
        <v>930</v>
      </c>
      <c r="P281" t="s">
        <v>603</v>
      </c>
      <c r="Q281" t="s">
        <v>648</v>
      </c>
      <c r="R281" t="s">
        <v>979</v>
      </c>
      <c r="S281">
        <v>20180911</v>
      </c>
      <c r="T281" t="s">
        <v>866</v>
      </c>
      <c r="X281">
        <v>6</v>
      </c>
      <c r="Y281">
        <v>58000</v>
      </c>
      <c r="AA281" t="s">
        <v>605</v>
      </c>
      <c r="AB281">
        <v>20190220</v>
      </c>
      <c r="AE281">
        <f t="shared" si="4"/>
        <v>0</v>
      </c>
      <c r="AF281">
        <v>0</v>
      </c>
      <c r="AG281">
        <v>0</v>
      </c>
      <c r="AH281">
        <v>0</v>
      </c>
      <c r="AI281" s="12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</row>
    <row r="282" spans="1:41">
      <c r="A282">
        <v>201903</v>
      </c>
      <c r="B282">
        <v>25</v>
      </c>
      <c r="C282" t="s">
        <v>526</v>
      </c>
      <c r="D282">
        <v>3190449113781</v>
      </c>
      <c r="E282" t="s">
        <v>53</v>
      </c>
      <c r="F282" t="s">
        <v>597</v>
      </c>
      <c r="G282" t="s">
        <v>598</v>
      </c>
      <c r="H282" t="s">
        <v>599</v>
      </c>
      <c r="I282" t="s">
        <v>661</v>
      </c>
      <c r="J282" t="s">
        <v>661</v>
      </c>
      <c r="K282" t="s">
        <v>662</v>
      </c>
      <c r="L282" t="s">
        <v>698</v>
      </c>
      <c r="M282" t="s">
        <v>699</v>
      </c>
      <c r="N282" t="s">
        <v>964</v>
      </c>
      <c r="P282" t="s">
        <v>603</v>
      </c>
      <c r="Q282" t="s">
        <v>568</v>
      </c>
      <c r="R282" t="s">
        <v>983</v>
      </c>
      <c r="S282">
        <v>20180914</v>
      </c>
      <c r="T282" t="s">
        <v>826</v>
      </c>
      <c r="X282">
        <v>6</v>
      </c>
      <c r="Y282">
        <v>13390</v>
      </c>
      <c r="AA282" t="s">
        <v>605</v>
      </c>
      <c r="AB282">
        <v>20190215</v>
      </c>
      <c r="AE282">
        <f t="shared" si="4"/>
        <v>0</v>
      </c>
      <c r="AF282">
        <v>0</v>
      </c>
      <c r="AG282">
        <v>0</v>
      </c>
      <c r="AH282">
        <v>0</v>
      </c>
      <c r="AI282" s="121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</row>
    <row r="283" spans="1:41">
      <c r="A283">
        <v>201903</v>
      </c>
      <c r="B283">
        <v>25</v>
      </c>
      <c r="C283" t="s">
        <v>526</v>
      </c>
      <c r="D283">
        <v>3190062761881</v>
      </c>
      <c r="E283" t="s">
        <v>53</v>
      </c>
      <c r="F283" t="s">
        <v>597</v>
      </c>
      <c r="G283" t="s">
        <v>598</v>
      </c>
      <c r="H283" t="s">
        <v>599</v>
      </c>
      <c r="I283" t="s">
        <v>702</v>
      </c>
      <c r="J283" t="s">
        <v>702</v>
      </c>
      <c r="K283" t="s">
        <v>703</v>
      </c>
      <c r="L283" t="s">
        <v>511</v>
      </c>
      <c r="M283" t="s">
        <v>510</v>
      </c>
      <c r="N283" t="s">
        <v>965</v>
      </c>
      <c r="P283" t="s">
        <v>603</v>
      </c>
      <c r="Q283" t="s">
        <v>648</v>
      </c>
      <c r="R283" t="s">
        <v>1038</v>
      </c>
      <c r="S283">
        <v>20170116</v>
      </c>
      <c r="T283" t="s">
        <v>1084</v>
      </c>
      <c r="X283">
        <v>26</v>
      </c>
      <c r="Y283">
        <v>48999</v>
      </c>
      <c r="AA283" t="s">
        <v>605</v>
      </c>
      <c r="AB283">
        <v>20190225</v>
      </c>
      <c r="AE283">
        <f t="shared" si="4"/>
        <v>0</v>
      </c>
      <c r="AF283">
        <v>0</v>
      </c>
      <c r="AG283">
        <v>0</v>
      </c>
      <c r="AH283">
        <v>0</v>
      </c>
      <c r="AI283" s="121">
        <v>244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244</v>
      </c>
    </row>
    <row r="284" spans="1:41">
      <c r="A284">
        <v>201903</v>
      </c>
      <c r="B284">
        <v>25</v>
      </c>
      <c r="C284" t="s">
        <v>526</v>
      </c>
      <c r="D284">
        <v>3190062953051</v>
      </c>
      <c r="E284" t="s">
        <v>53</v>
      </c>
      <c r="F284" t="s">
        <v>597</v>
      </c>
      <c r="G284" t="s">
        <v>598</v>
      </c>
      <c r="H284" t="s">
        <v>599</v>
      </c>
      <c r="I284" t="s">
        <v>649</v>
      </c>
      <c r="J284" t="s">
        <v>649</v>
      </c>
      <c r="K284" t="s">
        <v>650</v>
      </c>
      <c r="L284" t="s">
        <v>653</v>
      </c>
      <c r="M284" t="s">
        <v>654</v>
      </c>
      <c r="N284" t="s">
        <v>957</v>
      </c>
      <c r="P284" t="s">
        <v>603</v>
      </c>
      <c r="Q284" t="s">
        <v>648</v>
      </c>
      <c r="R284" t="s">
        <v>1038</v>
      </c>
      <c r="S284">
        <v>20170117</v>
      </c>
      <c r="T284" t="s">
        <v>861</v>
      </c>
      <c r="X284">
        <v>26</v>
      </c>
      <c r="Y284">
        <v>21500</v>
      </c>
      <c r="AA284" t="s">
        <v>605</v>
      </c>
      <c r="AB284">
        <v>20190225</v>
      </c>
      <c r="AE284">
        <f t="shared" si="4"/>
        <v>0</v>
      </c>
      <c r="AF284">
        <v>0</v>
      </c>
      <c r="AG284">
        <v>0</v>
      </c>
      <c r="AH284">
        <v>0</v>
      </c>
      <c r="AI284" s="121">
        <v>107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107</v>
      </c>
    </row>
    <row r="285" spans="1:41">
      <c r="A285">
        <v>201903</v>
      </c>
      <c r="B285">
        <v>25</v>
      </c>
      <c r="C285" t="s">
        <v>526</v>
      </c>
      <c r="D285">
        <v>3190062970021</v>
      </c>
      <c r="E285" t="s">
        <v>53</v>
      </c>
      <c r="F285" t="s">
        <v>597</v>
      </c>
      <c r="G285" t="s">
        <v>598</v>
      </c>
      <c r="H285" t="s">
        <v>599</v>
      </c>
      <c r="I285" t="s">
        <v>719</v>
      </c>
      <c r="J285" t="s">
        <v>720</v>
      </c>
      <c r="K285" t="s">
        <v>728</v>
      </c>
      <c r="L285" t="s">
        <v>733</v>
      </c>
      <c r="M285" t="s">
        <v>715</v>
      </c>
      <c r="N285" t="s">
        <v>1255</v>
      </c>
      <c r="P285" t="s">
        <v>603</v>
      </c>
      <c r="Q285" t="s">
        <v>648</v>
      </c>
      <c r="R285" t="s">
        <v>1038</v>
      </c>
      <c r="S285">
        <v>20170117</v>
      </c>
      <c r="T285" t="s">
        <v>850</v>
      </c>
      <c r="X285">
        <v>25</v>
      </c>
      <c r="Y285">
        <v>80400</v>
      </c>
      <c r="AA285" t="s">
        <v>605</v>
      </c>
      <c r="AB285">
        <v>20190228</v>
      </c>
      <c r="AE285">
        <f t="shared" si="4"/>
        <v>0</v>
      </c>
      <c r="AF285">
        <v>0</v>
      </c>
      <c r="AG285">
        <v>0</v>
      </c>
      <c r="AH285">
        <v>0</v>
      </c>
      <c r="AI285" s="121">
        <v>804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804</v>
      </c>
    </row>
    <row r="286" spans="1:41">
      <c r="A286">
        <v>201903</v>
      </c>
      <c r="B286">
        <v>25</v>
      </c>
      <c r="C286" t="s">
        <v>526</v>
      </c>
      <c r="D286">
        <v>3190062978881</v>
      </c>
      <c r="E286" t="s">
        <v>53</v>
      </c>
      <c r="F286" t="s">
        <v>597</v>
      </c>
      <c r="G286" t="s">
        <v>598</v>
      </c>
      <c r="H286" t="s">
        <v>599</v>
      </c>
      <c r="I286" t="s">
        <v>719</v>
      </c>
      <c r="J286" t="s">
        <v>720</v>
      </c>
      <c r="K286" t="s">
        <v>728</v>
      </c>
      <c r="L286" t="s">
        <v>733</v>
      </c>
      <c r="M286" t="s">
        <v>715</v>
      </c>
      <c r="N286" t="s">
        <v>1255</v>
      </c>
      <c r="P286" t="s">
        <v>603</v>
      </c>
      <c r="Q286" t="s">
        <v>648</v>
      </c>
      <c r="R286" t="s">
        <v>1038</v>
      </c>
      <c r="S286">
        <v>20170117</v>
      </c>
      <c r="T286" t="s">
        <v>856</v>
      </c>
      <c r="X286">
        <v>24</v>
      </c>
      <c r="Y286">
        <v>63100</v>
      </c>
      <c r="AA286" t="s">
        <v>605</v>
      </c>
      <c r="AB286">
        <v>20190228</v>
      </c>
      <c r="AE286">
        <f t="shared" si="4"/>
        <v>0</v>
      </c>
      <c r="AF286">
        <v>0</v>
      </c>
      <c r="AG286">
        <v>0</v>
      </c>
      <c r="AH286">
        <v>0</v>
      </c>
      <c r="AI286" s="121">
        <v>315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315</v>
      </c>
    </row>
    <row r="287" spans="1:41">
      <c r="A287">
        <v>201903</v>
      </c>
      <c r="B287">
        <v>25</v>
      </c>
      <c r="C287" t="s">
        <v>526</v>
      </c>
      <c r="D287">
        <v>3190063120501</v>
      </c>
      <c r="E287" t="s">
        <v>53</v>
      </c>
      <c r="F287" t="s">
        <v>597</v>
      </c>
      <c r="G287" t="s">
        <v>598</v>
      </c>
      <c r="H287" t="s">
        <v>599</v>
      </c>
      <c r="I287" t="s">
        <v>661</v>
      </c>
      <c r="J287" t="s">
        <v>661</v>
      </c>
      <c r="K287" t="s">
        <v>662</v>
      </c>
      <c r="L287" t="s">
        <v>679</v>
      </c>
      <c r="M287" t="s">
        <v>680</v>
      </c>
      <c r="N287" t="s">
        <v>974</v>
      </c>
      <c r="P287" t="s">
        <v>603</v>
      </c>
      <c r="Q287" t="s">
        <v>648</v>
      </c>
      <c r="R287" t="s">
        <v>1039</v>
      </c>
      <c r="S287">
        <v>20170125</v>
      </c>
      <c r="T287" t="s">
        <v>905</v>
      </c>
      <c r="X287">
        <v>26</v>
      </c>
      <c r="Y287">
        <v>75000</v>
      </c>
      <c r="AA287" t="s">
        <v>605</v>
      </c>
      <c r="AB287">
        <v>20190215</v>
      </c>
      <c r="AE287">
        <f t="shared" si="4"/>
        <v>0</v>
      </c>
      <c r="AF287">
        <v>0</v>
      </c>
      <c r="AG287">
        <v>0</v>
      </c>
      <c r="AH287">
        <v>0</v>
      </c>
      <c r="AI287" s="121">
        <v>562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562</v>
      </c>
    </row>
    <row r="288" spans="1:41">
      <c r="A288">
        <v>201903</v>
      </c>
      <c r="B288">
        <v>25</v>
      </c>
      <c r="C288" t="s">
        <v>526</v>
      </c>
      <c r="D288">
        <v>3190063283521</v>
      </c>
      <c r="E288" t="s">
        <v>53</v>
      </c>
      <c r="F288" t="s">
        <v>597</v>
      </c>
      <c r="G288" t="s">
        <v>598</v>
      </c>
      <c r="H288" t="s">
        <v>599</v>
      </c>
      <c r="I288" t="s">
        <v>661</v>
      </c>
      <c r="J288" t="s">
        <v>661</v>
      </c>
      <c r="K288" t="s">
        <v>662</v>
      </c>
      <c r="L288" t="s">
        <v>679</v>
      </c>
      <c r="M288" t="s">
        <v>680</v>
      </c>
      <c r="N288" t="s">
        <v>974</v>
      </c>
      <c r="P288" t="s">
        <v>603</v>
      </c>
      <c r="Q288" t="s">
        <v>727</v>
      </c>
      <c r="R288" t="s">
        <v>1040</v>
      </c>
      <c r="S288">
        <v>20170125</v>
      </c>
      <c r="T288" t="s">
        <v>905</v>
      </c>
      <c r="X288">
        <v>26</v>
      </c>
      <c r="Y288">
        <v>16000</v>
      </c>
      <c r="AA288" t="s">
        <v>605</v>
      </c>
      <c r="AB288">
        <v>20190215</v>
      </c>
      <c r="AE288">
        <f t="shared" si="4"/>
        <v>0</v>
      </c>
      <c r="AF288">
        <v>0</v>
      </c>
      <c r="AG288">
        <v>0</v>
      </c>
      <c r="AH288">
        <v>0</v>
      </c>
      <c r="AI288" s="121">
        <v>80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80</v>
      </c>
    </row>
    <row r="289" spans="1:41">
      <c r="A289">
        <v>201903</v>
      </c>
      <c r="B289">
        <v>25</v>
      </c>
      <c r="C289" t="s">
        <v>526</v>
      </c>
      <c r="D289">
        <v>3190063292401</v>
      </c>
      <c r="E289" t="s">
        <v>53</v>
      </c>
      <c r="F289" t="s">
        <v>597</v>
      </c>
      <c r="G289" t="s">
        <v>598</v>
      </c>
      <c r="H289" t="s">
        <v>599</v>
      </c>
      <c r="I289" t="s">
        <v>649</v>
      </c>
      <c r="J289" t="s">
        <v>649</v>
      </c>
      <c r="K289" t="s">
        <v>650</v>
      </c>
      <c r="L289" t="s">
        <v>659</v>
      </c>
      <c r="M289" t="s">
        <v>660</v>
      </c>
      <c r="N289" t="s">
        <v>969</v>
      </c>
      <c r="P289" t="s">
        <v>603</v>
      </c>
      <c r="Q289" t="s">
        <v>648</v>
      </c>
      <c r="R289" t="s">
        <v>1038</v>
      </c>
      <c r="S289">
        <v>20170120</v>
      </c>
      <c r="T289" t="s">
        <v>1232</v>
      </c>
      <c r="X289">
        <v>26</v>
      </c>
      <c r="Y289">
        <v>23000</v>
      </c>
      <c r="AA289" t="s">
        <v>605</v>
      </c>
      <c r="AB289">
        <v>20190220</v>
      </c>
      <c r="AE289">
        <f t="shared" si="4"/>
        <v>0</v>
      </c>
      <c r="AF289">
        <v>0</v>
      </c>
      <c r="AG289">
        <v>0</v>
      </c>
      <c r="AH289">
        <v>0</v>
      </c>
      <c r="AI289" s="121">
        <v>115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115</v>
      </c>
    </row>
    <row r="290" spans="1:41">
      <c r="A290">
        <v>201903</v>
      </c>
      <c r="B290">
        <v>25</v>
      </c>
      <c r="C290" t="s">
        <v>526</v>
      </c>
      <c r="D290">
        <v>3190063295301</v>
      </c>
      <c r="E290" t="s">
        <v>53</v>
      </c>
      <c r="F290" t="s">
        <v>597</v>
      </c>
      <c r="G290" t="s">
        <v>598</v>
      </c>
      <c r="H290" t="s">
        <v>599</v>
      </c>
      <c r="I290" t="s">
        <v>661</v>
      </c>
      <c r="L290" t="s">
        <v>669</v>
      </c>
      <c r="M290" t="s">
        <v>670</v>
      </c>
      <c r="N290" t="s">
        <v>949</v>
      </c>
      <c r="P290" t="s">
        <v>603</v>
      </c>
      <c r="Q290" t="s">
        <v>727</v>
      </c>
      <c r="R290" t="s">
        <v>1040</v>
      </c>
      <c r="S290">
        <v>20170120</v>
      </c>
      <c r="T290" t="s">
        <v>903</v>
      </c>
      <c r="X290">
        <v>26</v>
      </c>
      <c r="Y290">
        <v>50000</v>
      </c>
      <c r="AA290" t="s">
        <v>605</v>
      </c>
      <c r="AB290">
        <v>20190215</v>
      </c>
      <c r="AE290">
        <f t="shared" si="4"/>
        <v>0</v>
      </c>
      <c r="AF290">
        <v>0</v>
      </c>
      <c r="AG290">
        <v>0</v>
      </c>
      <c r="AH290">
        <v>0</v>
      </c>
      <c r="AI290" s="121">
        <v>250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250</v>
      </c>
    </row>
    <row r="291" spans="1:41">
      <c r="A291">
        <v>201903</v>
      </c>
      <c r="B291">
        <v>25</v>
      </c>
      <c r="C291" t="s">
        <v>526</v>
      </c>
      <c r="D291">
        <v>3190063444891</v>
      </c>
      <c r="E291" t="s">
        <v>53</v>
      </c>
      <c r="F291" t="s">
        <v>597</v>
      </c>
      <c r="G291" t="s">
        <v>598</v>
      </c>
      <c r="H291" t="s">
        <v>599</v>
      </c>
      <c r="I291" t="s">
        <v>661</v>
      </c>
      <c r="J291" t="s">
        <v>661</v>
      </c>
      <c r="K291" t="s">
        <v>662</v>
      </c>
      <c r="L291" t="s">
        <v>663</v>
      </c>
      <c r="M291" t="s">
        <v>664</v>
      </c>
      <c r="N291" t="s">
        <v>978</v>
      </c>
      <c r="P291" t="s">
        <v>603</v>
      </c>
      <c r="Q291" t="s">
        <v>648</v>
      </c>
      <c r="R291" t="s">
        <v>1039</v>
      </c>
      <c r="S291">
        <v>20170120</v>
      </c>
      <c r="T291" t="s">
        <v>1049</v>
      </c>
      <c r="X291">
        <v>26</v>
      </c>
      <c r="Y291">
        <v>126000</v>
      </c>
      <c r="AA291" t="s">
        <v>605</v>
      </c>
      <c r="AB291">
        <v>20190215</v>
      </c>
      <c r="AE291">
        <f t="shared" si="4"/>
        <v>0</v>
      </c>
      <c r="AF291">
        <v>0</v>
      </c>
      <c r="AG291">
        <v>0</v>
      </c>
      <c r="AH291">
        <v>0</v>
      </c>
      <c r="AI291" s="121">
        <v>945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945</v>
      </c>
    </row>
    <row r="292" spans="1:41">
      <c r="A292">
        <v>201903</v>
      </c>
      <c r="B292">
        <v>25</v>
      </c>
      <c r="C292" t="s">
        <v>526</v>
      </c>
      <c r="D292">
        <v>3190064024141</v>
      </c>
      <c r="E292" t="s">
        <v>53</v>
      </c>
      <c r="F292" t="s">
        <v>597</v>
      </c>
      <c r="G292" t="s">
        <v>598</v>
      </c>
      <c r="H292" t="s">
        <v>599</v>
      </c>
      <c r="I292" t="s">
        <v>719</v>
      </c>
      <c r="J292" t="s">
        <v>720</v>
      </c>
      <c r="K292" t="s">
        <v>728</v>
      </c>
      <c r="L292" t="s">
        <v>733</v>
      </c>
      <c r="M292" t="s">
        <v>715</v>
      </c>
      <c r="N292" t="s">
        <v>1255</v>
      </c>
      <c r="P292" t="s">
        <v>603</v>
      </c>
      <c r="Q292" t="s">
        <v>648</v>
      </c>
      <c r="R292" t="s">
        <v>1038</v>
      </c>
      <c r="S292">
        <v>20170124</v>
      </c>
      <c r="T292" t="s">
        <v>839</v>
      </c>
      <c r="X292">
        <v>26</v>
      </c>
      <c r="Y292">
        <v>85200</v>
      </c>
      <c r="AA292" t="s">
        <v>605</v>
      </c>
      <c r="AB292">
        <v>20190225</v>
      </c>
      <c r="AE292">
        <f t="shared" si="4"/>
        <v>0</v>
      </c>
      <c r="AF292">
        <v>0</v>
      </c>
      <c r="AG292">
        <v>0</v>
      </c>
      <c r="AH292">
        <v>0</v>
      </c>
      <c r="AI292" s="121">
        <v>426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426</v>
      </c>
    </row>
    <row r="293" spans="1:41">
      <c r="A293">
        <v>201903</v>
      </c>
      <c r="B293">
        <v>25</v>
      </c>
      <c r="C293" t="s">
        <v>526</v>
      </c>
      <c r="D293">
        <v>3190064426981</v>
      </c>
      <c r="E293" t="s">
        <v>53</v>
      </c>
      <c r="F293" t="s">
        <v>597</v>
      </c>
      <c r="G293" t="s">
        <v>598</v>
      </c>
      <c r="H293" t="s">
        <v>599</v>
      </c>
      <c r="I293" t="s">
        <v>719</v>
      </c>
      <c r="J293" t="s">
        <v>720</v>
      </c>
      <c r="K293" t="s">
        <v>728</v>
      </c>
      <c r="L293" t="s">
        <v>733</v>
      </c>
      <c r="M293" t="s">
        <v>715</v>
      </c>
      <c r="N293" t="s">
        <v>1255</v>
      </c>
      <c r="P293" t="s">
        <v>603</v>
      </c>
      <c r="Q293" t="s">
        <v>648</v>
      </c>
      <c r="R293" t="s">
        <v>1038</v>
      </c>
      <c r="S293">
        <v>20170131</v>
      </c>
      <c r="T293" t="s">
        <v>871</v>
      </c>
      <c r="X293">
        <v>26</v>
      </c>
      <c r="Y293">
        <v>32500</v>
      </c>
      <c r="AA293" t="s">
        <v>605</v>
      </c>
      <c r="AB293">
        <v>20190225</v>
      </c>
      <c r="AE293">
        <f t="shared" si="4"/>
        <v>0</v>
      </c>
      <c r="AF293">
        <v>0</v>
      </c>
      <c r="AG293">
        <v>0</v>
      </c>
      <c r="AH293">
        <v>0</v>
      </c>
      <c r="AI293" s="121">
        <v>162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162</v>
      </c>
    </row>
    <row r="294" spans="1:41">
      <c r="A294">
        <v>201903</v>
      </c>
      <c r="B294">
        <v>25</v>
      </c>
      <c r="C294" t="s">
        <v>526</v>
      </c>
      <c r="D294">
        <v>3190064441171</v>
      </c>
      <c r="E294" t="s">
        <v>53</v>
      </c>
      <c r="F294" t="s">
        <v>597</v>
      </c>
      <c r="G294" t="s">
        <v>598</v>
      </c>
      <c r="H294" t="s">
        <v>599</v>
      </c>
      <c r="I294" t="s">
        <v>719</v>
      </c>
      <c r="J294" t="s">
        <v>720</v>
      </c>
      <c r="K294" t="s">
        <v>728</v>
      </c>
      <c r="L294" t="s">
        <v>733</v>
      </c>
      <c r="M294" t="s">
        <v>715</v>
      </c>
      <c r="N294" t="s">
        <v>1255</v>
      </c>
      <c r="P294" t="s">
        <v>603</v>
      </c>
      <c r="Q294" t="s">
        <v>648</v>
      </c>
      <c r="R294" t="s">
        <v>1038</v>
      </c>
      <c r="S294">
        <v>20170131</v>
      </c>
      <c r="T294" t="s">
        <v>1060</v>
      </c>
      <c r="X294">
        <v>26</v>
      </c>
      <c r="Y294">
        <v>33300</v>
      </c>
      <c r="AA294" t="s">
        <v>605</v>
      </c>
      <c r="AB294">
        <v>20190225</v>
      </c>
      <c r="AE294">
        <f t="shared" si="4"/>
        <v>0</v>
      </c>
      <c r="AF294">
        <v>0</v>
      </c>
      <c r="AG294">
        <v>0</v>
      </c>
      <c r="AH294">
        <v>0</v>
      </c>
      <c r="AI294" s="121">
        <v>166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166</v>
      </c>
    </row>
    <row r="295" spans="1:41">
      <c r="A295">
        <v>201903</v>
      </c>
      <c r="B295">
        <v>25</v>
      </c>
      <c r="C295" t="s">
        <v>526</v>
      </c>
      <c r="D295">
        <v>3190064457851</v>
      </c>
      <c r="E295" t="s">
        <v>53</v>
      </c>
      <c r="F295" t="s">
        <v>597</v>
      </c>
      <c r="G295" t="s">
        <v>598</v>
      </c>
      <c r="H295" t="s">
        <v>599</v>
      </c>
      <c r="I295" t="s">
        <v>719</v>
      </c>
      <c r="J295" t="s">
        <v>720</v>
      </c>
      <c r="K295" t="s">
        <v>728</v>
      </c>
      <c r="L295" t="s">
        <v>733</v>
      </c>
      <c r="M295" t="s">
        <v>715</v>
      </c>
      <c r="N295" t="s">
        <v>1255</v>
      </c>
      <c r="P295" t="s">
        <v>603</v>
      </c>
      <c r="Q295" t="s">
        <v>648</v>
      </c>
      <c r="R295" t="s">
        <v>1038</v>
      </c>
      <c r="S295">
        <v>20170131</v>
      </c>
      <c r="T295" t="s">
        <v>883</v>
      </c>
      <c r="X295">
        <v>26</v>
      </c>
      <c r="Y295">
        <v>30000</v>
      </c>
      <c r="AA295" t="s">
        <v>605</v>
      </c>
      <c r="AB295">
        <v>20190220</v>
      </c>
      <c r="AE295">
        <f t="shared" si="4"/>
        <v>0</v>
      </c>
      <c r="AF295">
        <v>0</v>
      </c>
      <c r="AG295">
        <v>0</v>
      </c>
      <c r="AH295">
        <v>0</v>
      </c>
      <c r="AI295" s="121">
        <v>150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150</v>
      </c>
    </row>
    <row r="296" spans="1:41">
      <c r="A296">
        <v>201903</v>
      </c>
      <c r="B296">
        <v>25</v>
      </c>
      <c r="C296" t="s">
        <v>526</v>
      </c>
      <c r="D296">
        <v>3190064474821</v>
      </c>
      <c r="E296" t="s">
        <v>53</v>
      </c>
      <c r="F296" t="s">
        <v>597</v>
      </c>
      <c r="G296" t="s">
        <v>598</v>
      </c>
      <c r="H296" t="s">
        <v>599</v>
      </c>
      <c r="I296" t="s">
        <v>661</v>
      </c>
      <c r="L296" t="s">
        <v>669</v>
      </c>
      <c r="M296" t="s">
        <v>670</v>
      </c>
      <c r="N296" t="s">
        <v>949</v>
      </c>
      <c r="P296" t="s">
        <v>603</v>
      </c>
      <c r="Q296" t="s">
        <v>648</v>
      </c>
      <c r="R296" t="s">
        <v>1039</v>
      </c>
      <c r="S296">
        <v>20170131</v>
      </c>
      <c r="T296" t="s">
        <v>1247</v>
      </c>
      <c r="X296">
        <v>26</v>
      </c>
      <c r="Y296">
        <v>29826</v>
      </c>
      <c r="AA296" t="s">
        <v>605</v>
      </c>
      <c r="AB296">
        <v>20190220</v>
      </c>
      <c r="AE296">
        <f t="shared" si="4"/>
        <v>0</v>
      </c>
      <c r="AF296">
        <v>0</v>
      </c>
      <c r="AG296">
        <v>0</v>
      </c>
      <c r="AH296">
        <v>0</v>
      </c>
      <c r="AI296" s="121">
        <v>223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223</v>
      </c>
    </row>
    <row r="297" spans="1:41">
      <c r="A297">
        <v>201903</v>
      </c>
      <c r="B297">
        <v>25</v>
      </c>
      <c r="C297" t="s">
        <v>526</v>
      </c>
      <c r="D297">
        <v>3190466946701</v>
      </c>
      <c r="E297" t="s">
        <v>53</v>
      </c>
      <c r="F297" t="s">
        <v>597</v>
      </c>
      <c r="G297" t="s">
        <v>598</v>
      </c>
      <c r="H297" t="s">
        <v>599</v>
      </c>
      <c r="I297" t="s">
        <v>702</v>
      </c>
      <c r="J297" t="s">
        <v>702</v>
      </c>
      <c r="K297" t="s">
        <v>703</v>
      </c>
      <c r="L297" t="s">
        <v>506</v>
      </c>
      <c r="M297" t="s">
        <v>505</v>
      </c>
      <c r="N297" t="s">
        <v>995</v>
      </c>
      <c r="P297" t="s">
        <v>603</v>
      </c>
      <c r="Q297" t="s">
        <v>648</v>
      </c>
      <c r="R297" t="s">
        <v>980</v>
      </c>
      <c r="S297">
        <v>20181116</v>
      </c>
      <c r="T297" t="s">
        <v>871</v>
      </c>
      <c r="X297">
        <v>4</v>
      </c>
      <c r="Y297">
        <v>154755</v>
      </c>
      <c r="AA297" t="s">
        <v>605</v>
      </c>
      <c r="AB297">
        <v>20190225</v>
      </c>
      <c r="AE297">
        <f t="shared" si="4"/>
        <v>0</v>
      </c>
      <c r="AF297">
        <v>0</v>
      </c>
      <c r="AG297">
        <v>0</v>
      </c>
      <c r="AH297">
        <v>0</v>
      </c>
      <c r="AI297" s="121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</row>
    <row r="298" spans="1:41">
      <c r="A298">
        <v>201903</v>
      </c>
      <c r="B298">
        <v>25</v>
      </c>
      <c r="C298" t="s">
        <v>526</v>
      </c>
      <c r="D298">
        <v>3190467509561</v>
      </c>
      <c r="E298" t="s">
        <v>53</v>
      </c>
      <c r="F298" t="s">
        <v>597</v>
      </c>
      <c r="G298" t="s">
        <v>598</v>
      </c>
      <c r="H298" t="s">
        <v>599</v>
      </c>
      <c r="I298" t="s">
        <v>661</v>
      </c>
      <c r="J298" t="s">
        <v>661</v>
      </c>
      <c r="K298" t="s">
        <v>662</v>
      </c>
      <c r="L298" t="s">
        <v>698</v>
      </c>
      <c r="M298" t="s">
        <v>699</v>
      </c>
      <c r="N298" t="s">
        <v>964</v>
      </c>
      <c r="P298" t="s">
        <v>603</v>
      </c>
      <c r="Q298" t="s">
        <v>648</v>
      </c>
      <c r="R298" t="s">
        <v>980</v>
      </c>
      <c r="S298">
        <v>20181116</v>
      </c>
      <c r="T298" t="s">
        <v>830</v>
      </c>
      <c r="X298">
        <v>4</v>
      </c>
      <c r="Y298">
        <v>25601</v>
      </c>
      <c r="AA298" t="s">
        <v>605</v>
      </c>
      <c r="AB298">
        <v>20190228</v>
      </c>
      <c r="AE298">
        <f t="shared" si="4"/>
        <v>0</v>
      </c>
      <c r="AF298">
        <v>0</v>
      </c>
      <c r="AG298">
        <v>0</v>
      </c>
      <c r="AH298">
        <v>0</v>
      </c>
      <c r="AI298" s="121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</row>
    <row r="299" spans="1:41">
      <c r="A299">
        <v>201903</v>
      </c>
      <c r="B299">
        <v>25</v>
      </c>
      <c r="C299" t="s">
        <v>526</v>
      </c>
      <c r="D299">
        <v>3190467824711</v>
      </c>
      <c r="E299" t="s">
        <v>53</v>
      </c>
      <c r="F299" t="s">
        <v>597</v>
      </c>
      <c r="G299" t="s">
        <v>598</v>
      </c>
      <c r="H299" t="s">
        <v>599</v>
      </c>
      <c r="I299" t="s">
        <v>661</v>
      </c>
      <c r="J299" t="s">
        <v>661</v>
      </c>
      <c r="K299" t="s">
        <v>662</v>
      </c>
      <c r="L299" t="s">
        <v>700</v>
      </c>
      <c r="M299" t="s">
        <v>701</v>
      </c>
      <c r="N299" t="s">
        <v>962</v>
      </c>
      <c r="P299" t="s">
        <v>603</v>
      </c>
      <c r="Q299" t="s">
        <v>648</v>
      </c>
      <c r="R299" t="s">
        <v>980</v>
      </c>
      <c r="S299">
        <v>20181123</v>
      </c>
      <c r="T299" t="s">
        <v>1025</v>
      </c>
      <c r="X299">
        <v>4</v>
      </c>
      <c r="Y299">
        <v>184179</v>
      </c>
      <c r="AA299" t="s">
        <v>605</v>
      </c>
      <c r="AB299">
        <v>20190208</v>
      </c>
      <c r="AE299">
        <f t="shared" si="4"/>
        <v>0</v>
      </c>
      <c r="AF299">
        <v>0</v>
      </c>
      <c r="AG299">
        <v>0</v>
      </c>
      <c r="AH299">
        <v>0</v>
      </c>
      <c r="AI299" s="121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</row>
    <row r="300" spans="1:41">
      <c r="A300">
        <v>201903</v>
      </c>
      <c r="B300">
        <v>25</v>
      </c>
      <c r="C300" t="s">
        <v>526</v>
      </c>
      <c r="D300">
        <v>3190468037311</v>
      </c>
      <c r="E300" t="s">
        <v>53</v>
      </c>
      <c r="F300" t="s">
        <v>597</v>
      </c>
      <c r="G300" t="s">
        <v>598</v>
      </c>
      <c r="H300" t="s">
        <v>599</v>
      </c>
      <c r="I300" t="s">
        <v>1168</v>
      </c>
      <c r="L300" t="s">
        <v>675</v>
      </c>
      <c r="M300" t="s">
        <v>676</v>
      </c>
      <c r="N300" t="s">
        <v>988</v>
      </c>
      <c r="P300" t="s">
        <v>603</v>
      </c>
      <c r="Q300" t="s">
        <v>648</v>
      </c>
      <c r="R300" t="s">
        <v>989</v>
      </c>
      <c r="S300">
        <v>20181120</v>
      </c>
      <c r="T300" t="s">
        <v>1026</v>
      </c>
      <c r="V300">
        <v>0</v>
      </c>
      <c r="W300">
        <v>0</v>
      </c>
      <c r="X300">
        <v>4</v>
      </c>
      <c r="Y300">
        <v>25000</v>
      </c>
      <c r="AA300" t="s">
        <v>605</v>
      </c>
      <c r="AB300">
        <v>20190220</v>
      </c>
      <c r="AE300">
        <f t="shared" si="4"/>
        <v>0</v>
      </c>
      <c r="AF300">
        <v>0</v>
      </c>
      <c r="AG300">
        <v>0</v>
      </c>
      <c r="AH300">
        <v>0</v>
      </c>
      <c r="AI300" s="121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</row>
    <row r="301" spans="1:41">
      <c r="A301">
        <v>201903</v>
      </c>
      <c r="B301">
        <v>25</v>
      </c>
      <c r="C301" t="s">
        <v>526</v>
      </c>
      <c r="D301">
        <v>3190468084181</v>
      </c>
      <c r="E301" t="s">
        <v>53</v>
      </c>
      <c r="F301" t="s">
        <v>597</v>
      </c>
      <c r="G301" t="s">
        <v>598</v>
      </c>
      <c r="H301" t="s">
        <v>599</v>
      </c>
      <c r="I301" t="s">
        <v>1168</v>
      </c>
      <c r="L301" t="s">
        <v>675</v>
      </c>
      <c r="M301" t="s">
        <v>676</v>
      </c>
      <c r="N301" t="s">
        <v>988</v>
      </c>
      <c r="P301" t="s">
        <v>603</v>
      </c>
      <c r="Q301" t="s">
        <v>648</v>
      </c>
      <c r="R301" t="s">
        <v>989</v>
      </c>
      <c r="S301">
        <v>20181126</v>
      </c>
      <c r="T301" t="s">
        <v>1019</v>
      </c>
      <c r="V301">
        <v>0</v>
      </c>
      <c r="W301">
        <v>0</v>
      </c>
      <c r="X301">
        <v>4</v>
      </c>
      <c r="Y301">
        <v>25000</v>
      </c>
      <c r="AA301" t="s">
        <v>605</v>
      </c>
      <c r="AB301">
        <v>20190220</v>
      </c>
      <c r="AE301">
        <f t="shared" si="4"/>
        <v>0</v>
      </c>
      <c r="AF301">
        <v>0</v>
      </c>
      <c r="AG301">
        <v>0</v>
      </c>
      <c r="AH301">
        <v>0</v>
      </c>
      <c r="AI301" s="12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</row>
    <row r="302" spans="1:41">
      <c r="A302">
        <v>201903</v>
      </c>
      <c r="B302">
        <v>25</v>
      </c>
      <c r="C302" t="s">
        <v>526</v>
      </c>
      <c r="D302">
        <v>3190468332721</v>
      </c>
      <c r="E302" t="s">
        <v>53</v>
      </c>
      <c r="F302" t="s">
        <v>597</v>
      </c>
      <c r="G302" t="s">
        <v>598</v>
      </c>
      <c r="H302" t="s">
        <v>599</v>
      </c>
      <c r="I302" t="s">
        <v>646</v>
      </c>
      <c r="J302" t="s">
        <v>646</v>
      </c>
      <c r="K302" t="s">
        <v>647</v>
      </c>
      <c r="L302" t="s">
        <v>655</v>
      </c>
      <c r="M302" t="s">
        <v>656</v>
      </c>
      <c r="N302" t="s">
        <v>1071</v>
      </c>
      <c r="P302" t="s">
        <v>603</v>
      </c>
      <c r="Q302" t="s">
        <v>648</v>
      </c>
      <c r="R302" t="s">
        <v>996</v>
      </c>
      <c r="S302">
        <v>20181120</v>
      </c>
      <c r="T302" t="s">
        <v>894</v>
      </c>
      <c r="X302">
        <v>4</v>
      </c>
      <c r="Y302">
        <v>150000</v>
      </c>
      <c r="AA302" t="s">
        <v>605</v>
      </c>
      <c r="AB302">
        <v>20190225</v>
      </c>
      <c r="AE302">
        <f t="shared" si="4"/>
        <v>0</v>
      </c>
      <c r="AF302">
        <v>0</v>
      </c>
      <c r="AG302">
        <v>0</v>
      </c>
      <c r="AH302">
        <v>0</v>
      </c>
      <c r="AI302" s="121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</row>
    <row r="303" spans="1:41">
      <c r="A303">
        <v>201903</v>
      </c>
      <c r="B303">
        <v>25</v>
      </c>
      <c r="C303" t="s">
        <v>526</v>
      </c>
      <c r="D303">
        <v>3190469652521</v>
      </c>
      <c r="E303" t="s">
        <v>53</v>
      </c>
      <c r="F303" t="s">
        <v>597</v>
      </c>
      <c r="G303" t="s">
        <v>598</v>
      </c>
      <c r="H303" t="s">
        <v>599</v>
      </c>
      <c r="I303" t="s">
        <v>661</v>
      </c>
      <c r="L303" t="s">
        <v>669</v>
      </c>
      <c r="M303" t="s">
        <v>670</v>
      </c>
      <c r="N303" t="s">
        <v>949</v>
      </c>
      <c r="P303" t="s">
        <v>603</v>
      </c>
      <c r="Q303" t="s">
        <v>648</v>
      </c>
      <c r="R303" t="s">
        <v>980</v>
      </c>
      <c r="S303">
        <v>20181128</v>
      </c>
      <c r="T303" t="s">
        <v>867</v>
      </c>
      <c r="X303">
        <v>4</v>
      </c>
      <c r="Y303">
        <v>33417</v>
      </c>
      <c r="AA303" t="s">
        <v>605</v>
      </c>
      <c r="AB303">
        <v>20190211</v>
      </c>
      <c r="AE303">
        <f t="shared" si="4"/>
        <v>0</v>
      </c>
      <c r="AF303">
        <v>0</v>
      </c>
      <c r="AG303">
        <v>0</v>
      </c>
      <c r="AH303">
        <v>0</v>
      </c>
      <c r="AI303" s="121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</row>
    <row r="304" spans="1:41">
      <c r="A304">
        <v>201903</v>
      </c>
      <c r="B304">
        <v>25</v>
      </c>
      <c r="C304" t="s">
        <v>526</v>
      </c>
      <c r="D304">
        <v>3190470091831</v>
      </c>
      <c r="E304" t="s">
        <v>53</v>
      </c>
      <c r="F304" t="s">
        <v>597</v>
      </c>
      <c r="G304" t="s">
        <v>598</v>
      </c>
      <c r="H304" t="s">
        <v>599</v>
      </c>
      <c r="I304" t="s">
        <v>661</v>
      </c>
      <c r="J304" t="s">
        <v>661</v>
      </c>
      <c r="K304" t="s">
        <v>662</v>
      </c>
      <c r="L304" t="s">
        <v>700</v>
      </c>
      <c r="M304" t="s">
        <v>701</v>
      </c>
      <c r="N304" t="s">
        <v>962</v>
      </c>
      <c r="P304" t="s">
        <v>603</v>
      </c>
      <c r="Q304" t="s">
        <v>648</v>
      </c>
      <c r="R304" t="s">
        <v>979</v>
      </c>
      <c r="S304">
        <v>20181127</v>
      </c>
      <c r="T304" t="s">
        <v>906</v>
      </c>
      <c r="X304">
        <v>4</v>
      </c>
      <c r="Y304">
        <v>31000</v>
      </c>
      <c r="AA304" t="s">
        <v>605</v>
      </c>
      <c r="AB304">
        <v>20190220</v>
      </c>
      <c r="AE304">
        <f t="shared" si="4"/>
        <v>0</v>
      </c>
      <c r="AF304">
        <v>0</v>
      </c>
      <c r="AG304">
        <v>0</v>
      </c>
      <c r="AH304">
        <v>0</v>
      </c>
      <c r="AI304" s="121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</row>
    <row r="305" spans="1:41">
      <c r="A305">
        <v>201903</v>
      </c>
      <c r="B305">
        <v>25</v>
      </c>
      <c r="C305" t="s">
        <v>526</v>
      </c>
      <c r="D305">
        <v>3190470165811</v>
      </c>
      <c r="E305" t="s">
        <v>53</v>
      </c>
      <c r="F305" t="s">
        <v>597</v>
      </c>
      <c r="G305" t="s">
        <v>598</v>
      </c>
      <c r="H305" t="s">
        <v>599</v>
      </c>
      <c r="I305" t="s">
        <v>661</v>
      </c>
      <c r="J305" t="s">
        <v>661</v>
      </c>
      <c r="K305" t="s">
        <v>662</v>
      </c>
      <c r="L305" t="s">
        <v>700</v>
      </c>
      <c r="M305" t="s">
        <v>701</v>
      </c>
      <c r="N305" t="s">
        <v>962</v>
      </c>
      <c r="P305" t="s">
        <v>603</v>
      </c>
      <c r="Q305" t="s">
        <v>648</v>
      </c>
      <c r="R305" t="s">
        <v>1228</v>
      </c>
      <c r="S305">
        <v>20181127</v>
      </c>
      <c r="T305" t="s">
        <v>870</v>
      </c>
      <c r="X305">
        <v>4</v>
      </c>
      <c r="Y305">
        <v>31000</v>
      </c>
      <c r="AA305" t="s">
        <v>605</v>
      </c>
      <c r="AB305">
        <v>20190225</v>
      </c>
      <c r="AE305">
        <f t="shared" si="4"/>
        <v>0</v>
      </c>
      <c r="AF305">
        <v>0</v>
      </c>
      <c r="AG305">
        <v>0</v>
      </c>
      <c r="AH305">
        <v>0</v>
      </c>
      <c r="AI305" s="121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</row>
    <row r="306" spans="1:41">
      <c r="A306">
        <v>201903</v>
      </c>
      <c r="B306">
        <v>25</v>
      </c>
      <c r="C306" t="s">
        <v>526</v>
      </c>
      <c r="D306">
        <v>3190470760871</v>
      </c>
      <c r="E306" t="s">
        <v>53</v>
      </c>
      <c r="F306" t="s">
        <v>597</v>
      </c>
      <c r="G306" t="s">
        <v>598</v>
      </c>
      <c r="H306" t="s">
        <v>599</v>
      </c>
      <c r="I306" t="s">
        <v>702</v>
      </c>
      <c r="J306" t="s">
        <v>702</v>
      </c>
      <c r="K306" t="s">
        <v>703</v>
      </c>
      <c r="L306" t="s">
        <v>506</v>
      </c>
      <c r="M306" t="s">
        <v>505</v>
      </c>
      <c r="N306" t="s">
        <v>995</v>
      </c>
      <c r="P306" t="s">
        <v>603</v>
      </c>
      <c r="Q306" t="s">
        <v>648</v>
      </c>
      <c r="R306" t="s">
        <v>980</v>
      </c>
      <c r="S306">
        <v>20181129</v>
      </c>
      <c r="T306" t="s">
        <v>1229</v>
      </c>
      <c r="X306">
        <v>4</v>
      </c>
      <c r="Y306">
        <v>44705</v>
      </c>
      <c r="AA306" t="s">
        <v>605</v>
      </c>
      <c r="AB306">
        <v>20190225</v>
      </c>
      <c r="AE306">
        <f t="shared" si="4"/>
        <v>0</v>
      </c>
      <c r="AF306">
        <v>0</v>
      </c>
      <c r="AG306">
        <v>0</v>
      </c>
      <c r="AH306">
        <v>0</v>
      </c>
      <c r="AI306" s="121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</row>
    <row r="307" spans="1:41">
      <c r="A307">
        <v>201903</v>
      </c>
      <c r="B307">
        <v>25</v>
      </c>
      <c r="C307" t="s">
        <v>526</v>
      </c>
      <c r="D307">
        <v>3190471048851</v>
      </c>
      <c r="E307" t="s">
        <v>53</v>
      </c>
      <c r="F307" t="s">
        <v>597</v>
      </c>
      <c r="G307" t="s">
        <v>598</v>
      </c>
      <c r="H307" t="s">
        <v>599</v>
      </c>
      <c r="I307" t="s">
        <v>661</v>
      </c>
      <c r="J307" t="s">
        <v>661</v>
      </c>
      <c r="K307" t="s">
        <v>662</v>
      </c>
      <c r="L307" t="s">
        <v>700</v>
      </c>
      <c r="M307" t="s">
        <v>701</v>
      </c>
      <c r="N307" t="s">
        <v>962</v>
      </c>
      <c r="P307" t="s">
        <v>603</v>
      </c>
      <c r="Q307" t="s">
        <v>648</v>
      </c>
      <c r="R307" t="s">
        <v>1228</v>
      </c>
      <c r="S307">
        <v>20181130</v>
      </c>
      <c r="T307" t="s">
        <v>815</v>
      </c>
      <c r="X307">
        <v>4</v>
      </c>
      <c r="Y307">
        <v>28000</v>
      </c>
      <c r="AA307" t="s">
        <v>605</v>
      </c>
      <c r="AB307">
        <v>20190228</v>
      </c>
      <c r="AE307">
        <f t="shared" si="4"/>
        <v>0</v>
      </c>
      <c r="AF307">
        <v>0</v>
      </c>
      <c r="AG307">
        <v>0</v>
      </c>
      <c r="AH307">
        <v>0</v>
      </c>
      <c r="AI307" s="121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</row>
    <row r="308" spans="1:41">
      <c r="A308">
        <v>201903</v>
      </c>
      <c r="B308">
        <v>25</v>
      </c>
      <c r="C308" t="s">
        <v>526</v>
      </c>
      <c r="D308">
        <v>3190471130591</v>
      </c>
      <c r="E308" t="s">
        <v>53</v>
      </c>
      <c r="F308" t="s">
        <v>597</v>
      </c>
      <c r="G308" t="s">
        <v>598</v>
      </c>
      <c r="H308" t="s">
        <v>599</v>
      </c>
      <c r="I308" t="s">
        <v>702</v>
      </c>
      <c r="J308" t="s">
        <v>702</v>
      </c>
      <c r="K308" t="s">
        <v>703</v>
      </c>
      <c r="L308" t="s">
        <v>506</v>
      </c>
      <c r="M308" t="s">
        <v>505</v>
      </c>
      <c r="N308" t="s">
        <v>995</v>
      </c>
      <c r="P308" t="s">
        <v>603</v>
      </c>
      <c r="Q308" t="s">
        <v>648</v>
      </c>
      <c r="R308" t="s">
        <v>1228</v>
      </c>
      <c r="S308">
        <v>20181129</v>
      </c>
      <c r="T308" t="s">
        <v>871</v>
      </c>
      <c r="X308">
        <v>4</v>
      </c>
      <c r="Y308">
        <v>51000</v>
      </c>
      <c r="AA308" t="s">
        <v>605</v>
      </c>
      <c r="AB308">
        <v>20190220</v>
      </c>
      <c r="AE308">
        <f t="shared" si="4"/>
        <v>0</v>
      </c>
      <c r="AF308">
        <v>0</v>
      </c>
      <c r="AG308">
        <v>0</v>
      </c>
      <c r="AH308">
        <v>0</v>
      </c>
      <c r="AI308" s="121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</row>
    <row r="309" spans="1:41">
      <c r="A309">
        <v>201903</v>
      </c>
      <c r="B309">
        <v>25</v>
      </c>
      <c r="C309" t="s">
        <v>526</v>
      </c>
      <c r="D309">
        <v>3190472981141</v>
      </c>
      <c r="E309" t="s">
        <v>53</v>
      </c>
      <c r="F309" t="s">
        <v>597</v>
      </c>
      <c r="G309" t="s">
        <v>598</v>
      </c>
      <c r="H309" t="s">
        <v>599</v>
      </c>
      <c r="I309" t="s">
        <v>702</v>
      </c>
      <c r="J309" t="s">
        <v>702</v>
      </c>
      <c r="K309" t="s">
        <v>703</v>
      </c>
      <c r="L309" t="s">
        <v>513</v>
      </c>
      <c r="M309" t="s">
        <v>512</v>
      </c>
      <c r="N309" t="s">
        <v>930</v>
      </c>
      <c r="P309" t="s">
        <v>603</v>
      </c>
      <c r="Q309" t="s">
        <v>648</v>
      </c>
      <c r="R309" t="s">
        <v>979</v>
      </c>
      <c r="S309">
        <v>20181206</v>
      </c>
      <c r="T309" t="s">
        <v>810</v>
      </c>
      <c r="X309">
        <v>3</v>
      </c>
      <c r="Y309">
        <v>39500</v>
      </c>
      <c r="AA309" t="s">
        <v>605</v>
      </c>
      <c r="AB309">
        <v>20190225</v>
      </c>
      <c r="AE309">
        <f t="shared" si="4"/>
        <v>0</v>
      </c>
      <c r="AF309">
        <v>0</v>
      </c>
      <c r="AG309">
        <v>0</v>
      </c>
      <c r="AH309">
        <v>0</v>
      </c>
      <c r="AI309" s="121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</row>
    <row r="310" spans="1:41">
      <c r="A310">
        <v>201903</v>
      </c>
      <c r="B310">
        <v>25</v>
      </c>
      <c r="C310" t="s">
        <v>526</v>
      </c>
      <c r="D310">
        <v>3190473040701</v>
      </c>
      <c r="E310" t="s">
        <v>53</v>
      </c>
      <c r="F310" t="s">
        <v>597</v>
      </c>
      <c r="G310" t="s">
        <v>598</v>
      </c>
      <c r="H310" t="s">
        <v>599</v>
      </c>
      <c r="I310" t="s">
        <v>661</v>
      </c>
      <c r="J310" t="s">
        <v>661</v>
      </c>
      <c r="K310" t="s">
        <v>662</v>
      </c>
      <c r="L310" t="s">
        <v>700</v>
      </c>
      <c r="M310" t="s">
        <v>701</v>
      </c>
      <c r="N310" t="s">
        <v>962</v>
      </c>
      <c r="P310" t="s">
        <v>603</v>
      </c>
      <c r="Q310" t="s">
        <v>648</v>
      </c>
      <c r="R310" t="s">
        <v>980</v>
      </c>
      <c r="S310">
        <v>20181207</v>
      </c>
      <c r="T310" t="s">
        <v>861</v>
      </c>
      <c r="X310">
        <v>3</v>
      </c>
      <c r="Y310">
        <v>27853</v>
      </c>
      <c r="AA310" t="s">
        <v>605</v>
      </c>
      <c r="AB310">
        <v>20190220</v>
      </c>
      <c r="AE310">
        <f t="shared" si="4"/>
        <v>0</v>
      </c>
      <c r="AF310">
        <v>0</v>
      </c>
      <c r="AG310">
        <v>0</v>
      </c>
      <c r="AH310">
        <v>0</v>
      </c>
      <c r="AI310" s="121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</row>
    <row r="311" spans="1:41">
      <c r="A311">
        <v>201903</v>
      </c>
      <c r="B311">
        <v>25</v>
      </c>
      <c r="C311" t="s">
        <v>526</v>
      </c>
      <c r="D311">
        <v>3190474315071</v>
      </c>
      <c r="E311" t="s">
        <v>53</v>
      </c>
      <c r="F311" t="s">
        <v>597</v>
      </c>
      <c r="G311" t="s">
        <v>598</v>
      </c>
      <c r="H311" t="s">
        <v>599</v>
      </c>
      <c r="I311" t="s">
        <v>661</v>
      </c>
      <c r="J311" t="s">
        <v>661</v>
      </c>
      <c r="K311" t="s">
        <v>662</v>
      </c>
      <c r="L311" t="s">
        <v>700</v>
      </c>
      <c r="M311" t="s">
        <v>701</v>
      </c>
      <c r="N311" t="s">
        <v>962</v>
      </c>
      <c r="P311" t="s">
        <v>603</v>
      </c>
      <c r="Q311" t="s">
        <v>648</v>
      </c>
      <c r="R311" t="s">
        <v>980</v>
      </c>
      <c r="S311">
        <v>20181212</v>
      </c>
      <c r="T311" t="s">
        <v>875</v>
      </c>
      <c r="X311">
        <v>3</v>
      </c>
      <c r="Y311">
        <v>133051</v>
      </c>
      <c r="AA311" t="s">
        <v>605</v>
      </c>
      <c r="AB311">
        <v>20190201</v>
      </c>
      <c r="AE311">
        <f t="shared" si="4"/>
        <v>0</v>
      </c>
      <c r="AF311">
        <v>0</v>
      </c>
      <c r="AG311">
        <v>0</v>
      </c>
      <c r="AH311">
        <v>0</v>
      </c>
      <c r="AI311" s="12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</row>
    <row r="312" spans="1:41">
      <c r="A312">
        <v>201903</v>
      </c>
      <c r="B312">
        <v>25</v>
      </c>
      <c r="C312" t="s">
        <v>526</v>
      </c>
      <c r="D312">
        <v>3190475033381</v>
      </c>
      <c r="E312" t="s">
        <v>53</v>
      </c>
      <c r="F312" t="s">
        <v>597</v>
      </c>
      <c r="G312" t="s">
        <v>598</v>
      </c>
      <c r="H312" t="s">
        <v>599</v>
      </c>
      <c r="I312" t="s">
        <v>674</v>
      </c>
      <c r="L312" t="s">
        <v>705</v>
      </c>
      <c r="M312" t="s">
        <v>706</v>
      </c>
      <c r="N312" t="s">
        <v>966</v>
      </c>
      <c r="P312" t="s">
        <v>603</v>
      </c>
      <c r="Q312" t="s">
        <v>648</v>
      </c>
      <c r="R312" t="s">
        <v>980</v>
      </c>
      <c r="S312">
        <v>20181214</v>
      </c>
      <c r="T312" t="s">
        <v>898</v>
      </c>
      <c r="X312">
        <v>3</v>
      </c>
      <c r="Y312">
        <v>84028</v>
      </c>
      <c r="AA312" t="s">
        <v>605</v>
      </c>
      <c r="AB312">
        <v>20190220</v>
      </c>
      <c r="AE312">
        <f t="shared" si="4"/>
        <v>0</v>
      </c>
      <c r="AF312">
        <v>0</v>
      </c>
      <c r="AG312">
        <v>0</v>
      </c>
      <c r="AH312">
        <v>0</v>
      </c>
      <c r="AI312" s="121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</row>
    <row r="313" spans="1:41">
      <c r="A313">
        <v>201903</v>
      </c>
      <c r="B313">
        <v>25</v>
      </c>
      <c r="C313" t="s">
        <v>526</v>
      </c>
      <c r="D313">
        <v>3190476959131</v>
      </c>
      <c r="E313" t="s">
        <v>53</v>
      </c>
      <c r="F313" t="s">
        <v>597</v>
      </c>
      <c r="G313" t="s">
        <v>598</v>
      </c>
      <c r="H313" t="s">
        <v>599</v>
      </c>
      <c r="I313" t="s">
        <v>661</v>
      </c>
      <c r="J313" t="s">
        <v>661</v>
      </c>
      <c r="K313" t="s">
        <v>662</v>
      </c>
      <c r="L313" t="s">
        <v>679</v>
      </c>
      <c r="M313" t="s">
        <v>680</v>
      </c>
      <c r="N313" t="s">
        <v>974</v>
      </c>
      <c r="P313" t="s">
        <v>603</v>
      </c>
      <c r="Q313" t="s">
        <v>568</v>
      </c>
      <c r="R313" t="s">
        <v>983</v>
      </c>
      <c r="S313">
        <v>20181221</v>
      </c>
      <c r="T313" t="s">
        <v>1147</v>
      </c>
      <c r="X313">
        <v>3</v>
      </c>
      <c r="Y313">
        <v>29482</v>
      </c>
      <c r="AA313" t="s">
        <v>605</v>
      </c>
      <c r="AB313">
        <v>20190220</v>
      </c>
      <c r="AE313">
        <f t="shared" si="4"/>
        <v>0</v>
      </c>
      <c r="AF313">
        <v>0</v>
      </c>
      <c r="AG313">
        <v>0</v>
      </c>
      <c r="AH313">
        <v>0</v>
      </c>
      <c r="AI313" s="121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</row>
    <row r="314" spans="1:41">
      <c r="A314">
        <v>201903</v>
      </c>
      <c r="B314">
        <v>25</v>
      </c>
      <c r="C314" t="s">
        <v>526</v>
      </c>
      <c r="D314">
        <v>3190477079011</v>
      </c>
      <c r="E314" t="s">
        <v>53</v>
      </c>
      <c r="F314" t="s">
        <v>597</v>
      </c>
      <c r="G314" t="s">
        <v>598</v>
      </c>
      <c r="H314" t="s">
        <v>599</v>
      </c>
      <c r="I314" t="s">
        <v>649</v>
      </c>
      <c r="J314" t="s">
        <v>649</v>
      </c>
      <c r="K314" t="s">
        <v>685</v>
      </c>
      <c r="L314" t="s">
        <v>688</v>
      </c>
      <c r="M314" t="s">
        <v>689</v>
      </c>
      <c r="N314" t="s">
        <v>976</v>
      </c>
      <c r="P314" t="s">
        <v>603</v>
      </c>
      <c r="Q314" t="s">
        <v>648</v>
      </c>
      <c r="R314" t="s">
        <v>1228</v>
      </c>
      <c r="S314">
        <v>20181227</v>
      </c>
      <c r="T314" t="s">
        <v>914</v>
      </c>
      <c r="V314">
        <v>10</v>
      </c>
      <c r="W314">
        <v>10</v>
      </c>
      <c r="X314">
        <v>3</v>
      </c>
      <c r="Y314">
        <v>30000</v>
      </c>
      <c r="AA314" t="s">
        <v>605</v>
      </c>
      <c r="AB314">
        <v>20190220</v>
      </c>
      <c r="AE314">
        <f t="shared" si="4"/>
        <v>0</v>
      </c>
      <c r="AF314">
        <v>0</v>
      </c>
      <c r="AG314">
        <v>0</v>
      </c>
      <c r="AH314">
        <v>0</v>
      </c>
      <c r="AI314" s="121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</row>
    <row r="315" spans="1:41">
      <c r="A315">
        <v>201903</v>
      </c>
      <c r="B315">
        <v>25</v>
      </c>
      <c r="C315" t="s">
        <v>526</v>
      </c>
      <c r="D315">
        <v>3190477081751</v>
      </c>
      <c r="E315" t="s">
        <v>53</v>
      </c>
      <c r="F315" t="s">
        <v>597</v>
      </c>
      <c r="G315" t="s">
        <v>598</v>
      </c>
      <c r="H315" t="s">
        <v>599</v>
      </c>
      <c r="I315" t="s">
        <v>702</v>
      </c>
      <c r="J315" t="s">
        <v>702</v>
      </c>
      <c r="K315" t="s">
        <v>703</v>
      </c>
      <c r="L315" t="s">
        <v>506</v>
      </c>
      <c r="M315" t="s">
        <v>505</v>
      </c>
      <c r="N315" t="s">
        <v>995</v>
      </c>
      <c r="P315" t="s">
        <v>603</v>
      </c>
      <c r="Q315" t="s">
        <v>648</v>
      </c>
      <c r="R315" t="s">
        <v>996</v>
      </c>
      <c r="S315">
        <v>20181231</v>
      </c>
      <c r="T315" t="s">
        <v>841</v>
      </c>
      <c r="X315">
        <v>2</v>
      </c>
      <c r="Y315">
        <v>64500</v>
      </c>
      <c r="AA315" t="s">
        <v>605</v>
      </c>
      <c r="AB315">
        <v>20190225</v>
      </c>
      <c r="AE315">
        <f t="shared" si="4"/>
        <v>0</v>
      </c>
      <c r="AF315">
        <v>0</v>
      </c>
      <c r="AG315">
        <v>0</v>
      </c>
      <c r="AH315">
        <v>0</v>
      </c>
      <c r="AI315" s="121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</row>
    <row r="316" spans="1:41">
      <c r="A316">
        <v>201903</v>
      </c>
      <c r="B316">
        <v>25</v>
      </c>
      <c r="C316" t="s">
        <v>526</v>
      </c>
      <c r="D316">
        <v>3190477547241</v>
      </c>
      <c r="E316" t="s">
        <v>53</v>
      </c>
      <c r="F316" t="s">
        <v>597</v>
      </c>
      <c r="G316" t="s">
        <v>598</v>
      </c>
      <c r="H316" t="s">
        <v>599</v>
      </c>
      <c r="I316" t="s">
        <v>661</v>
      </c>
      <c r="L316" t="s">
        <v>669</v>
      </c>
      <c r="M316" t="s">
        <v>670</v>
      </c>
      <c r="N316" t="s">
        <v>949</v>
      </c>
      <c r="P316" t="s">
        <v>603</v>
      </c>
      <c r="Q316" t="s">
        <v>648</v>
      </c>
      <c r="R316" t="s">
        <v>1228</v>
      </c>
      <c r="S316">
        <v>20181231</v>
      </c>
      <c r="T316" t="s">
        <v>821</v>
      </c>
      <c r="X316">
        <v>3</v>
      </c>
      <c r="Y316">
        <v>37000</v>
      </c>
      <c r="AA316" t="s">
        <v>605</v>
      </c>
      <c r="AB316">
        <v>20190220</v>
      </c>
      <c r="AE316">
        <f t="shared" si="4"/>
        <v>0</v>
      </c>
      <c r="AF316">
        <v>0</v>
      </c>
      <c r="AG316">
        <v>0</v>
      </c>
      <c r="AH316">
        <v>0</v>
      </c>
      <c r="AI316" s="121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</row>
    <row r="317" spans="1:41">
      <c r="A317">
        <v>201903</v>
      </c>
      <c r="B317">
        <v>25</v>
      </c>
      <c r="C317" t="s">
        <v>526</v>
      </c>
      <c r="D317">
        <v>3190477548011</v>
      </c>
      <c r="E317" t="s">
        <v>53</v>
      </c>
      <c r="F317" t="s">
        <v>597</v>
      </c>
      <c r="G317" t="s">
        <v>598</v>
      </c>
      <c r="H317" t="s">
        <v>599</v>
      </c>
      <c r="I317" t="s">
        <v>661</v>
      </c>
      <c r="L317" t="s">
        <v>669</v>
      </c>
      <c r="M317" t="s">
        <v>670</v>
      </c>
      <c r="N317" t="s">
        <v>949</v>
      </c>
      <c r="P317" t="s">
        <v>603</v>
      </c>
      <c r="Q317" t="s">
        <v>648</v>
      </c>
      <c r="R317" t="s">
        <v>1228</v>
      </c>
      <c r="S317">
        <v>20181231</v>
      </c>
      <c r="T317" t="s">
        <v>821</v>
      </c>
      <c r="X317">
        <v>3</v>
      </c>
      <c r="Y317">
        <v>23000</v>
      </c>
      <c r="AA317" t="s">
        <v>605</v>
      </c>
      <c r="AB317">
        <v>20190220</v>
      </c>
      <c r="AE317">
        <f t="shared" si="4"/>
        <v>0</v>
      </c>
      <c r="AF317">
        <v>0</v>
      </c>
      <c r="AG317">
        <v>0</v>
      </c>
      <c r="AH317">
        <v>0</v>
      </c>
      <c r="AI317" s="121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</row>
    <row r="318" spans="1:41">
      <c r="A318">
        <v>201903</v>
      </c>
      <c r="B318">
        <v>25</v>
      </c>
      <c r="C318" t="s">
        <v>526</v>
      </c>
      <c r="D318">
        <v>3190478473101</v>
      </c>
      <c r="E318" t="s">
        <v>53</v>
      </c>
      <c r="F318" t="s">
        <v>597</v>
      </c>
      <c r="G318" t="s">
        <v>598</v>
      </c>
      <c r="H318" t="s">
        <v>599</v>
      </c>
      <c r="I318" t="s">
        <v>661</v>
      </c>
      <c r="J318" t="s">
        <v>661</v>
      </c>
      <c r="K318" t="s">
        <v>662</v>
      </c>
      <c r="L318" t="s">
        <v>700</v>
      </c>
      <c r="M318" t="s">
        <v>701</v>
      </c>
      <c r="N318" t="s">
        <v>962</v>
      </c>
      <c r="P318" t="s">
        <v>603</v>
      </c>
      <c r="Q318" t="s">
        <v>648</v>
      </c>
      <c r="R318" t="s">
        <v>985</v>
      </c>
      <c r="S318">
        <v>20190103</v>
      </c>
      <c r="T318" t="s">
        <v>1004</v>
      </c>
      <c r="X318">
        <v>2</v>
      </c>
      <c r="Y318">
        <v>50332</v>
      </c>
      <c r="AA318" t="s">
        <v>605</v>
      </c>
      <c r="AB318">
        <v>20190228</v>
      </c>
      <c r="AE318">
        <f t="shared" si="4"/>
        <v>0</v>
      </c>
      <c r="AF318">
        <v>0</v>
      </c>
      <c r="AG318">
        <v>0</v>
      </c>
      <c r="AH318">
        <v>0</v>
      </c>
      <c r="AI318" s="121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</row>
    <row r="319" spans="1:41">
      <c r="A319">
        <v>201903</v>
      </c>
      <c r="B319">
        <v>25</v>
      </c>
      <c r="C319" t="s">
        <v>526</v>
      </c>
      <c r="D319">
        <v>3190479123071</v>
      </c>
      <c r="E319" t="s">
        <v>53</v>
      </c>
      <c r="F319" t="s">
        <v>597</v>
      </c>
      <c r="G319" t="s">
        <v>598</v>
      </c>
      <c r="H319" t="s">
        <v>599</v>
      </c>
      <c r="I319" t="s">
        <v>661</v>
      </c>
      <c r="L319" t="s">
        <v>669</v>
      </c>
      <c r="M319" t="s">
        <v>670</v>
      </c>
      <c r="N319" t="s">
        <v>949</v>
      </c>
      <c r="P319" t="s">
        <v>603</v>
      </c>
      <c r="Q319" t="s">
        <v>648</v>
      </c>
      <c r="R319" t="s">
        <v>985</v>
      </c>
      <c r="S319">
        <v>20190104</v>
      </c>
      <c r="T319" t="s">
        <v>998</v>
      </c>
      <c r="X319">
        <v>2</v>
      </c>
      <c r="Y319">
        <v>111473</v>
      </c>
      <c r="AA319" t="s">
        <v>605</v>
      </c>
      <c r="AB319">
        <v>20190215</v>
      </c>
      <c r="AE319">
        <f t="shared" si="4"/>
        <v>0</v>
      </c>
      <c r="AF319">
        <v>0</v>
      </c>
      <c r="AG319">
        <v>0</v>
      </c>
      <c r="AH319">
        <v>0</v>
      </c>
      <c r="AI319" s="121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</row>
    <row r="320" spans="1:41">
      <c r="A320">
        <v>201903</v>
      </c>
      <c r="B320">
        <v>25</v>
      </c>
      <c r="C320" t="s">
        <v>526</v>
      </c>
      <c r="D320">
        <v>3190479619621</v>
      </c>
      <c r="E320" t="s">
        <v>53</v>
      </c>
      <c r="F320" t="s">
        <v>597</v>
      </c>
      <c r="G320" t="s">
        <v>598</v>
      </c>
      <c r="H320" t="s">
        <v>599</v>
      </c>
      <c r="I320" t="s">
        <v>719</v>
      </c>
      <c r="J320" t="s">
        <v>720</v>
      </c>
      <c r="L320" t="s">
        <v>721</v>
      </c>
      <c r="M320" t="s">
        <v>722</v>
      </c>
      <c r="N320" t="s">
        <v>977</v>
      </c>
      <c r="P320" t="s">
        <v>603</v>
      </c>
      <c r="Q320" t="s">
        <v>648</v>
      </c>
      <c r="R320" t="s">
        <v>1012</v>
      </c>
      <c r="S320">
        <v>20190117</v>
      </c>
      <c r="T320" t="s">
        <v>764</v>
      </c>
      <c r="V320">
        <v>0</v>
      </c>
      <c r="W320">
        <v>0</v>
      </c>
      <c r="X320">
        <v>2</v>
      </c>
      <c r="Y320">
        <v>34000</v>
      </c>
      <c r="AA320" t="s">
        <v>605</v>
      </c>
      <c r="AB320">
        <v>20190220</v>
      </c>
      <c r="AE320">
        <f t="shared" si="4"/>
        <v>0</v>
      </c>
      <c r="AF320">
        <v>0</v>
      </c>
      <c r="AG320">
        <v>0</v>
      </c>
      <c r="AH320">
        <v>0</v>
      </c>
      <c r="AI320" s="121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</row>
    <row r="321" spans="1:41">
      <c r="A321">
        <v>201903</v>
      </c>
      <c r="B321">
        <v>25</v>
      </c>
      <c r="C321" t="s">
        <v>526</v>
      </c>
      <c r="D321">
        <v>3190479672811</v>
      </c>
      <c r="E321" t="s">
        <v>53</v>
      </c>
      <c r="F321" t="s">
        <v>597</v>
      </c>
      <c r="G321" t="s">
        <v>598</v>
      </c>
      <c r="H321" t="s">
        <v>599</v>
      </c>
      <c r="I321" t="s">
        <v>661</v>
      </c>
      <c r="J321" t="s">
        <v>661</v>
      </c>
      <c r="K321" t="s">
        <v>662</v>
      </c>
      <c r="L321" t="s">
        <v>700</v>
      </c>
      <c r="M321" t="s">
        <v>701</v>
      </c>
      <c r="N321" t="s">
        <v>962</v>
      </c>
      <c r="P321" t="s">
        <v>603</v>
      </c>
      <c r="Q321" t="s">
        <v>648</v>
      </c>
      <c r="R321" t="s">
        <v>985</v>
      </c>
      <c r="S321">
        <v>20190108</v>
      </c>
      <c r="T321" t="s">
        <v>842</v>
      </c>
      <c r="X321">
        <v>2</v>
      </c>
      <c r="Y321">
        <v>64176</v>
      </c>
      <c r="AA321" t="s">
        <v>605</v>
      </c>
      <c r="AB321">
        <v>20190211</v>
      </c>
      <c r="AE321">
        <f t="shared" si="4"/>
        <v>0</v>
      </c>
      <c r="AF321">
        <v>0</v>
      </c>
      <c r="AG321">
        <v>0</v>
      </c>
      <c r="AH321">
        <v>0</v>
      </c>
      <c r="AI321" s="1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</row>
    <row r="322" spans="1:41">
      <c r="A322">
        <v>201903</v>
      </c>
      <c r="B322">
        <v>25</v>
      </c>
      <c r="C322" t="s">
        <v>526</v>
      </c>
      <c r="D322">
        <v>3190480279261</v>
      </c>
      <c r="E322" t="s">
        <v>53</v>
      </c>
      <c r="F322" t="s">
        <v>597</v>
      </c>
      <c r="G322" t="s">
        <v>598</v>
      </c>
      <c r="H322" t="s">
        <v>599</v>
      </c>
      <c r="I322" t="s">
        <v>702</v>
      </c>
      <c r="J322" t="s">
        <v>702</v>
      </c>
      <c r="K322" t="s">
        <v>703</v>
      </c>
      <c r="L322" t="s">
        <v>513</v>
      </c>
      <c r="M322" t="s">
        <v>512</v>
      </c>
      <c r="N322" t="s">
        <v>930</v>
      </c>
      <c r="P322" t="s">
        <v>603</v>
      </c>
      <c r="Q322" t="s">
        <v>648</v>
      </c>
      <c r="R322" t="s">
        <v>1012</v>
      </c>
      <c r="S322">
        <v>20190117</v>
      </c>
      <c r="T322" t="s">
        <v>855</v>
      </c>
      <c r="X322">
        <v>2</v>
      </c>
      <c r="Y322">
        <v>45500</v>
      </c>
      <c r="AA322" t="s">
        <v>605</v>
      </c>
      <c r="AB322">
        <v>20190225</v>
      </c>
      <c r="AE322">
        <f t="shared" si="4"/>
        <v>0</v>
      </c>
      <c r="AF322">
        <v>0</v>
      </c>
      <c r="AG322">
        <v>0</v>
      </c>
      <c r="AH322">
        <v>0</v>
      </c>
      <c r="AI322" s="121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</row>
    <row r="323" spans="1:41">
      <c r="A323">
        <v>201903</v>
      </c>
      <c r="B323">
        <v>25</v>
      </c>
      <c r="C323" t="s">
        <v>526</v>
      </c>
      <c r="D323">
        <v>3190480447061</v>
      </c>
      <c r="E323" t="s">
        <v>53</v>
      </c>
      <c r="F323" t="s">
        <v>597</v>
      </c>
      <c r="G323" t="s">
        <v>598</v>
      </c>
      <c r="H323" t="s">
        <v>599</v>
      </c>
      <c r="I323" t="s">
        <v>719</v>
      </c>
      <c r="J323" t="s">
        <v>720</v>
      </c>
      <c r="L323" t="s">
        <v>721</v>
      </c>
      <c r="M323" t="s">
        <v>722</v>
      </c>
      <c r="N323" t="s">
        <v>977</v>
      </c>
      <c r="P323" t="s">
        <v>603</v>
      </c>
      <c r="Q323" t="s">
        <v>648</v>
      </c>
      <c r="R323" t="s">
        <v>984</v>
      </c>
      <c r="S323">
        <v>20190109</v>
      </c>
      <c r="T323" t="s">
        <v>755</v>
      </c>
      <c r="V323">
        <v>0</v>
      </c>
      <c r="W323">
        <v>0</v>
      </c>
      <c r="X323">
        <v>2</v>
      </c>
      <c r="Y323">
        <v>58000</v>
      </c>
      <c r="AA323" t="s">
        <v>605</v>
      </c>
      <c r="AB323">
        <v>20190225</v>
      </c>
      <c r="AE323">
        <f t="shared" ref="AE323:AE386" si="5">AO323-AI323</f>
        <v>0</v>
      </c>
      <c r="AF323">
        <v>0</v>
      </c>
      <c r="AG323">
        <v>0</v>
      </c>
      <c r="AH323">
        <v>0</v>
      </c>
      <c r="AI323" s="121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</row>
    <row r="324" spans="1:41">
      <c r="A324">
        <v>201903</v>
      </c>
      <c r="B324">
        <v>25</v>
      </c>
      <c r="C324" t="s">
        <v>526</v>
      </c>
      <c r="D324">
        <v>3190481103831</v>
      </c>
      <c r="E324" t="s">
        <v>53</v>
      </c>
      <c r="F324" t="s">
        <v>597</v>
      </c>
      <c r="G324" t="s">
        <v>598</v>
      </c>
      <c r="H324" t="s">
        <v>599</v>
      </c>
      <c r="I324" t="s">
        <v>661</v>
      </c>
      <c r="L324" t="s">
        <v>669</v>
      </c>
      <c r="M324" t="s">
        <v>670</v>
      </c>
      <c r="N324" t="s">
        <v>949</v>
      </c>
      <c r="P324" t="s">
        <v>603</v>
      </c>
      <c r="Q324" t="s">
        <v>648</v>
      </c>
      <c r="R324" t="s">
        <v>984</v>
      </c>
      <c r="S324">
        <v>20190111</v>
      </c>
      <c r="T324" t="s">
        <v>1020</v>
      </c>
      <c r="X324">
        <v>2</v>
      </c>
      <c r="Y324">
        <v>63500</v>
      </c>
      <c r="AA324" t="s">
        <v>605</v>
      </c>
      <c r="AB324">
        <v>20190211</v>
      </c>
      <c r="AE324">
        <f t="shared" si="5"/>
        <v>0</v>
      </c>
      <c r="AF324">
        <v>0</v>
      </c>
      <c r="AG324">
        <v>0</v>
      </c>
      <c r="AH324">
        <v>0</v>
      </c>
      <c r="AI324" s="121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</row>
    <row r="325" spans="1:41">
      <c r="A325">
        <v>201903</v>
      </c>
      <c r="B325">
        <v>25</v>
      </c>
      <c r="C325" t="s">
        <v>526</v>
      </c>
      <c r="D325">
        <v>3190481123981</v>
      </c>
      <c r="E325" t="s">
        <v>53</v>
      </c>
      <c r="F325" t="s">
        <v>597</v>
      </c>
      <c r="G325" t="s">
        <v>598</v>
      </c>
      <c r="H325" t="s">
        <v>599</v>
      </c>
      <c r="I325" t="s">
        <v>661</v>
      </c>
      <c r="J325" t="s">
        <v>661</v>
      </c>
      <c r="K325" t="s">
        <v>662</v>
      </c>
      <c r="L325" t="s">
        <v>698</v>
      </c>
      <c r="M325" t="s">
        <v>699</v>
      </c>
      <c r="N325" t="s">
        <v>964</v>
      </c>
      <c r="P325" t="s">
        <v>603</v>
      </c>
      <c r="Q325" t="s">
        <v>648</v>
      </c>
      <c r="R325" t="s">
        <v>985</v>
      </c>
      <c r="S325">
        <v>20190111</v>
      </c>
      <c r="T325" t="s">
        <v>1021</v>
      </c>
      <c r="X325">
        <v>2</v>
      </c>
      <c r="Y325">
        <v>125423</v>
      </c>
      <c r="AA325" t="s">
        <v>605</v>
      </c>
      <c r="AB325">
        <v>20190225</v>
      </c>
      <c r="AE325">
        <f t="shared" si="5"/>
        <v>0</v>
      </c>
      <c r="AF325">
        <v>0</v>
      </c>
      <c r="AG325">
        <v>0</v>
      </c>
      <c r="AH325">
        <v>0</v>
      </c>
      <c r="AI325" s="121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</row>
    <row r="326" spans="1:41">
      <c r="A326">
        <v>201903</v>
      </c>
      <c r="B326">
        <v>25</v>
      </c>
      <c r="C326" t="s">
        <v>526</v>
      </c>
      <c r="D326">
        <v>3190481126261</v>
      </c>
      <c r="E326" t="s">
        <v>53</v>
      </c>
      <c r="F326" t="s">
        <v>597</v>
      </c>
      <c r="G326" t="s">
        <v>598</v>
      </c>
      <c r="H326" t="s">
        <v>599</v>
      </c>
      <c r="I326" t="s">
        <v>661</v>
      </c>
      <c r="J326" t="s">
        <v>661</v>
      </c>
      <c r="K326" t="s">
        <v>662</v>
      </c>
      <c r="L326" t="s">
        <v>698</v>
      </c>
      <c r="M326" t="s">
        <v>699</v>
      </c>
      <c r="N326" t="s">
        <v>964</v>
      </c>
      <c r="P326" t="s">
        <v>603</v>
      </c>
      <c r="Q326" t="s">
        <v>568</v>
      </c>
      <c r="R326" t="s">
        <v>1013</v>
      </c>
      <c r="S326">
        <v>20190111</v>
      </c>
      <c r="T326" t="s">
        <v>1021</v>
      </c>
      <c r="X326">
        <v>2</v>
      </c>
      <c r="Y326">
        <v>13515</v>
      </c>
      <c r="AA326" t="s">
        <v>605</v>
      </c>
      <c r="AB326">
        <v>20190225</v>
      </c>
      <c r="AE326">
        <f t="shared" si="5"/>
        <v>0</v>
      </c>
      <c r="AF326">
        <v>0</v>
      </c>
      <c r="AG326">
        <v>0</v>
      </c>
      <c r="AH326">
        <v>0</v>
      </c>
      <c r="AI326" s="121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</row>
    <row r="327" spans="1:41">
      <c r="A327">
        <v>201903</v>
      </c>
      <c r="B327">
        <v>25</v>
      </c>
      <c r="C327" t="s">
        <v>526</v>
      </c>
      <c r="D327">
        <v>3190482375811</v>
      </c>
      <c r="E327" t="s">
        <v>53</v>
      </c>
      <c r="F327" t="s">
        <v>597</v>
      </c>
      <c r="G327" t="s">
        <v>598</v>
      </c>
      <c r="H327" t="s">
        <v>599</v>
      </c>
      <c r="I327" t="s">
        <v>661</v>
      </c>
      <c r="J327" t="s">
        <v>661</v>
      </c>
      <c r="K327" t="s">
        <v>662</v>
      </c>
      <c r="L327" t="s">
        <v>698</v>
      </c>
      <c r="M327" t="s">
        <v>699</v>
      </c>
      <c r="N327" t="s">
        <v>964</v>
      </c>
      <c r="P327" t="s">
        <v>603</v>
      </c>
      <c r="Q327" t="s">
        <v>648</v>
      </c>
      <c r="R327" t="s">
        <v>985</v>
      </c>
      <c r="S327">
        <v>20190115</v>
      </c>
      <c r="T327" t="s">
        <v>855</v>
      </c>
      <c r="X327">
        <v>2</v>
      </c>
      <c r="Y327">
        <v>39562</v>
      </c>
      <c r="AA327" t="s">
        <v>605</v>
      </c>
      <c r="AB327">
        <v>20190220</v>
      </c>
      <c r="AE327">
        <f t="shared" si="5"/>
        <v>0</v>
      </c>
      <c r="AF327">
        <v>0</v>
      </c>
      <c r="AG327">
        <v>0</v>
      </c>
      <c r="AH327">
        <v>0</v>
      </c>
      <c r="AI327" s="121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</row>
    <row r="328" spans="1:41">
      <c r="A328">
        <v>201903</v>
      </c>
      <c r="B328">
        <v>25</v>
      </c>
      <c r="C328" t="s">
        <v>526</v>
      </c>
      <c r="D328">
        <v>3190482586831</v>
      </c>
      <c r="E328" t="s">
        <v>53</v>
      </c>
      <c r="F328" t="s">
        <v>597</v>
      </c>
      <c r="G328" t="s">
        <v>598</v>
      </c>
      <c r="H328" t="s">
        <v>599</v>
      </c>
      <c r="I328" t="s">
        <v>661</v>
      </c>
      <c r="J328" t="s">
        <v>661</v>
      </c>
      <c r="K328" t="s">
        <v>662</v>
      </c>
      <c r="L328" t="s">
        <v>665</v>
      </c>
      <c r="M328" t="s">
        <v>666</v>
      </c>
      <c r="N328" t="s">
        <v>1000</v>
      </c>
      <c r="P328" t="s">
        <v>603</v>
      </c>
      <c r="Q328" t="s">
        <v>648</v>
      </c>
      <c r="R328" t="s">
        <v>984</v>
      </c>
      <c r="S328">
        <v>20190116</v>
      </c>
      <c r="T328" t="s">
        <v>1158</v>
      </c>
      <c r="X328">
        <v>2</v>
      </c>
      <c r="Y328">
        <v>31000</v>
      </c>
      <c r="AA328" t="s">
        <v>605</v>
      </c>
      <c r="AB328">
        <v>20190220</v>
      </c>
      <c r="AE328">
        <f t="shared" si="5"/>
        <v>0</v>
      </c>
      <c r="AF328">
        <v>0</v>
      </c>
      <c r="AG328">
        <v>0</v>
      </c>
      <c r="AH328">
        <v>0</v>
      </c>
      <c r="AI328" s="121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</row>
    <row r="329" spans="1:41">
      <c r="A329">
        <v>201903</v>
      </c>
      <c r="B329">
        <v>25</v>
      </c>
      <c r="C329" t="s">
        <v>526</v>
      </c>
      <c r="D329">
        <v>3190484383161</v>
      </c>
      <c r="E329" t="s">
        <v>53</v>
      </c>
      <c r="F329" t="s">
        <v>597</v>
      </c>
      <c r="G329" t="s">
        <v>598</v>
      </c>
      <c r="H329" t="s">
        <v>599</v>
      </c>
      <c r="I329" t="s">
        <v>661</v>
      </c>
      <c r="J329" t="s">
        <v>661</v>
      </c>
      <c r="K329" t="s">
        <v>662</v>
      </c>
      <c r="L329" t="s">
        <v>698</v>
      </c>
      <c r="M329" t="s">
        <v>699</v>
      </c>
      <c r="N329" t="s">
        <v>964</v>
      </c>
      <c r="P329" t="s">
        <v>603</v>
      </c>
      <c r="Q329" t="s">
        <v>648</v>
      </c>
      <c r="R329" t="s">
        <v>985</v>
      </c>
      <c r="S329">
        <v>20190128</v>
      </c>
      <c r="T329" t="s">
        <v>822</v>
      </c>
      <c r="X329">
        <v>2</v>
      </c>
      <c r="Y329">
        <v>38770</v>
      </c>
      <c r="AA329" t="s">
        <v>605</v>
      </c>
      <c r="AB329">
        <v>20190220</v>
      </c>
      <c r="AE329">
        <f t="shared" si="5"/>
        <v>0</v>
      </c>
      <c r="AF329">
        <v>0</v>
      </c>
      <c r="AG329">
        <v>0</v>
      </c>
      <c r="AH329">
        <v>0</v>
      </c>
      <c r="AI329" s="121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</row>
    <row r="330" spans="1:41">
      <c r="A330">
        <v>201903</v>
      </c>
      <c r="B330">
        <v>25</v>
      </c>
      <c r="C330" t="s">
        <v>526</v>
      </c>
      <c r="D330">
        <v>3190484866861</v>
      </c>
      <c r="E330" t="s">
        <v>53</v>
      </c>
      <c r="F330" t="s">
        <v>597</v>
      </c>
      <c r="G330" t="s">
        <v>598</v>
      </c>
      <c r="H330" t="s">
        <v>599</v>
      </c>
      <c r="I330" t="s">
        <v>702</v>
      </c>
      <c r="J330" t="s">
        <v>702</v>
      </c>
      <c r="K330" t="s">
        <v>703</v>
      </c>
      <c r="L330" t="s">
        <v>513</v>
      </c>
      <c r="M330" t="s">
        <v>512</v>
      </c>
      <c r="N330" t="s">
        <v>930</v>
      </c>
      <c r="P330" t="s">
        <v>603</v>
      </c>
      <c r="Q330" t="s">
        <v>648</v>
      </c>
      <c r="R330" t="s">
        <v>984</v>
      </c>
      <c r="S330">
        <v>20190123</v>
      </c>
      <c r="T330" t="s">
        <v>931</v>
      </c>
      <c r="X330">
        <v>2</v>
      </c>
      <c r="Y330">
        <v>51500</v>
      </c>
      <c r="AA330" t="s">
        <v>605</v>
      </c>
      <c r="AB330">
        <v>20190220</v>
      </c>
      <c r="AE330">
        <f t="shared" si="5"/>
        <v>0</v>
      </c>
      <c r="AF330">
        <v>0</v>
      </c>
      <c r="AG330">
        <v>0</v>
      </c>
      <c r="AH330">
        <v>0</v>
      </c>
      <c r="AI330" s="121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</row>
    <row r="331" spans="1:41">
      <c r="A331">
        <v>201903</v>
      </c>
      <c r="B331">
        <v>25</v>
      </c>
      <c r="C331" t="s">
        <v>526</v>
      </c>
      <c r="D331">
        <v>3190484935641</v>
      </c>
      <c r="E331" t="s">
        <v>53</v>
      </c>
      <c r="F331" t="s">
        <v>597</v>
      </c>
      <c r="G331" t="s">
        <v>598</v>
      </c>
      <c r="H331" t="s">
        <v>599</v>
      </c>
      <c r="I331" t="s">
        <v>661</v>
      </c>
      <c r="J331" t="s">
        <v>661</v>
      </c>
      <c r="K331" t="s">
        <v>662</v>
      </c>
      <c r="L331" t="s">
        <v>700</v>
      </c>
      <c r="M331" t="s">
        <v>701</v>
      </c>
      <c r="N331" t="s">
        <v>962</v>
      </c>
      <c r="P331" t="s">
        <v>603</v>
      </c>
      <c r="Q331" t="s">
        <v>648</v>
      </c>
      <c r="R331" t="s">
        <v>984</v>
      </c>
      <c r="S331">
        <v>20190125</v>
      </c>
      <c r="T331" t="s">
        <v>1245</v>
      </c>
      <c r="X331">
        <v>2</v>
      </c>
      <c r="Y331">
        <v>30000</v>
      </c>
      <c r="AA331" t="s">
        <v>605</v>
      </c>
      <c r="AB331">
        <v>20190225</v>
      </c>
      <c r="AE331">
        <f t="shared" si="5"/>
        <v>0</v>
      </c>
      <c r="AF331">
        <v>0</v>
      </c>
      <c r="AG331">
        <v>0</v>
      </c>
      <c r="AH331">
        <v>0</v>
      </c>
      <c r="AI331" s="12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</row>
    <row r="332" spans="1:41">
      <c r="A332">
        <v>201903</v>
      </c>
      <c r="B332">
        <v>25</v>
      </c>
      <c r="C332" t="s">
        <v>526</v>
      </c>
      <c r="D332">
        <v>3190486924901</v>
      </c>
      <c r="E332" t="s">
        <v>53</v>
      </c>
      <c r="F332" t="s">
        <v>597</v>
      </c>
      <c r="G332" t="s">
        <v>598</v>
      </c>
      <c r="H332" t="s">
        <v>599</v>
      </c>
      <c r="I332" t="s">
        <v>719</v>
      </c>
      <c r="J332" t="s">
        <v>720</v>
      </c>
      <c r="L332" t="s">
        <v>721</v>
      </c>
      <c r="M332" t="s">
        <v>722</v>
      </c>
      <c r="N332" t="s">
        <v>977</v>
      </c>
      <c r="P332" t="s">
        <v>603</v>
      </c>
      <c r="Q332" t="s">
        <v>648</v>
      </c>
      <c r="R332" t="s">
        <v>984</v>
      </c>
      <c r="S332">
        <v>20190130</v>
      </c>
      <c r="T332" t="s">
        <v>764</v>
      </c>
      <c r="V332">
        <v>0</v>
      </c>
      <c r="W332">
        <v>0</v>
      </c>
      <c r="X332">
        <v>2</v>
      </c>
      <c r="Y332">
        <v>31000</v>
      </c>
      <c r="AA332" t="s">
        <v>605</v>
      </c>
      <c r="AB332">
        <v>20190220</v>
      </c>
      <c r="AE332">
        <f t="shared" si="5"/>
        <v>0</v>
      </c>
      <c r="AF332">
        <v>0</v>
      </c>
      <c r="AG332">
        <v>0</v>
      </c>
      <c r="AH332">
        <v>0</v>
      </c>
      <c r="AI332" s="121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</row>
    <row r="333" spans="1:41">
      <c r="A333">
        <v>201903</v>
      </c>
      <c r="B333">
        <v>25</v>
      </c>
      <c r="C333" t="s">
        <v>526</v>
      </c>
      <c r="D333">
        <v>3190487681831</v>
      </c>
      <c r="E333" t="s">
        <v>53</v>
      </c>
      <c r="F333" t="s">
        <v>690</v>
      </c>
      <c r="G333" t="s">
        <v>598</v>
      </c>
      <c r="H333" t="s">
        <v>599</v>
      </c>
      <c r="I333" t="s">
        <v>661</v>
      </c>
      <c r="J333" t="s">
        <v>661</v>
      </c>
      <c r="K333" t="s">
        <v>662</v>
      </c>
      <c r="L333" t="s">
        <v>698</v>
      </c>
      <c r="M333" t="s">
        <v>699</v>
      </c>
      <c r="N333" t="s">
        <v>964</v>
      </c>
      <c r="P333" t="s">
        <v>691</v>
      </c>
      <c r="Q333" t="s">
        <v>648</v>
      </c>
      <c r="R333" t="s">
        <v>1012</v>
      </c>
      <c r="S333">
        <v>20190201</v>
      </c>
      <c r="T333" t="s">
        <v>1028</v>
      </c>
      <c r="X333">
        <v>1</v>
      </c>
      <c r="Y333">
        <v>29000</v>
      </c>
      <c r="Z333">
        <v>58580</v>
      </c>
      <c r="AA333" t="s">
        <v>605</v>
      </c>
      <c r="AB333">
        <v>20190201</v>
      </c>
      <c r="AE333">
        <f t="shared" si="5"/>
        <v>125947</v>
      </c>
      <c r="AF333">
        <v>125947</v>
      </c>
      <c r="AG333">
        <v>0</v>
      </c>
      <c r="AH333">
        <v>0</v>
      </c>
      <c r="AI333" s="121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125947</v>
      </c>
    </row>
    <row r="334" spans="1:41">
      <c r="A334">
        <v>201903</v>
      </c>
      <c r="B334">
        <v>25</v>
      </c>
      <c r="C334" t="s">
        <v>526</v>
      </c>
      <c r="D334">
        <v>3190487683031</v>
      </c>
      <c r="E334" t="s">
        <v>53</v>
      </c>
      <c r="F334" t="s">
        <v>690</v>
      </c>
      <c r="G334" t="s">
        <v>598</v>
      </c>
      <c r="H334" t="s">
        <v>599</v>
      </c>
      <c r="I334" t="s">
        <v>661</v>
      </c>
      <c r="J334" t="s">
        <v>661</v>
      </c>
      <c r="K334" t="s">
        <v>662</v>
      </c>
      <c r="L334" t="s">
        <v>698</v>
      </c>
      <c r="M334" t="s">
        <v>699</v>
      </c>
      <c r="N334" t="s">
        <v>964</v>
      </c>
      <c r="P334" t="s">
        <v>691</v>
      </c>
      <c r="Q334" t="s">
        <v>648</v>
      </c>
      <c r="R334" t="s">
        <v>1012</v>
      </c>
      <c r="S334">
        <v>20190201</v>
      </c>
      <c r="T334" t="s">
        <v>1028</v>
      </c>
      <c r="X334">
        <v>1</v>
      </c>
      <c r="Y334">
        <v>50000</v>
      </c>
      <c r="Z334">
        <v>58500</v>
      </c>
      <c r="AA334" t="s">
        <v>605</v>
      </c>
      <c r="AB334">
        <v>20190201</v>
      </c>
      <c r="AE334">
        <f t="shared" si="5"/>
        <v>125775</v>
      </c>
      <c r="AF334">
        <v>125775</v>
      </c>
      <c r="AG334">
        <v>0</v>
      </c>
      <c r="AH334">
        <v>0</v>
      </c>
      <c r="AI334" s="121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125775</v>
      </c>
    </row>
    <row r="335" spans="1:41">
      <c r="A335">
        <v>201903</v>
      </c>
      <c r="B335">
        <v>25</v>
      </c>
      <c r="C335" t="s">
        <v>526</v>
      </c>
      <c r="D335">
        <v>3190391177291</v>
      </c>
      <c r="E335" t="s">
        <v>53</v>
      </c>
      <c r="F335" t="s">
        <v>597</v>
      </c>
      <c r="G335" t="s">
        <v>598</v>
      </c>
      <c r="H335" t="s">
        <v>599</v>
      </c>
      <c r="I335" t="s">
        <v>649</v>
      </c>
      <c r="J335" t="s">
        <v>649</v>
      </c>
      <c r="K335" t="s">
        <v>650</v>
      </c>
      <c r="L335" t="s">
        <v>692</v>
      </c>
      <c r="M335" t="s">
        <v>693</v>
      </c>
      <c r="N335" t="s">
        <v>967</v>
      </c>
      <c r="P335" t="s">
        <v>603</v>
      </c>
      <c r="Q335" t="s">
        <v>648</v>
      </c>
      <c r="R335" t="s">
        <v>1042</v>
      </c>
      <c r="S335">
        <v>20171130</v>
      </c>
      <c r="T335" t="s">
        <v>767</v>
      </c>
      <c r="V335">
        <v>15</v>
      </c>
      <c r="W335">
        <v>15</v>
      </c>
      <c r="X335">
        <v>16</v>
      </c>
      <c r="Y335">
        <v>69500</v>
      </c>
      <c r="AA335" t="s">
        <v>605</v>
      </c>
      <c r="AB335">
        <v>20190225</v>
      </c>
      <c r="AE335">
        <f t="shared" si="5"/>
        <v>0</v>
      </c>
      <c r="AF335">
        <v>0</v>
      </c>
      <c r="AG335">
        <v>0</v>
      </c>
      <c r="AH335">
        <v>0</v>
      </c>
      <c r="AI335" s="121">
        <v>347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347</v>
      </c>
    </row>
    <row r="336" spans="1:41">
      <c r="A336">
        <v>201903</v>
      </c>
      <c r="B336">
        <v>25</v>
      </c>
      <c r="C336" t="s">
        <v>526</v>
      </c>
      <c r="D336">
        <v>3190391249761</v>
      </c>
      <c r="E336" t="s">
        <v>53</v>
      </c>
      <c r="F336" t="s">
        <v>597</v>
      </c>
      <c r="G336" t="s">
        <v>598</v>
      </c>
      <c r="H336" t="s">
        <v>599</v>
      </c>
      <c r="I336" t="s">
        <v>702</v>
      </c>
      <c r="J336" t="s">
        <v>702</v>
      </c>
      <c r="K336" t="s">
        <v>703</v>
      </c>
      <c r="L336" t="s">
        <v>506</v>
      </c>
      <c r="M336" t="s">
        <v>505</v>
      </c>
      <c r="N336" t="s">
        <v>995</v>
      </c>
      <c r="P336" t="s">
        <v>603</v>
      </c>
      <c r="Q336" t="s">
        <v>648</v>
      </c>
      <c r="R336" t="s">
        <v>1041</v>
      </c>
      <c r="S336">
        <v>20171122</v>
      </c>
      <c r="T336" t="s">
        <v>1074</v>
      </c>
      <c r="X336">
        <v>14</v>
      </c>
      <c r="Y336">
        <v>65148</v>
      </c>
      <c r="AA336" t="s">
        <v>605</v>
      </c>
      <c r="AB336">
        <v>20190226</v>
      </c>
      <c r="AE336">
        <f t="shared" si="5"/>
        <v>0</v>
      </c>
      <c r="AF336">
        <v>0</v>
      </c>
      <c r="AG336">
        <v>0</v>
      </c>
      <c r="AH336">
        <v>0</v>
      </c>
      <c r="AI336" s="121">
        <v>488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488</v>
      </c>
    </row>
    <row r="337" spans="1:41">
      <c r="A337">
        <v>201903</v>
      </c>
      <c r="B337">
        <v>25</v>
      </c>
      <c r="C337" t="s">
        <v>526</v>
      </c>
      <c r="D337">
        <v>3190391685891</v>
      </c>
      <c r="E337" t="s">
        <v>53</v>
      </c>
      <c r="F337" t="s">
        <v>597</v>
      </c>
      <c r="G337" t="s">
        <v>598</v>
      </c>
      <c r="H337" t="s">
        <v>599</v>
      </c>
      <c r="I337" t="s">
        <v>674</v>
      </c>
      <c r="L337" t="s">
        <v>705</v>
      </c>
      <c r="M337" t="s">
        <v>706</v>
      </c>
      <c r="N337" t="s">
        <v>966</v>
      </c>
      <c r="P337" t="s">
        <v>603</v>
      </c>
      <c r="Q337" t="s">
        <v>648</v>
      </c>
      <c r="R337" t="s">
        <v>1041</v>
      </c>
      <c r="S337">
        <v>20171127</v>
      </c>
      <c r="T337" t="s">
        <v>845</v>
      </c>
      <c r="X337">
        <v>16</v>
      </c>
      <c r="Y337">
        <v>75500</v>
      </c>
      <c r="AA337" t="s">
        <v>605</v>
      </c>
      <c r="AB337">
        <v>20190215</v>
      </c>
      <c r="AE337">
        <f t="shared" si="5"/>
        <v>0</v>
      </c>
      <c r="AF337">
        <v>0</v>
      </c>
      <c r="AG337">
        <v>0</v>
      </c>
      <c r="AH337">
        <v>0</v>
      </c>
      <c r="AI337" s="121">
        <v>566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566</v>
      </c>
    </row>
    <row r="338" spans="1:41">
      <c r="A338">
        <v>201903</v>
      </c>
      <c r="B338">
        <v>25</v>
      </c>
      <c r="C338" t="s">
        <v>526</v>
      </c>
      <c r="D338">
        <v>3190393145591</v>
      </c>
      <c r="E338" t="s">
        <v>53</v>
      </c>
      <c r="F338" t="s">
        <v>597</v>
      </c>
      <c r="G338" t="s">
        <v>598</v>
      </c>
      <c r="H338" t="s">
        <v>599</v>
      </c>
      <c r="I338" t="s">
        <v>1167</v>
      </c>
      <c r="J338" t="s">
        <v>734</v>
      </c>
      <c r="K338" t="s">
        <v>735</v>
      </c>
      <c r="L338" t="s">
        <v>736</v>
      </c>
      <c r="M338" t="s">
        <v>737</v>
      </c>
      <c r="N338" t="s">
        <v>1052</v>
      </c>
      <c r="P338" t="s">
        <v>603</v>
      </c>
      <c r="Q338" t="s">
        <v>648</v>
      </c>
      <c r="R338" t="s">
        <v>1041</v>
      </c>
      <c r="S338">
        <v>20171204</v>
      </c>
      <c r="T338" t="s">
        <v>1148</v>
      </c>
      <c r="V338">
        <v>0</v>
      </c>
      <c r="W338">
        <v>0</v>
      </c>
      <c r="X338">
        <v>15</v>
      </c>
      <c r="Y338">
        <v>103700</v>
      </c>
      <c r="AA338" t="s">
        <v>605</v>
      </c>
      <c r="AB338">
        <v>20190211</v>
      </c>
      <c r="AE338">
        <f t="shared" si="5"/>
        <v>0</v>
      </c>
      <c r="AF338">
        <v>0</v>
      </c>
      <c r="AG338">
        <v>0</v>
      </c>
      <c r="AH338">
        <v>0</v>
      </c>
      <c r="AI338" s="121">
        <v>777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777</v>
      </c>
    </row>
    <row r="339" spans="1:41">
      <c r="A339">
        <v>201903</v>
      </c>
      <c r="B339">
        <v>25</v>
      </c>
      <c r="C339" t="s">
        <v>526</v>
      </c>
      <c r="D339">
        <v>3190393449911</v>
      </c>
      <c r="E339" t="s">
        <v>53</v>
      </c>
      <c r="F339" t="s">
        <v>597</v>
      </c>
      <c r="G339" t="s">
        <v>598</v>
      </c>
      <c r="H339" t="s">
        <v>599</v>
      </c>
      <c r="I339" t="s">
        <v>649</v>
      </c>
      <c r="J339" t="s">
        <v>649</v>
      </c>
      <c r="K339" t="s">
        <v>650</v>
      </c>
      <c r="L339" t="s">
        <v>692</v>
      </c>
      <c r="M339" t="s">
        <v>693</v>
      </c>
      <c r="N339" t="s">
        <v>967</v>
      </c>
      <c r="P339" t="s">
        <v>603</v>
      </c>
      <c r="Q339" t="s">
        <v>648</v>
      </c>
      <c r="R339" t="s">
        <v>1041</v>
      </c>
      <c r="S339">
        <v>20171206</v>
      </c>
      <c r="T339" t="s">
        <v>795</v>
      </c>
      <c r="V339">
        <v>61</v>
      </c>
      <c r="W339">
        <v>20</v>
      </c>
      <c r="X339">
        <v>15</v>
      </c>
      <c r="Y339">
        <v>88500</v>
      </c>
      <c r="AA339" t="s">
        <v>605</v>
      </c>
      <c r="AB339">
        <v>20190225</v>
      </c>
      <c r="AE339">
        <f t="shared" si="5"/>
        <v>0</v>
      </c>
      <c r="AF339">
        <v>0</v>
      </c>
      <c r="AG339">
        <v>0</v>
      </c>
      <c r="AH339">
        <v>0</v>
      </c>
      <c r="AI339" s="121">
        <v>663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663</v>
      </c>
    </row>
    <row r="340" spans="1:41">
      <c r="A340">
        <v>201903</v>
      </c>
      <c r="B340">
        <v>25</v>
      </c>
      <c r="C340" t="s">
        <v>526</v>
      </c>
      <c r="D340">
        <v>3190393914801</v>
      </c>
      <c r="E340" t="s">
        <v>53</v>
      </c>
      <c r="F340" t="s">
        <v>597</v>
      </c>
      <c r="G340" t="s">
        <v>598</v>
      </c>
      <c r="H340" t="s">
        <v>599</v>
      </c>
      <c r="I340" t="s">
        <v>702</v>
      </c>
      <c r="J340" t="s">
        <v>702</v>
      </c>
      <c r="K340" t="s">
        <v>703</v>
      </c>
      <c r="L340" t="s">
        <v>506</v>
      </c>
      <c r="M340" t="s">
        <v>505</v>
      </c>
      <c r="N340" t="s">
        <v>995</v>
      </c>
      <c r="P340" t="s">
        <v>603</v>
      </c>
      <c r="Q340" t="s">
        <v>648</v>
      </c>
      <c r="R340" t="s">
        <v>1042</v>
      </c>
      <c r="S340">
        <v>20171214</v>
      </c>
      <c r="T340" t="s">
        <v>1074</v>
      </c>
      <c r="X340">
        <v>13</v>
      </c>
      <c r="Y340">
        <v>68000</v>
      </c>
      <c r="AA340" t="s">
        <v>605</v>
      </c>
      <c r="AB340">
        <v>20190226</v>
      </c>
      <c r="AE340">
        <f t="shared" si="5"/>
        <v>0</v>
      </c>
      <c r="AF340">
        <v>0</v>
      </c>
      <c r="AG340">
        <v>0</v>
      </c>
      <c r="AH340">
        <v>0</v>
      </c>
      <c r="AI340" s="121">
        <v>340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340</v>
      </c>
    </row>
    <row r="341" spans="1:41">
      <c r="A341">
        <v>201903</v>
      </c>
      <c r="B341">
        <v>25</v>
      </c>
      <c r="C341" t="s">
        <v>526</v>
      </c>
      <c r="D341">
        <v>3190393920561</v>
      </c>
      <c r="E341" t="s">
        <v>53</v>
      </c>
      <c r="F341" t="s">
        <v>597</v>
      </c>
      <c r="G341" t="s">
        <v>598</v>
      </c>
      <c r="H341" t="s">
        <v>599</v>
      </c>
      <c r="I341" t="s">
        <v>702</v>
      </c>
      <c r="J341" t="s">
        <v>702</v>
      </c>
      <c r="K341" t="s">
        <v>703</v>
      </c>
      <c r="L341" t="s">
        <v>506</v>
      </c>
      <c r="M341" t="s">
        <v>505</v>
      </c>
      <c r="N341" t="s">
        <v>995</v>
      </c>
      <c r="P341" t="s">
        <v>603</v>
      </c>
      <c r="Q341" t="s">
        <v>648</v>
      </c>
      <c r="R341" t="s">
        <v>1041</v>
      </c>
      <c r="S341">
        <v>20171211</v>
      </c>
      <c r="T341" t="s">
        <v>1074</v>
      </c>
      <c r="X341">
        <v>13</v>
      </c>
      <c r="Y341">
        <v>32500</v>
      </c>
      <c r="AA341" t="s">
        <v>605</v>
      </c>
      <c r="AB341">
        <v>20190226</v>
      </c>
      <c r="AE341">
        <f t="shared" si="5"/>
        <v>0</v>
      </c>
      <c r="AF341">
        <v>0</v>
      </c>
      <c r="AG341">
        <v>0</v>
      </c>
      <c r="AH341">
        <v>0</v>
      </c>
      <c r="AI341" s="121">
        <v>243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243</v>
      </c>
    </row>
    <row r="342" spans="1:41">
      <c r="A342">
        <v>201903</v>
      </c>
      <c r="B342">
        <v>25</v>
      </c>
      <c r="C342" t="s">
        <v>526</v>
      </c>
      <c r="D342">
        <v>3190394166341</v>
      </c>
      <c r="E342" t="s">
        <v>53</v>
      </c>
      <c r="F342" t="s">
        <v>597</v>
      </c>
      <c r="G342" t="s">
        <v>598</v>
      </c>
      <c r="H342" t="s">
        <v>599</v>
      </c>
      <c r="I342" t="s">
        <v>702</v>
      </c>
      <c r="J342" t="s">
        <v>702</v>
      </c>
      <c r="K342" t="s">
        <v>703</v>
      </c>
      <c r="L342" t="s">
        <v>513</v>
      </c>
      <c r="M342" t="s">
        <v>512</v>
      </c>
      <c r="N342" t="s">
        <v>930</v>
      </c>
      <c r="P342" t="s">
        <v>603</v>
      </c>
      <c r="Q342" t="s">
        <v>648</v>
      </c>
      <c r="R342" t="s">
        <v>1041</v>
      </c>
      <c r="S342">
        <v>20171207</v>
      </c>
      <c r="T342" t="s">
        <v>1098</v>
      </c>
      <c r="X342">
        <v>15</v>
      </c>
      <c r="Y342">
        <v>54528</v>
      </c>
      <c r="AA342" t="s">
        <v>605</v>
      </c>
      <c r="AB342">
        <v>20190228</v>
      </c>
      <c r="AE342">
        <f t="shared" si="5"/>
        <v>0</v>
      </c>
      <c r="AF342">
        <v>0</v>
      </c>
      <c r="AG342">
        <v>0</v>
      </c>
      <c r="AH342">
        <v>0</v>
      </c>
      <c r="AI342" s="121">
        <v>408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408</v>
      </c>
    </row>
    <row r="343" spans="1:41">
      <c r="A343">
        <v>201903</v>
      </c>
      <c r="B343">
        <v>25</v>
      </c>
      <c r="C343" t="s">
        <v>526</v>
      </c>
      <c r="D343">
        <v>3190394318871</v>
      </c>
      <c r="E343" t="s">
        <v>53</v>
      </c>
      <c r="F343" t="s">
        <v>597</v>
      </c>
      <c r="G343" t="s">
        <v>598</v>
      </c>
      <c r="H343" t="s">
        <v>599</v>
      </c>
      <c r="I343" t="s">
        <v>702</v>
      </c>
      <c r="L343" t="s">
        <v>515</v>
      </c>
      <c r="M343" t="s">
        <v>514</v>
      </c>
      <c r="N343" t="s">
        <v>935</v>
      </c>
      <c r="P343" t="s">
        <v>603</v>
      </c>
      <c r="Q343" t="s">
        <v>648</v>
      </c>
      <c r="R343" t="s">
        <v>1041</v>
      </c>
      <c r="S343">
        <v>20171211</v>
      </c>
      <c r="T343" t="s">
        <v>850</v>
      </c>
      <c r="X343">
        <v>15</v>
      </c>
      <c r="Y343">
        <v>30000</v>
      </c>
      <c r="AA343" t="s">
        <v>605</v>
      </c>
      <c r="AB343">
        <v>20190220</v>
      </c>
      <c r="AE343">
        <f t="shared" si="5"/>
        <v>0</v>
      </c>
      <c r="AF343">
        <v>0</v>
      </c>
      <c r="AG343">
        <v>0</v>
      </c>
      <c r="AH343">
        <v>0</v>
      </c>
      <c r="AI343" s="121">
        <v>225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225</v>
      </c>
    </row>
    <row r="344" spans="1:41">
      <c r="A344">
        <v>201903</v>
      </c>
      <c r="B344">
        <v>25</v>
      </c>
      <c r="C344" t="s">
        <v>526</v>
      </c>
      <c r="D344">
        <v>3190394437931</v>
      </c>
      <c r="E344" t="s">
        <v>53</v>
      </c>
      <c r="F344" t="s">
        <v>597</v>
      </c>
      <c r="G344" t="s">
        <v>598</v>
      </c>
      <c r="H344" t="s">
        <v>599</v>
      </c>
      <c r="I344" t="s">
        <v>606</v>
      </c>
      <c r="J344" t="s">
        <v>606</v>
      </c>
      <c r="K344" t="s">
        <v>607</v>
      </c>
      <c r="L344" t="s">
        <v>639</v>
      </c>
      <c r="M344" t="s">
        <v>640</v>
      </c>
      <c r="N344" t="s">
        <v>1007</v>
      </c>
      <c r="P344" t="s">
        <v>603</v>
      </c>
      <c r="Q344" t="s">
        <v>648</v>
      </c>
      <c r="R344" t="s">
        <v>1042</v>
      </c>
      <c r="S344">
        <v>20171213</v>
      </c>
      <c r="T344" t="s">
        <v>869</v>
      </c>
      <c r="X344">
        <v>13</v>
      </c>
      <c r="Y344">
        <v>55000</v>
      </c>
      <c r="AA344" t="s">
        <v>605</v>
      </c>
      <c r="AB344">
        <v>20190228</v>
      </c>
      <c r="AE344">
        <f t="shared" si="5"/>
        <v>0</v>
      </c>
      <c r="AF344">
        <v>0</v>
      </c>
      <c r="AG344">
        <v>0</v>
      </c>
      <c r="AH344">
        <v>0</v>
      </c>
      <c r="AI344" s="121">
        <v>275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275</v>
      </c>
    </row>
    <row r="345" spans="1:41">
      <c r="A345">
        <v>201903</v>
      </c>
      <c r="B345">
        <v>25</v>
      </c>
      <c r="C345" t="s">
        <v>526</v>
      </c>
      <c r="D345">
        <v>3190030826951</v>
      </c>
      <c r="E345" t="s">
        <v>53</v>
      </c>
      <c r="F345" t="s">
        <v>597</v>
      </c>
      <c r="G345" t="s">
        <v>598</v>
      </c>
      <c r="H345" t="s">
        <v>599</v>
      </c>
      <c r="I345" t="s">
        <v>606</v>
      </c>
      <c r="J345" t="s">
        <v>606</v>
      </c>
      <c r="K345" t="s">
        <v>607</v>
      </c>
      <c r="L345" t="s">
        <v>747</v>
      </c>
      <c r="M345" t="s">
        <v>748</v>
      </c>
      <c r="N345" t="s">
        <v>948</v>
      </c>
      <c r="P345" t="s">
        <v>603</v>
      </c>
      <c r="Q345" t="s">
        <v>648</v>
      </c>
      <c r="R345" t="s">
        <v>933</v>
      </c>
      <c r="S345">
        <v>20160219</v>
      </c>
      <c r="T345" t="s">
        <v>849</v>
      </c>
      <c r="X345">
        <v>37</v>
      </c>
      <c r="Y345">
        <v>53000</v>
      </c>
      <c r="AA345" t="s">
        <v>605</v>
      </c>
      <c r="AB345">
        <v>20190225</v>
      </c>
      <c r="AE345">
        <f t="shared" si="5"/>
        <v>0</v>
      </c>
      <c r="AF345">
        <v>0</v>
      </c>
      <c r="AG345">
        <v>0</v>
      </c>
      <c r="AH345">
        <v>0</v>
      </c>
      <c r="AI345" s="121">
        <v>265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265</v>
      </c>
    </row>
    <row r="346" spans="1:41">
      <c r="A346">
        <v>201903</v>
      </c>
      <c r="B346">
        <v>25</v>
      </c>
      <c r="C346" t="s">
        <v>526</v>
      </c>
      <c r="D346">
        <v>3190030838721</v>
      </c>
      <c r="E346" t="s">
        <v>53</v>
      </c>
      <c r="F346" t="s">
        <v>597</v>
      </c>
      <c r="G346" t="s">
        <v>598</v>
      </c>
      <c r="H346" t="s">
        <v>599</v>
      </c>
      <c r="I346" t="s">
        <v>702</v>
      </c>
      <c r="L346" t="s">
        <v>515</v>
      </c>
      <c r="M346" t="s">
        <v>514</v>
      </c>
      <c r="N346" t="s">
        <v>935</v>
      </c>
      <c r="P346" t="s">
        <v>603</v>
      </c>
      <c r="Q346" t="s">
        <v>648</v>
      </c>
      <c r="R346" t="s">
        <v>933</v>
      </c>
      <c r="S346">
        <v>20160219</v>
      </c>
      <c r="T346" t="s">
        <v>956</v>
      </c>
      <c r="X346">
        <v>37</v>
      </c>
      <c r="Y346">
        <v>50000</v>
      </c>
      <c r="AA346" t="s">
        <v>605</v>
      </c>
      <c r="AB346">
        <v>20190215</v>
      </c>
      <c r="AE346">
        <f t="shared" si="5"/>
        <v>0</v>
      </c>
      <c r="AF346">
        <v>0</v>
      </c>
      <c r="AG346">
        <v>0</v>
      </c>
      <c r="AH346">
        <v>0</v>
      </c>
      <c r="AI346" s="121">
        <v>250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250</v>
      </c>
    </row>
    <row r="347" spans="1:41">
      <c r="A347">
        <v>201903</v>
      </c>
      <c r="B347">
        <v>25</v>
      </c>
      <c r="C347" t="s">
        <v>526</v>
      </c>
      <c r="D347">
        <v>3190031005171</v>
      </c>
      <c r="E347" t="s">
        <v>53</v>
      </c>
      <c r="F347" t="s">
        <v>597</v>
      </c>
      <c r="G347" t="s">
        <v>598</v>
      </c>
      <c r="H347" t="s">
        <v>599</v>
      </c>
      <c r="I347" t="s">
        <v>702</v>
      </c>
      <c r="L347" t="s">
        <v>515</v>
      </c>
      <c r="M347" t="s">
        <v>514</v>
      </c>
      <c r="N347" t="s">
        <v>935</v>
      </c>
      <c r="P347" t="s">
        <v>603</v>
      </c>
      <c r="Q347" t="s">
        <v>648</v>
      </c>
      <c r="R347" t="s">
        <v>933</v>
      </c>
      <c r="S347">
        <v>20160222</v>
      </c>
      <c r="T347" t="s">
        <v>858</v>
      </c>
      <c r="X347">
        <v>37</v>
      </c>
      <c r="Y347">
        <v>38000</v>
      </c>
      <c r="AA347" t="s">
        <v>605</v>
      </c>
      <c r="AB347">
        <v>20190225</v>
      </c>
      <c r="AE347">
        <f t="shared" si="5"/>
        <v>0</v>
      </c>
      <c r="AF347">
        <v>0</v>
      </c>
      <c r="AG347">
        <v>0</v>
      </c>
      <c r="AH347">
        <v>0</v>
      </c>
      <c r="AI347" s="121">
        <v>190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190</v>
      </c>
    </row>
    <row r="348" spans="1:41">
      <c r="A348">
        <v>201903</v>
      </c>
      <c r="B348">
        <v>25</v>
      </c>
      <c r="C348" t="s">
        <v>526</v>
      </c>
      <c r="D348">
        <v>3190031337911</v>
      </c>
      <c r="E348" t="s">
        <v>53</v>
      </c>
      <c r="F348" t="s">
        <v>597</v>
      </c>
      <c r="G348" t="s">
        <v>598</v>
      </c>
      <c r="H348" t="s">
        <v>599</v>
      </c>
      <c r="I348" t="s">
        <v>702</v>
      </c>
      <c r="J348" t="s">
        <v>702</v>
      </c>
      <c r="K348" t="s">
        <v>703</v>
      </c>
      <c r="L348" t="s">
        <v>513</v>
      </c>
      <c r="M348" t="s">
        <v>512</v>
      </c>
      <c r="N348" t="s">
        <v>930</v>
      </c>
      <c r="P348" t="s">
        <v>603</v>
      </c>
      <c r="Q348" t="s">
        <v>648</v>
      </c>
      <c r="R348" t="s">
        <v>933</v>
      </c>
      <c r="S348">
        <v>20160218</v>
      </c>
      <c r="T348" t="s">
        <v>959</v>
      </c>
      <c r="X348">
        <v>37</v>
      </c>
      <c r="Y348">
        <v>95371</v>
      </c>
      <c r="AA348" t="s">
        <v>605</v>
      </c>
      <c r="AB348">
        <v>20190207</v>
      </c>
      <c r="AE348">
        <f t="shared" si="5"/>
        <v>0</v>
      </c>
      <c r="AF348">
        <v>0</v>
      </c>
      <c r="AG348">
        <v>0</v>
      </c>
      <c r="AH348">
        <v>0</v>
      </c>
      <c r="AI348" s="121">
        <v>476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476</v>
      </c>
    </row>
    <row r="349" spans="1:41">
      <c r="A349">
        <v>201903</v>
      </c>
      <c r="B349">
        <v>25</v>
      </c>
      <c r="C349" t="s">
        <v>526</v>
      </c>
      <c r="D349">
        <v>3190031409071</v>
      </c>
      <c r="E349" t="s">
        <v>53</v>
      </c>
      <c r="F349" t="s">
        <v>597</v>
      </c>
      <c r="G349" t="s">
        <v>598</v>
      </c>
      <c r="H349" t="s">
        <v>599</v>
      </c>
      <c r="I349" t="s">
        <v>606</v>
      </c>
      <c r="J349" t="s">
        <v>606</v>
      </c>
      <c r="K349" t="s">
        <v>607</v>
      </c>
      <c r="L349" t="s">
        <v>625</v>
      </c>
      <c r="M349" t="s">
        <v>626</v>
      </c>
      <c r="N349" t="s">
        <v>941</v>
      </c>
      <c r="P349" t="s">
        <v>603</v>
      </c>
      <c r="Q349" t="s">
        <v>648</v>
      </c>
      <c r="R349" t="s">
        <v>933</v>
      </c>
      <c r="S349">
        <v>20160218</v>
      </c>
      <c r="T349" t="s">
        <v>960</v>
      </c>
      <c r="X349">
        <v>37</v>
      </c>
      <c r="Y349">
        <v>30000</v>
      </c>
      <c r="AA349" t="s">
        <v>605</v>
      </c>
      <c r="AB349">
        <v>20190225</v>
      </c>
      <c r="AE349">
        <f t="shared" si="5"/>
        <v>0</v>
      </c>
      <c r="AF349">
        <v>0</v>
      </c>
      <c r="AG349">
        <v>0</v>
      </c>
      <c r="AH349">
        <v>0</v>
      </c>
      <c r="AI349" s="121">
        <v>150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150</v>
      </c>
    </row>
    <row r="350" spans="1:41">
      <c r="A350">
        <v>201903</v>
      </c>
      <c r="B350">
        <v>25</v>
      </c>
      <c r="C350" t="s">
        <v>526</v>
      </c>
      <c r="D350">
        <v>3190031765591</v>
      </c>
      <c r="E350" t="s">
        <v>53</v>
      </c>
      <c r="F350" t="s">
        <v>597</v>
      </c>
      <c r="G350" t="s">
        <v>598</v>
      </c>
      <c r="H350" t="s">
        <v>599</v>
      </c>
      <c r="I350" t="s">
        <v>649</v>
      </c>
      <c r="J350" t="s">
        <v>649</v>
      </c>
      <c r="K350" t="s">
        <v>650</v>
      </c>
      <c r="L350" t="s">
        <v>653</v>
      </c>
      <c r="M350" t="s">
        <v>654</v>
      </c>
      <c r="N350" t="s">
        <v>957</v>
      </c>
      <c r="P350" t="s">
        <v>603</v>
      </c>
      <c r="Q350" t="s">
        <v>648</v>
      </c>
      <c r="R350" t="s">
        <v>945</v>
      </c>
      <c r="S350">
        <v>20160226</v>
      </c>
      <c r="T350" t="s">
        <v>961</v>
      </c>
      <c r="X350">
        <v>37</v>
      </c>
      <c r="Y350">
        <v>21000</v>
      </c>
      <c r="AA350" t="s">
        <v>605</v>
      </c>
      <c r="AB350">
        <v>20190215</v>
      </c>
      <c r="AE350">
        <f t="shared" si="5"/>
        <v>0</v>
      </c>
      <c r="AF350">
        <v>0</v>
      </c>
      <c r="AG350">
        <v>0</v>
      </c>
      <c r="AH350">
        <v>0</v>
      </c>
      <c r="AI350" s="121">
        <v>105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105</v>
      </c>
    </row>
    <row r="351" spans="1:41">
      <c r="A351">
        <v>201903</v>
      </c>
      <c r="B351">
        <v>25</v>
      </c>
      <c r="C351" t="s">
        <v>526</v>
      </c>
      <c r="D351">
        <v>3190032587361</v>
      </c>
      <c r="E351" t="s">
        <v>53</v>
      </c>
      <c r="F351" t="s">
        <v>597</v>
      </c>
      <c r="G351" t="s">
        <v>598</v>
      </c>
      <c r="H351" t="s">
        <v>599</v>
      </c>
      <c r="I351" t="s">
        <v>606</v>
      </c>
      <c r="J351" t="s">
        <v>606</v>
      </c>
      <c r="K351" t="s">
        <v>607</v>
      </c>
      <c r="L351" t="s">
        <v>625</v>
      </c>
      <c r="M351" t="s">
        <v>626</v>
      </c>
      <c r="N351" t="s">
        <v>941</v>
      </c>
      <c r="P351" t="s">
        <v>603</v>
      </c>
      <c r="Q351" t="s">
        <v>648</v>
      </c>
      <c r="R351" t="s">
        <v>933</v>
      </c>
      <c r="S351">
        <v>20160226</v>
      </c>
      <c r="T351" t="s">
        <v>878</v>
      </c>
      <c r="X351">
        <v>37</v>
      </c>
      <c r="Y351">
        <v>193000</v>
      </c>
      <c r="AA351" t="s">
        <v>605</v>
      </c>
      <c r="AB351">
        <v>20190220</v>
      </c>
      <c r="AE351">
        <f t="shared" si="5"/>
        <v>0</v>
      </c>
      <c r="AF351">
        <v>0</v>
      </c>
      <c r="AG351">
        <v>0</v>
      </c>
      <c r="AH351">
        <v>0</v>
      </c>
      <c r="AI351" s="121">
        <v>965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965</v>
      </c>
    </row>
    <row r="352" spans="1:41">
      <c r="A352">
        <v>201903</v>
      </c>
      <c r="B352">
        <v>25</v>
      </c>
      <c r="C352" t="s">
        <v>526</v>
      </c>
      <c r="D352">
        <v>3190032625271</v>
      </c>
      <c r="E352" t="s">
        <v>53</v>
      </c>
      <c r="F352" t="s">
        <v>597</v>
      </c>
      <c r="G352" t="s">
        <v>598</v>
      </c>
      <c r="H352" t="s">
        <v>599</v>
      </c>
      <c r="I352" t="s">
        <v>606</v>
      </c>
      <c r="J352" t="s">
        <v>606</v>
      </c>
      <c r="K352" t="s">
        <v>607</v>
      </c>
      <c r="L352" t="s">
        <v>625</v>
      </c>
      <c r="M352" t="s">
        <v>626</v>
      </c>
      <c r="N352" t="s">
        <v>941</v>
      </c>
      <c r="P352" t="s">
        <v>603</v>
      </c>
      <c r="Q352" t="s">
        <v>648</v>
      </c>
      <c r="R352" t="s">
        <v>933</v>
      </c>
      <c r="S352">
        <v>20160226</v>
      </c>
      <c r="T352" t="s">
        <v>878</v>
      </c>
      <c r="X352">
        <v>37</v>
      </c>
      <c r="Y352">
        <v>94200</v>
      </c>
      <c r="AA352" t="s">
        <v>605</v>
      </c>
      <c r="AB352">
        <v>20190220</v>
      </c>
      <c r="AE352">
        <f t="shared" si="5"/>
        <v>0</v>
      </c>
      <c r="AF352">
        <v>0</v>
      </c>
      <c r="AG352">
        <v>0</v>
      </c>
      <c r="AH352">
        <v>0</v>
      </c>
      <c r="AI352" s="121">
        <v>471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471</v>
      </c>
    </row>
    <row r="353" spans="1:41">
      <c r="A353">
        <v>201903</v>
      </c>
      <c r="B353">
        <v>25</v>
      </c>
      <c r="C353" t="s">
        <v>526</v>
      </c>
      <c r="D353">
        <v>3190032674641</v>
      </c>
      <c r="E353" t="s">
        <v>53</v>
      </c>
      <c r="F353" t="s">
        <v>597</v>
      </c>
      <c r="G353" t="s">
        <v>598</v>
      </c>
      <c r="H353" t="s">
        <v>599</v>
      </c>
      <c r="I353" t="s">
        <v>702</v>
      </c>
      <c r="L353" t="s">
        <v>515</v>
      </c>
      <c r="M353" t="s">
        <v>514</v>
      </c>
      <c r="N353" t="s">
        <v>935</v>
      </c>
      <c r="P353" t="s">
        <v>603</v>
      </c>
      <c r="Q353" t="s">
        <v>648</v>
      </c>
      <c r="R353" t="s">
        <v>933</v>
      </c>
      <c r="S353">
        <v>20160229</v>
      </c>
      <c r="T353" t="s">
        <v>869</v>
      </c>
      <c r="X353">
        <v>37</v>
      </c>
      <c r="Y353">
        <v>33466</v>
      </c>
      <c r="AA353" t="s">
        <v>605</v>
      </c>
      <c r="AB353">
        <v>20190220</v>
      </c>
      <c r="AE353">
        <f t="shared" si="5"/>
        <v>0</v>
      </c>
      <c r="AF353">
        <v>0</v>
      </c>
      <c r="AG353">
        <v>0</v>
      </c>
      <c r="AH353">
        <v>0</v>
      </c>
      <c r="AI353" s="121">
        <v>167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167</v>
      </c>
    </row>
    <row r="354" spans="1:41">
      <c r="A354">
        <v>201903</v>
      </c>
      <c r="B354">
        <v>25</v>
      </c>
      <c r="C354" t="s">
        <v>526</v>
      </c>
      <c r="D354">
        <v>3190032770591</v>
      </c>
      <c r="E354" t="s">
        <v>53</v>
      </c>
      <c r="F354" t="s">
        <v>597</v>
      </c>
      <c r="G354" t="s">
        <v>598</v>
      </c>
      <c r="H354" t="s">
        <v>599</v>
      </c>
      <c r="I354" t="s">
        <v>702</v>
      </c>
      <c r="L354" t="s">
        <v>515</v>
      </c>
      <c r="M354" t="s">
        <v>514</v>
      </c>
      <c r="N354" t="s">
        <v>935</v>
      </c>
      <c r="P354" t="s">
        <v>603</v>
      </c>
      <c r="Q354" t="s">
        <v>648</v>
      </c>
      <c r="R354" t="s">
        <v>933</v>
      </c>
      <c r="S354">
        <v>20160229</v>
      </c>
      <c r="T354" t="s">
        <v>840</v>
      </c>
      <c r="X354">
        <v>37</v>
      </c>
      <c r="Y354">
        <v>30000</v>
      </c>
      <c r="AA354" t="s">
        <v>605</v>
      </c>
      <c r="AB354">
        <v>20190225</v>
      </c>
      <c r="AE354">
        <f t="shared" si="5"/>
        <v>0</v>
      </c>
      <c r="AF354">
        <v>0</v>
      </c>
      <c r="AG354">
        <v>0</v>
      </c>
      <c r="AH354">
        <v>0</v>
      </c>
      <c r="AI354" s="121">
        <v>150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150</v>
      </c>
    </row>
    <row r="355" spans="1:41">
      <c r="A355">
        <v>201903</v>
      </c>
      <c r="B355">
        <v>25</v>
      </c>
      <c r="C355" t="s">
        <v>526</v>
      </c>
      <c r="D355">
        <v>3190033338241</v>
      </c>
      <c r="E355" t="s">
        <v>53</v>
      </c>
      <c r="F355" t="s">
        <v>597</v>
      </c>
      <c r="G355" t="s">
        <v>598</v>
      </c>
      <c r="H355" t="s">
        <v>599</v>
      </c>
      <c r="I355" t="s">
        <v>606</v>
      </c>
      <c r="J355" t="s">
        <v>606</v>
      </c>
      <c r="K355" t="s">
        <v>607</v>
      </c>
      <c r="L355" t="s">
        <v>744</v>
      </c>
      <c r="M355" t="s">
        <v>745</v>
      </c>
      <c r="N355" t="s">
        <v>1258</v>
      </c>
      <c r="P355" t="s">
        <v>603</v>
      </c>
      <c r="Q355" t="s">
        <v>648</v>
      </c>
      <c r="R355" t="s">
        <v>945</v>
      </c>
      <c r="S355">
        <v>20160315</v>
      </c>
      <c r="T355" t="s">
        <v>844</v>
      </c>
      <c r="X355">
        <v>36</v>
      </c>
      <c r="Y355">
        <v>33000</v>
      </c>
      <c r="AA355" t="s">
        <v>605</v>
      </c>
      <c r="AB355">
        <v>20190211</v>
      </c>
      <c r="AE355">
        <f t="shared" si="5"/>
        <v>0</v>
      </c>
      <c r="AF355">
        <v>0</v>
      </c>
      <c r="AG355">
        <v>0</v>
      </c>
      <c r="AH355">
        <v>0</v>
      </c>
      <c r="AI355" s="121">
        <v>165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165</v>
      </c>
    </row>
    <row r="356" spans="1:41">
      <c r="A356">
        <v>201903</v>
      </c>
      <c r="B356">
        <v>25</v>
      </c>
      <c r="C356" t="s">
        <v>526</v>
      </c>
      <c r="D356">
        <v>3190033955021</v>
      </c>
      <c r="E356" t="s">
        <v>53</v>
      </c>
      <c r="F356" t="s">
        <v>597</v>
      </c>
      <c r="G356" t="s">
        <v>598</v>
      </c>
      <c r="H356" t="s">
        <v>599</v>
      </c>
      <c r="I356" t="s">
        <v>702</v>
      </c>
      <c r="J356" t="s">
        <v>702</v>
      </c>
      <c r="K356" t="s">
        <v>703</v>
      </c>
      <c r="L356" t="s">
        <v>509</v>
      </c>
      <c r="M356" t="s">
        <v>508</v>
      </c>
      <c r="N356" t="s">
        <v>942</v>
      </c>
      <c r="P356" t="s">
        <v>603</v>
      </c>
      <c r="Q356" t="s">
        <v>648</v>
      </c>
      <c r="R356" t="s">
        <v>933</v>
      </c>
      <c r="S356">
        <v>20160316</v>
      </c>
      <c r="T356" t="s">
        <v>987</v>
      </c>
      <c r="X356">
        <v>35</v>
      </c>
      <c r="Y356">
        <v>30675</v>
      </c>
      <c r="AA356" t="s">
        <v>605</v>
      </c>
      <c r="AB356">
        <v>20190227</v>
      </c>
      <c r="AE356">
        <f t="shared" si="5"/>
        <v>0</v>
      </c>
      <c r="AF356">
        <v>0</v>
      </c>
      <c r="AG356">
        <v>0</v>
      </c>
      <c r="AH356">
        <v>0</v>
      </c>
      <c r="AI356" s="121">
        <v>153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153</v>
      </c>
    </row>
    <row r="357" spans="1:41">
      <c r="A357">
        <v>201903</v>
      </c>
      <c r="B357">
        <v>25</v>
      </c>
      <c r="C357" t="s">
        <v>526</v>
      </c>
      <c r="D357">
        <v>3190034136471</v>
      </c>
      <c r="E357" t="s">
        <v>53</v>
      </c>
      <c r="F357" t="s">
        <v>597</v>
      </c>
      <c r="G357" t="s">
        <v>598</v>
      </c>
      <c r="H357" t="s">
        <v>599</v>
      </c>
      <c r="I357" t="s">
        <v>646</v>
      </c>
      <c r="J357" t="s">
        <v>646</v>
      </c>
      <c r="K357" t="s">
        <v>647</v>
      </c>
      <c r="L357" t="s">
        <v>707</v>
      </c>
      <c r="M357" t="s">
        <v>708</v>
      </c>
      <c r="N357" t="s">
        <v>1076</v>
      </c>
      <c r="P357" t="s">
        <v>603</v>
      </c>
      <c r="Q357" t="s">
        <v>648</v>
      </c>
      <c r="R357" t="s">
        <v>933</v>
      </c>
      <c r="S357">
        <v>20160316</v>
      </c>
      <c r="T357" t="s">
        <v>843</v>
      </c>
      <c r="X357">
        <v>36</v>
      </c>
      <c r="Y357">
        <v>79000</v>
      </c>
      <c r="AA357" t="s">
        <v>605</v>
      </c>
      <c r="AB357">
        <v>20190215</v>
      </c>
      <c r="AE357">
        <f t="shared" si="5"/>
        <v>0</v>
      </c>
      <c r="AF357">
        <v>0</v>
      </c>
      <c r="AG357">
        <v>0</v>
      </c>
      <c r="AH357">
        <v>0</v>
      </c>
      <c r="AI357" s="121">
        <v>395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395</v>
      </c>
    </row>
    <row r="358" spans="1:41">
      <c r="A358">
        <v>201903</v>
      </c>
      <c r="B358">
        <v>25</v>
      </c>
      <c r="C358" t="s">
        <v>526</v>
      </c>
      <c r="D358">
        <v>3190034210931</v>
      </c>
      <c r="E358" t="s">
        <v>53</v>
      </c>
      <c r="F358" t="s">
        <v>597</v>
      </c>
      <c r="G358" t="s">
        <v>598</v>
      </c>
      <c r="H358" t="s">
        <v>599</v>
      </c>
      <c r="I358" t="s">
        <v>606</v>
      </c>
      <c r="J358" t="s">
        <v>606</v>
      </c>
      <c r="K358" t="s">
        <v>607</v>
      </c>
      <c r="L358" t="s">
        <v>744</v>
      </c>
      <c r="M358" t="s">
        <v>745</v>
      </c>
      <c r="N358" t="s">
        <v>1258</v>
      </c>
      <c r="P358" t="s">
        <v>603</v>
      </c>
      <c r="Q358" t="s">
        <v>648</v>
      </c>
      <c r="R358" t="s">
        <v>933</v>
      </c>
      <c r="S358">
        <v>20160321</v>
      </c>
      <c r="T358" t="s">
        <v>826</v>
      </c>
      <c r="X358">
        <v>35</v>
      </c>
      <c r="Y358">
        <v>77960</v>
      </c>
      <c r="AA358" t="s">
        <v>605</v>
      </c>
      <c r="AB358">
        <v>20190208</v>
      </c>
      <c r="AE358">
        <f t="shared" si="5"/>
        <v>0</v>
      </c>
      <c r="AF358">
        <v>0</v>
      </c>
      <c r="AG358">
        <v>0</v>
      </c>
      <c r="AH358">
        <v>0</v>
      </c>
      <c r="AI358" s="121">
        <v>389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389</v>
      </c>
    </row>
    <row r="359" spans="1:41">
      <c r="A359">
        <v>201903</v>
      </c>
      <c r="B359">
        <v>25</v>
      </c>
      <c r="C359" t="s">
        <v>526</v>
      </c>
      <c r="D359">
        <v>3190034901661</v>
      </c>
      <c r="E359" t="s">
        <v>53</v>
      </c>
      <c r="F359" t="s">
        <v>597</v>
      </c>
      <c r="G359" t="s">
        <v>598</v>
      </c>
      <c r="H359" t="s">
        <v>599</v>
      </c>
      <c r="I359" t="s">
        <v>702</v>
      </c>
      <c r="J359" t="s">
        <v>702</v>
      </c>
      <c r="K359" t="s">
        <v>703</v>
      </c>
      <c r="L359" t="s">
        <v>511</v>
      </c>
      <c r="M359" t="s">
        <v>510</v>
      </c>
      <c r="N359" t="s">
        <v>965</v>
      </c>
      <c r="P359" t="s">
        <v>603</v>
      </c>
      <c r="Q359" t="s">
        <v>648</v>
      </c>
      <c r="R359" t="s">
        <v>933</v>
      </c>
      <c r="S359">
        <v>20160321</v>
      </c>
      <c r="T359" t="s">
        <v>1084</v>
      </c>
      <c r="X359">
        <v>36</v>
      </c>
      <c r="Y359">
        <v>72000</v>
      </c>
      <c r="AA359" t="s">
        <v>605</v>
      </c>
      <c r="AB359">
        <v>20190225</v>
      </c>
      <c r="AE359">
        <f t="shared" si="5"/>
        <v>0</v>
      </c>
      <c r="AF359">
        <v>0</v>
      </c>
      <c r="AG359">
        <v>0</v>
      </c>
      <c r="AH359">
        <v>0</v>
      </c>
      <c r="AI359" s="121">
        <v>360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360</v>
      </c>
    </row>
    <row r="360" spans="1:41">
      <c r="A360">
        <v>201903</v>
      </c>
      <c r="B360">
        <v>25</v>
      </c>
      <c r="C360" t="s">
        <v>526</v>
      </c>
      <c r="D360">
        <v>3190034926251</v>
      </c>
      <c r="E360" t="s">
        <v>53</v>
      </c>
      <c r="F360" t="s">
        <v>597</v>
      </c>
      <c r="G360" t="s">
        <v>598</v>
      </c>
      <c r="H360" t="s">
        <v>599</v>
      </c>
      <c r="I360" t="s">
        <v>646</v>
      </c>
      <c r="J360" t="s">
        <v>646</v>
      </c>
      <c r="K360" t="s">
        <v>647</v>
      </c>
      <c r="L360" t="s">
        <v>717</v>
      </c>
      <c r="M360" t="s">
        <v>718</v>
      </c>
      <c r="N360" t="s">
        <v>1016</v>
      </c>
      <c r="P360" t="s">
        <v>603</v>
      </c>
      <c r="Q360" t="s">
        <v>648</v>
      </c>
      <c r="R360" t="s">
        <v>933</v>
      </c>
      <c r="S360">
        <v>20160318</v>
      </c>
      <c r="T360" t="s">
        <v>850</v>
      </c>
      <c r="X360">
        <v>36</v>
      </c>
      <c r="Y360">
        <v>75000</v>
      </c>
      <c r="AA360" t="s">
        <v>605</v>
      </c>
      <c r="AB360">
        <v>20190216</v>
      </c>
      <c r="AE360">
        <f t="shared" si="5"/>
        <v>0</v>
      </c>
      <c r="AF360">
        <v>0</v>
      </c>
      <c r="AG360">
        <v>0</v>
      </c>
      <c r="AH360">
        <v>0</v>
      </c>
      <c r="AI360" s="121">
        <v>750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750</v>
      </c>
    </row>
    <row r="361" spans="1:41">
      <c r="A361">
        <v>201903</v>
      </c>
      <c r="B361">
        <v>25</v>
      </c>
      <c r="C361" t="s">
        <v>526</v>
      </c>
      <c r="D361">
        <v>3190035252611</v>
      </c>
      <c r="E361" t="s">
        <v>53</v>
      </c>
      <c r="F361" t="s">
        <v>597</v>
      </c>
      <c r="G361" t="s">
        <v>598</v>
      </c>
      <c r="H361" t="s">
        <v>599</v>
      </c>
      <c r="I361" t="s">
        <v>702</v>
      </c>
      <c r="L361" t="s">
        <v>515</v>
      </c>
      <c r="M361" t="s">
        <v>514</v>
      </c>
      <c r="N361" t="s">
        <v>935</v>
      </c>
      <c r="P361" t="s">
        <v>603</v>
      </c>
      <c r="Q361" t="s">
        <v>648</v>
      </c>
      <c r="R361" t="s">
        <v>1088</v>
      </c>
      <c r="S361">
        <v>20160322</v>
      </c>
      <c r="T361" t="s">
        <v>813</v>
      </c>
      <c r="X361">
        <v>36</v>
      </c>
      <c r="Y361">
        <v>30000</v>
      </c>
      <c r="AA361" t="s">
        <v>605</v>
      </c>
      <c r="AB361">
        <v>20190211</v>
      </c>
      <c r="AE361">
        <f t="shared" si="5"/>
        <v>0</v>
      </c>
      <c r="AF361">
        <v>0</v>
      </c>
      <c r="AG361">
        <v>0</v>
      </c>
      <c r="AH361">
        <v>0</v>
      </c>
      <c r="AI361" s="121">
        <v>150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150</v>
      </c>
    </row>
    <row r="362" spans="1:41">
      <c r="A362">
        <v>201903</v>
      </c>
      <c r="B362">
        <v>25</v>
      </c>
      <c r="C362" t="s">
        <v>526</v>
      </c>
      <c r="D362">
        <v>3190035274611</v>
      </c>
      <c r="E362" t="s">
        <v>53</v>
      </c>
      <c r="F362" t="s">
        <v>597</v>
      </c>
      <c r="G362" t="s">
        <v>598</v>
      </c>
      <c r="H362" t="s">
        <v>599</v>
      </c>
      <c r="I362" t="s">
        <v>606</v>
      </c>
      <c r="J362" t="s">
        <v>606</v>
      </c>
      <c r="K362" t="s">
        <v>607</v>
      </c>
      <c r="L362" t="s">
        <v>614</v>
      </c>
      <c r="M362" t="s">
        <v>615</v>
      </c>
      <c r="N362" t="s">
        <v>1226</v>
      </c>
      <c r="P362" t="s">
        <v>603</v>
      </c>
      <c r="Q362" t="s">
        <v>648</v>
      </c>
      <c r="R362" t="s">
        <v>933</v>
      </c>
      <c r="S362">
        <v>20160325</v>
      </c>
      <c r="T362" t="s">
        <v>862</v>
      </c>
      <c r="X362">
        <v>36</v>
      </c>
      <c r="Y362">
        <v>47000</v>
      </c>
      <c r="AA362" t="s">
        <v>605</v>
      </c>
      <c r="AB362">
        <v>20190228</v>
      </c>
      <c r="AE362">
        <f t="shared" si="5"/>
        <v>0</v>
      </c>
      <c r="AF362">
        <v>0</v>
      </c>
      <c r="AG362">
        <v>0</v>
      </c>
      <c r="AH362">
        <v>0</v>
      </c>
      <c r="AI362" s="121">
        <v>235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235</v>
      </c>
    </row>
    <row r="363" spans="1:41">
      <c r="A363">
        <v>201903</v>
      </c>
      <c r="B363">
        <v>25</v>
      </c>
      <c r="C363" t="s">
        <v>526</v>
      </c>
      <c r="D363">
        <v>3190035350711</v>
      </c>
      <c r="E363" t="s">
        <v>53</v>
      </c>
      <c r="F363" t="s">
        <v>597</v>
      </c>
      <c r="G363" t="s">
        <v>598</v>
      </c>
      <c r="H363" t="s">
        <v>599</v>
      </c>
      <c r="I363" t="s">
        <v>646</v>
      </c>
      <c r="J363" t="s">
        <v>646</v>
      </c>
      <c r="K363" t="s">
        <v>647</v>
      </c>
      <c r="L363" t="s">
        <v>707</v>
      </c>
      <c r="M363" t="s">
        <v>708</v>
      </c>
      <c r="N363" t="s">
        <v>1076</v>
      </c>
      <c r="P363" t="s">
        <v>603</v>
      </c>
      <c r="Q363" t="s">
        <v>648</v>
      </c>
      <c r="R363" t="s">
        <v>933</v>
      </c>
      <c r="S363">
        <v>20160328</v>
      </c>
      <c r="T363" t="s">
        <v>1095</v>
      </c>
      <c r="X363">
        <v>36</v>
      </c>
      <c r="Y363">
        <v>50000</v>
      </c>
      <c r="AA363" t="s">
        <v>605</v>
      </c>
      <c r="AB363">
        <v>20190228</v>
      </c>
      <c r="AE363">
        <f t="shared" si="5"/>
        <v>0</v>
      </c>
      <c r="AF363">
        <v>0</v>
      </c>
      <c r="AG363">
        <v>0</v>
      </c>
      <c r="AH363">
        <v>0</v>
      </c>
      <c r="AI363" s="121">
        <v>250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250</v>
      </c>
    </row>
    <row r="364" spans="1:41">
      <c r="A364">
        <v>201903</v>
      </c>
      <c r="B364">
        <v>25</v>
      </c>
      <c r="C364" t="s">
        <v>526</v>
      </c>
      <c r="D364">
        <v>3190035351451</v>
      </c>
      <c r="E364" t="s">
        <v>53</v>
      </c>
      <c r="F364" t="s">
        <v>597</v>
      </c>
      <c r="G364" t="s">
        <v>598</v>
      </c>
      <c r="H364" t="s">
        <v>599</v>
      </c>
      <c r="I364" t="s">
        <v>646</v>
      </c>
      <c r="J364" t="s">
        <v>646</v>
      </c>
      <c r="K364" t="s">
        <v>647</v>
      </c>
      <c r="L364" t="s">
        <v>707</v>
      </c>
      <c r="M364" t="s">
        <v>708</v>
      </c>
      <c r="N364" t="s">
        <v>1076</v>
      </c>
      <c r="P364" t="s">
        <v>603</v>
      </c>
      <c r="Q364" t="s">
        <v>648</v>
      </c>
      <c r="R364" t="s">
        <v>933</v>
      </c>
      <c r="S364">
        <v>20160323</v>
      </c>
      <c r="T364" t="s">
        <v>1095</v>
      </c>
      <c r="X364">
        <v>36</v>
      </c>
      <c r="Y364">
        <v>50000</v>
      </c>
      <c r="AA364" t="s">
        <v>605</v>
      </c>
      <c r="AB364">
        <v>20190207</v>
      </c>
      <c r="AE364">
        <f t="shared" si="5"/>
        <v>0</v>
      </c>
      <c r="AF364">
        <v>0</v>
      </c>
      <c r="AG364">
        <v>0</v>
      </c>
      <c r="AH364">
        <v>0</v>
      </c>
      <c r="AI364" s="121">
        <v>250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250</v>
      </c>
    </row>
    <row r="365" spans="1:41">
      <c r="A365">
        <v>201903</v>
      </c>
      <c r="B365">
        <v>25</v>
      </c>
      <c r="C365" t="s">
        <v>526</v>
      </c>
      <c r="D365">
        <v>3190035457351</v>
      </c>
      <c r="E365" t="s">
        <v>53</v>
      </c>
      <c r="F365" t="s">
        <v>597</v>
      </c>
      <c r="G365" t="s">
        <v>598</v>
      </c>
      <c r="H365" t="s">
        <v>599</v>
      </c>
      <c r="I365" t="s">
        <v>702</v>
      </c>
      <c r="L365" t="s">
        <v>515</v>
      </c>
      <c r="M365" t="s">
        <v>514</v>
      </c>
      <c r="N365" t="s">
        <v>935</v>
      </c>
      <c r="P365" t="s">
        <v>603</v>
      </c>
      <c r="Q365" t="s">
        <v>648</v>
      </c>
      <c r="R365" t="s">
        <v>933</v>
      </c>
      <c r="S365">
        <v>20160323</v>
      </c>
      <c r="T365" t="s">
        <v>871</v>
      </c>
      <c r="X365">
        <v>35</v>
      </c>
      <c r="Y365">
        <v>150000</v>
      </c>
      <c r="AA365" t="s">
        <v>605</v>
      </c>
      <c r="AB365">
        <v>20190207</v>
      </c>
      <c r="AE365">
        <f t="shared" si="5"/>
        <v>0</v>
      </c>
      <c r="AF365">
        <v>0</v>
      </c>
      <c r="AG365">
        <v>0</v>
      </c>
      <c r="AH365">
        <v>0</v>
      </c>
      <c r="AI365" s="121">
        <v>750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750</v>
      </c>
    </row>
    <row r="366" spans="1:41">
      <c r="A366">
        <v>201903</v>
      </c>
      <c r="B366">
        <v>25</v>
      </c>
      <c r="C366" t="s">
        <v>526</v>
      </c>
      <c r="D366">
        <v>3190036125111</v>
      </c>
      <c r="E366" t="s">
        <v>53</v>
      </c>
      <c r="F366" t="s">
        <v>597</v>
      </c>
      <c r="G366" t="s">
        <v>598</v>
      </c>
      <c r="H366" t="s">
        <v>599</v>
      </c>
      <c r="I366" t="s">
        <v>606</v>
      </c>
      <c r="J366" t="s">
        <v>606</v>
      </c>
      <c r="K366" t="s">
        <v>607</v>
      </c>
      <c r="L366" t="s">
        <v>785</v>
      </c>
      <c r="M366" t="s">
        <v>786</v>
      </c>
      <c r="N366" t="s">
        <v>1123</v>
      </c>
      <c r="P366" t="s">
        <v>603</v>
      </c>
      <c r="Q366" t="s">
        <v>648</v>
      </c>
      <c r="R366" t="s">
        <v>933</v>
      </c>
      <c r="S366">
        <v>20160330</v>
      </c>
      <c r="T366" t="s">
        <v>918</v>
      </c>
      <c r="X366">
        <v>36</v>
      </c>
      <c r="Y366">
        <v>55000</v>
      </c>
      <c r="AA366" t="s">
        <v>605</v>
      </c>
      <c r="AB366">
        <v>20190225</v>
      </c>
      <c r="AE366">
        <f t="shared" si="5"/>
        <v>0</v>
      </c>
      <c r="AF366">
        <v>0</v>
      </c>
      <c r="AG366">
        <v>0</v>
      </c>
      <c r="AH366">
        <v>0</v>
      </c>
      <c r="AI366" s="121">
        <v>275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275</v>
      </c>
    </row>
    <row r="367" spans="1:41">
      <c r="A367">
        <v>201903</v>
      </c>
      <c r="B367">
        <v>25</v>
      </c>
      <c r="C367" t="s">
        <v>526</v>
      </c>
      <c r="D367">
        <v>3190396047711</v>
      </c>
      <c r="E367" t="s">
        <v>53</v>
      </c>
      <c r="F367" t="s">
        <v>597</v>
      </c>
      <c r="G367" t="s">
        <v>598</v>
      </c>
      <c r="H367" t="s">
        <v>599</v>
      </c>
      <c r="I367" t="s">
        <v>702</v>
      </c>
      <c r="J367" t="s">
        <v>702</v>
      </c>
      <c r="K367" t="s">
        <v>703</v>
      </c>
      <c r="L367" t="s">
        <v>513</v>
      </c>
      <c r="M367" t="s">
        <v>512</v>
      </c>
      <c r="N367" t="s">
        <v>930</v>
      </c>
      <c r="P367" t="s">
        <v>603</v>
      </c>
      <c r="Q367" t="s">
        <v>648</v>
      </c>
      <c r="R367" t="s">
        <v>1042</v>
      </c>
      <c r="S367">
        <v>20171218</v>
      </c>
      <c r="T367" t="s">
        <v>1126</v>
      </c>
      <c r="X367">
        <v>15</v>
      </c>
      <c r="Y367">
        <v>52100</v>
      </c>
      <c r="AA367" t="s">
        <v>605</v>
      </c>
      <c r="AB367">
        <v>20190220</v>
      </c>
      <c r="AE367">
        <f t="shared" si="5"/>
        <v>0</v>
      </c>
      <c r="AF367">
        <v>0</v>
      </c>
      <c r="AG367">
        <v>0</v>
      </c>
      <c r="AH367">
        <v>0</v>
      </c>
      <c r="AI367" s="121">
        <v>260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260</v>
      </c>
    </row>
    <row r="368" spans="1:41">
      <c r="A368">
        <v>201903</v>
      </c>
      <c r="B368">
        <v>25</v>
      </c>
      <c r="C368" t="s">
        <v>526</v>
      </c>
      <c r="D368">
        <v>3190396147321</v>
      </c>
      <c r="E368" t="s">
        <v>53</v>
      </c>
      <c r="F368" t="s">
        <v>597</v>
      </c>
      <c r="G368" t="s">
        <v>598</v>
      </c>
      <c r="H368" t="s">
        <v>599</v>
      </c>
      <c r="I368" t="s">
        <v>1167</v>
      </c>
      <c r="J368" t="s">
        <v>734</v>
      </c>
      <c r="K368" t="s">
        <v>735</v>
      </c>
      <c r="L368" t="s">
        <v>736</v>
      </c>
      <c r="M368" t="s">
        <v>737</v>
      </c>
      <c r="N368" t="s">
        <v>1052</v>
      </c>
      <c r="P368" t="s">
        <v>603</v>
      </c>
      <c r="Q368" t="s">
        <v>648</v>
      </c>
      <c r="R368" t="s">
        <v>1041</v>
      </c>
      <c r="S368">
        <v>20171220</v>
      </c>
      <c r="T368" t="s">
        <v>915</v>
      </c>
      <c r="V368">
        <v>0</v>
      </c>
      <c r="W368">
        <v>0</v>
      </c>
      <c r="X368">
        <v>15</v>
      </c>
      <c r="Y368">
        <v>127200</v>
      </c>
      <c r="AA368" t="s">
        <v>605</v>
      </c>
      <c r="AB368">
        <v>20190220</v>
      </c>
      <c r="AE368">
        <f t="shared" si="5"/>
        <v>0</v>
      </c>
      <c r="AF368">
        <v>0</v>
      </c>
      <c r="AG368">
        <v>0</v>
      </c>
      <c r="AH368">
        <v>0</v>
      </c>
      <c r="AI368" s="121">
        <v>954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954</v>
      </c>
    </row>
    <row r="369" spans="1:41">
      <c r="A369">
        <v>201903</v>
      </c>
      <c r="B369">
        <v>25</v>
      </c>
      <c r="C369" t="s">
        <v>526</v>
      </c>
      <c r="D369">
        <v>3190396149451</v>
      </c>
      <c r="E369" t="s">
        <v>53</v>
      </c>
      <c r="F369" t="s">
        <v>597</v>
      </c>
      <c r="G369" t="s">
        <v>598</v>
      </c>
      <c r="H369" t="s">
        <v>599</v>
      </c>
      <c r="I369" t="s">
        <v>1167</v>
      </c>
      <c r="J369" t="s">
        <v>734</v>
      </c>
      <c r="K369" t="s">
        <v>735</v>
      </c>
      <c r="L369" t="s">
        <v>736</v>
      </c>
      <c r="M369" t="s">
        <v>737</v>
      </c>
      <c r="N369" t="s">
        <v>1052</v>
      </c>
      <c r="P369" t="s">
        <v>603</v>
      </c>
      <c r="Q369" t="s">
        <v>648</v>
      </c>
      <c r="R369" t="s">
        <v>1041</v>
      </c>
      <c r="S369">
        <v>20171220</v>
      </c>
      <c r="T369" t="s">
        <v>787</v>
      </c>
      <c r="V369">
        <v>0</v>
      </c>
      <c r="W369">
        <v>0</v>
      </c>
      <c r="X369">
        <v>15</v>
      </c>
      <c r="Y369">
        <v>92100</v>
      </c>
      <c r="AA369" t="s">
        <v>605</v>
      </c>
      <c r="AB369">
        <v>20190215</v>
      </c>
      <c r="AE369">
        <f t="shared" si="5"/>
        <v>0</v>
      </c>
      <c r="AF369">
        <v>0</v>
      </c>
      <c r="AG369">
        <v>0</v>
      </c>
      <c r="AH369">
        <v>0</v>
      </c>
      <c r="AI369" s="121">
        <v>690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690</v>
      </c>
    </row>
    <row r="370" spans="1:41">
      <c r="A370">
        <v>201903</v>
      </c>
      <c r="B370">
        <v>25</v>
      </c>
      <c r="C370" t="s">
        <v>526</v>
      </c>
      <c r="D370">
        <v>3190397101921</v>
      </c>
      <c r="E370" t="s">
        <v>53</v>
      </c>
      <c r="F370" t="s">
        <v>597</v>
      </c>
      <c r="G370" t="s">
        <v>598</v>
      </c>
      <c r="H370" t="s">
        <v>599</v>
      </c>
      <c r="I370" t="s">
        <v>674</v>
      </c>
      <c r="L370" t="s">
        <v>705</v>
      </c>
      <c r="M370" t="s">
        <v>706</v>
      </c>
      <c r="N370" t="s">
        <v>966</v>
      </c>
      <c r="P370" t="s">
        <v>603</v>
      </c>
      <c r="Q370" t="s">
        <v>648</v>
      </c>
      <c r="R370" t="s">
        <v>1238</v>
      </c>
      <c r="S370">
        <v>20171221</v>
      </c>
      <c r="T370" t="s">
        <v>918</v>
      </c>
      <c r="X370">
        <v>15</v>
      </c>
      <c r="Y370">
        <v>75282</v>
      </c>
      <c r="AA370" t="s">
        <v>605</v>
      </c>
      <c r="AB370">
        <v>20190228</v>
      </c>
      <c r="AE370">
        <f t="shared" si="5"/>
        <v>0</v>
      </c>
      <c r="AF370">
        <v>0</v>
      </c>
      <c r="AG370">
        <v>0</v>
      </c>
      <c r="AH370">
        <v>0</v>
      </c>
      <c r="AI370" s="121">
        <v>376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376</v>
      </c>
    </row>
    <row r="371" spans="1:41">
      <c r="A371">
        <v>201903</v>
      </c>
      <c r="B371">
        <v>25</v>
      </c>
      <c r="C371" t="s">
        <v>526</v>
      </c>
      <c r="D371">
        <v>3190397205661</v>
      </c>
      <c r="E371" t="s">
        <v>53</v>
      </c>
      <c r="F371" t="s">
        <v>597</v>
      </c>
      <c r="G371" t="s">
        <v>598</v>
      </c>
      <c r="H371" t="s">
        <v>599</v>
      </c>
      <c r="I371" t="s">
        <v>756</v>
      </c>
      <c r="J371" t="s">
        <v>756</v>
      </c>
      <c r="K371" t="s">
        <v>1166</v>
      </c>
      <c r="L371" t="s">
        <v>758</v>
      </c>
      <c r="M371" t="s">
        <v>712</v>
      </c>
      <c r="N371" t="s">
        <v>1254</v>
      </c>
      <c r="P371" t="s">
        <v>603</v>
      </c>
      <c r="Q371" t="s">
        <v>648</v>
      </c>
      <c r="R371" t="s">
        <v>1042</v>
      </c>
      <c r="S371">
        <v>20171228</v>
      </c>
      <c r="T371" t="s">
        <v>862</v>
      </c>
      <c r="X371">
        <v>15</v>
      </c>
      <c r="Y371">
        <v>60000</v>
      </c>
      <c r="AA371" t="s">
        <v>605</v>
      </c>
      <c r="AB371">
        <v>20190215</v>
      </c>
      <c r="AE371">
        <f t="shared" si="5"/>
        <v>0</v>
      </c>
      <c r="AF371">
        <v>0</v>
      </c>
      <c r="AG371">
        <v>0</v>
      </c>
      <c r="AH371">
        <v>0</v>
      </c>
      <c r="AI371" s="121">
        <v>300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300</v>
      </c>
    </row>
    <row r="372" spans="1:41">
      <c r="A372">
        <v>201903</v>
      </c>
      <c r="B372">
        <v>25</v>
      </c>
      <c r="C372" t="s">
        <v>526</v>
      </c>
      <c r="D372">
        <v>3190397250301</v>
      </c>
      <c r="E372" t="s">
        <v>53</v>
      </c>
      <c r="F372" t="s">
        <v>597</v>
      </c>
      <c r="G372" t="s">
        <v>598</v>
      </c>
      <c r="H372" t="s">
        <v>599</v>
      </c>
      <c r="I372" t="s">
        <v>756</v>
      </c>
      <c r="J372" t="s">
        <v>756</v>
      </c>
      <c r="K372" t="s">
        <v>1166</v>
      </c>
      <c r="L372" t="s">
        <v>758</v>
      </c>
      <c r="M372" t="s">
        <v>712</v>
      </c>
      <c r="N372" t="s">
        <v>1254</v>
      </c>
      <c r="P372" t="s">
        <v>603</v>
      </c>
      <c r="Q372" t="s">
        <v>648</v>
      </c>
      <c r="R372" t="s">
        <v>1042</v>
      </c>
      <c r="S372">
        <v>20171229</v>
      </c>
      <c r="T372" t="s">
        <v>860</v>
      </c>
      <c r="X372">
        <v>15</v>
      </c>
      <c r="Y372">
        <v>34000</v>
      </c>
      <c r="AA372" t="s">
        <v>605</v>
      </c>
      <c r="AB372">
        <v>20190225</v>
      </c>
      <c r="AE372">
        <f t="shared" si="5"/>
        <v>0</v>
      </c>
      <c r="AF372">
        <v>0</v>
      </c>
      <c r="AG372">
        <v>0</v>
      </c>
      <c r="AH372">
        <v>0</v>
      </c>
      <c r="AI372" s="121">
        <v>170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170</v>
      </c>
    </row>
    <row r="373" spans="1:41">
      <c r="A373">
        <v>201903</v>
      </c>
      <c r="B373">
        <v>25</v>
      </c>
      <c r="C373" t="s">
        <v>526</v>
      </c>
      <c r="D373">
        <v>3190397252111</v>
      </c>
      <c r="E373" t="s">
        <v>53</v>
      </c>
      <c r="F373" t="s">
        <v>597</v>
      </c>
      <c r="G373" t="s">
        <v>598</v>
      </c>
      <c r="H373" t="s">
        <v>599</v>
      </c>
      <c r="I373" t="s">
        <v>756</v>
      </c>
      <c r="J373" t="s">
        <v>756</v>
      </c>
      <c r="K373" t="s">
        <v>1166</v>
      </c>
      <c r="L373" t="s">
        <v>758</v>
      </c>
      <c r="M373" t="s">
        <v>712</v>
      </c>
      <c r="N373" t="s">
        <v>1254</v>
      </c>
      <c r="P373" t="s">
        <v>603</v>
      </c>
      <c r="Q373" t="s">
        <v>648</v>
      </c>
      <c r="R373" t="s">
        <v>1042</v>
      </c>
      <c r="S373">
        <v>20171229</v>
      </c>
      <c r="T373" t="s">
        <v>860</v>
      </c>
      <c r="X373">
        <v>15</v>
      </c>
      <c r="Y373">
        <v>52000</v>
      </c>
      <c r="AA373" t="s">
        <v>605</v>
      </c>
      <c r="AB373">
        <v>20190225</v>
      </c>
      <c r="AE373">
        <f t="shared" si="5"/>
        <v>0</v>
      </c>
      <c r="AF373">
        <v>0</v>
      </c>
      <c r="AG373">
        <v>0</v>
      </c>
      <c r="AH373">
        <v>0</v>
      </c>
      <c r="AI373" s="121">
        <v>260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260</v>
      </c>
    </row>
    <row r="374" spans="1:41">
      <c r="A374">
        <v>201903</v>
      </c>
      <c r="B374">
        <v>25</v>
      </c>
      <c r="C374" t="s">
        <v>526</v>
      </c>
      <c r="D374">
        <v>3190397724511</v>
      </c>
      <c r="E374" t="s">
        <v>53</v>
      </c>
      <c r="F374" t="s">
        <v>597</v>
      </c>
      <c r="G374" t="s">
        <v>598</v>
      </c>
      <c r="H374" t="s">
        <v>599</v>
      </c>
      <c r="I374" t="s">
        <v>649</v>
      </c>
      <c r="J374" t="s">
        <v>649</v>
      </c>
      <c r="K374" t="s">
        <v>650</v>
      </c>
      <c r="L374" t="s">
        <v>692</v>
      </c>
      <c r="M374" t="s">
        <v>693</v>
      </c>
      <c r="N374" t="s">
        <v>967</v>
      </c>
      <c r="P374" t="s">
        <v>603</v>
      </c>
      <c r="Q374" t="s">
        <v>648</v>
      </c>
      <c r="R374" t="s">
        <v>1041</v>
      </c>
      <c r="S374">
        <v>20171227</v>
      </c>
      <c r="T374" t="s">
        <v>1053</v>
      </c>
      <c r="X374">
        <v>15</v>
      </c>
      <c r="Y374">
        <v>30100</v>
      </c>
      <c r="AA374" t="s">
        <v>605</v>
      </c>
      <c r="AB374">
        <v>20190211</v>
      </c>
      <c r="AE374">
        <f t="shared" si="5"/>
        <v>0</v>
      </c>
      <c r="AF374">
        <v>0</v>
      </c>
      <c r="AG374">
        <v>0</v>
      </c>
      <c r="AH374">
        <v>0</v>
      </c>
      <c r="AI374" s="121">
        <v>225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225</v>
      </c>
    </row>
    <row r="375" spans="1:41">
      <c r="A375">
        <v>201903</v>
      </c>
      <c r="B375">
        <v>25</v>
      </c>
      <c r="C375" t="s">
        <v>526</v>
      </c>
      <c r="D375">
        <v>3190398228991</v>
      </c>
      <c r="E375" t="s">
        <v>53</v>
      </c>
      <c r="F375" t="s">
        <v>597</v>
      </c>
      <c r="G375" t="s">
        <v>598</v>
      </c>
      <c r="H375" t="s">
        <v>599</v>
      </c>
      <c r="I375" t="s">
        <v>606</v>
      </c>
      <c r="J375" t="s">
        <v>606</v>
      </c>
      <c r="K375" t="s">
        <v>607</v>
      </c>
      <c r="L375" t="s">
        <v>614</v>
      </c>
      <c r="M375" t="s">
        <v>615</v>
      </c>
      <c r="N375" t="s">
        <v>1226</v>
      </c>
      <c r="P375" t="s">
        <v>603</v>
      </c>
      <c r="Q375" t="s">
        <v>648</v>
      </c>
      <c r="R375" t="s">
        <v>1041</v>
      </c>
      <c r="S375">
        <v>20171229</v>
      </c>
      <c r="T375" t="s">
        <v>1180</v>
      </c>
      <c r="X375">
        <v>15</v>
      </c>
      <c r="Y375">
        <v>100000</v>
      </c>
      <c r="AA375" t="s">
        <v>605</v>
      </c>
      <c r="AB375">
        <v>20190225</v>
      </c>
      <c r="AE375">
        <f t="shared" si="5"/>
        <v>0</v>
      </c>
      <c r="AF375">
        <v>0</v>
      </c>
      <c r="AG375">
        <v>0</v>
      </c>
      <c r="AH375">
        <v>0</v>
      </c>
      <c r="AI375" s="121">
        <v>750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750</v>
      </c>
    </row>
    <row r="376" spans="1:41">
      <c r="A376">
        <v>201903</v>
      </c>
      <c r="B376">
        <v>25</v>
      </c>
      <c r="C376" t="s">
        <v>526</v>
      </c>
      <c r="D376">
        <v>3190398424141</v>
      </c>
      <c r="E376" t="s">
        <v>53</v>
      </c>
      <c r="F376" t="s">
        <v>597</v>
      </c>
      <c r="G376" t="s">
        <v>598</v>
      </c>
      <c r="H376" t="s">
        <v>599</v>
      </c>
      <c r="I376" t="s">
        <v>661</v>
      </c>
      <c r="L376" t="s">
        <v>669</v>
      </c>
      <c r="M376" t="s">
        <v>670</v>
      </c>
      <c r="N376" t="s">
        <v>949</v>
      </c>
      <c r="P376" t="s">
        <v>603</v>
      </c>
      <c r="Q376" t="s">
        <v>648</v>
      </c>
      <c r="R376" t="s">
        <v>1051</v>
      </c>
      <c r="S376">
        <v>20171228</v>
      </c>
      <c r="T376" t="s">
        <v>1033</v>
      </c>
      <c r="X376">
        <v>15</v>
      </c>
      <c r="Y376">
        <v>21000</v>
      </c>
      <c r="AA376" t="s">
        <v>605</v>
      </c>
      <c r="AB376">
        <v>20190220</v>
      </c>
      <c r="AE376">
        <f t="shared" si="5"/>
        <v>0</v>
      </c>
      <c r="AF376">
        <v>0</v>
      </c>
      <c r="AG376">
        <v>0</v>
      </c>
      <c r="AH376">
        <v>0</v>
      </c>
      <c r="AI376" s="121">
        <v>105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105</v>
      </c>
    </row>
    <row r="377" spans="1:41">
      <c r="A377">
        <v>201903</v>
      </c>
      <c r="B377">
        <v>25</v>
      </c>
      <c r="C377" t="s">
        <v>526</v>
      </c>
      <c r="D377">
        <v>3190398483611</v>
      </c>
      <c r="E377" t="s">
        <v>53</v>
      </c>
      <c r="F377" t="s">
        <v>597</v>
      </c>
      <c r="G377" t="s">
        <v>598</v>
      </c>
      <c r="H377" t="s">
        <v>599</v>
      </c>
      <c r="I377" t="s">
        <v>756</v>
      </c>
      <c r="J377" t="s">
        <v>756</v>
      </c>
      <c r="K377" t="s">
        <v>1166</v>
      </c>
      <c r="L377" t="s">
        <v>758</v>
      </c>
      <c r="M377" t="s">
        <v>712</v>
      </c>
      <c r="N377" t="s">
        <v>1254</v>
      </c>
      <c r="P377" t="s">
        <v>603</v>
      </c>
      <c r="Q377" t="s">
        <v>648</v>
      </c>
      <c r="R377" t="s">
        <v>1042</v>
      </c>
      <c r="S377">
        <v>20171229</v>
      </c>
      <c r="T377" t="s">
        <v>881</v>
      </c>
      <c r="X377">
        <v>15</v>
      </c>
      <c r="Y377">
        <v>38000</v>
      </c>
      <c r="AA377" t="s">
        <v>605</v>
      </c>
      <c r="AB377">
        <v>20190208</v>
      </c>
      <c r="AE377">
        <f t="shared" si="5"/>
        <v>0</v>
      </c>
      <c r="AF377">
        <v>0</v>
      </c>
      <c r="AG377">
        <v>0</v>
      </c>
      <c r="AH377">
        <v>0</v>
      </c>
      <c r="AI377" s="121">
        <v>190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190</v>
      </c>
    </row>
    <row r="378" spans="1:41">
      <c r="A378">
        <v>201903</v>
      </c>
      <c r="B378">
        <v>25</v>
      </c>
      <c r="C378" t="s">
        <v>526</v>
      </c>
      <c r="D378">
        <v>3190398557551</v>
      </c>
      <c r="E378" t="s">
        <v>53</v>
      </c>
      <c r="F378" t="s">
        <v>597</v>
      </c>
      <c r="G378" t="s">
        <v>598</v>
      </c>
      <c r="H378" t="s">
        <v>599</v>
      </c>
      <c r="I378" t="s">
        <v>649</v>
      </c>
      <c r="J378" t="s">
        <v>649</v>
      </c>
      <c r="K378" t="s">
        <v>650</v>
      </c>
      <c r="L378" t="s">
        <v>692</v>
      </c>
      <c r="M378" t="s">
        <v>693</v>
      </c>
      <c r="N378" t="s">
        <v>967</v>
      </c>
      <c r="P378" t="s">
        <v>603</v>
      </c>
      <c r="Q378" t="s">
        <v>648</v>
      </c>
      <c r="R378" t="s">
        <v>1041</v>
      </c>
      <c r="S378">
        <v>20171229</v>
      </c>
      <c r="T378" t="s">
        <v>834</v>
      </c>
      <c r="X378">
        <v>15</v>
      </c>
      <c r="Y378">
        <v>40000</v>
      </c>
      <c r="AA378" t="s">
        <v>605</v>
      </c>
      <c r="AB378">
        <v>20190225</v>
      </c>
      <c r="AE378">
        <f t="shared" si="5"/>
        <v>0</v>
      </c>
      <c r="AF378">
        <v>0</v>
      </c>
      <c r="AG378">
        <v>0</v>
      </c>
      <c r="AH378">
        <v>0</v>
      </c>
      <c r="AI378" s="121">
        <v>300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300</v>
      </c>
    </row>
    <row r="379" spans="1:41">
      <c r="A379">
        <v>201903</v>
      </c>
      <c r="B379">
        <v>25</v>
      </c>
      <c r="C379" t="s">
        <v>526</v>
      </c>
      <c r="D379">
        <v>3190399087911</v>
      </c>
      <c r="E379" t="s">
        <v>53</v>
      </c>
      <c r="F379" t="s">
        <v>597</v>
      </c>
      <c r="G379" t="s">
        <v>598</v>
      </c>
      <c r="H379" t="s">
        <v>599</v>
      </c>
      <c r="I379" t="s">
        <v>702</v>
      </c>
      <c r="J379" t="s">
        <v>702</v>
      </c>
      <c r="K379" t="s">
        <v>703</v>
      </c>
      <c r="L379" t="s">
        <v>506</v>
      </c>
      <c r="M379" t="s">
        <v>505</v>
      </c>
      <c r="N379" t="s">
        <v>995</v>
      </c>
      <c r="P379" t="s">
        <v>603</v>
      </c>
      <c r="Q379" t="s">
        <v>648</v>
      </c>
      <c r="R379" t="s">
        <v>1041</v>
      </c>
      <c r="S379">
        <v>20180104</v>
      </c>
      <c r="T379" t="s">
        <v>1265</v>
      </c>
      <c r="X379">
        <v>12</v>
      </c>
      <c r="Y379">
        <v>31000</v>
      </c>
      <c r="AA379" t="s">
        <v>605</v>
      </c>
      <c r="AB379">
        <v>20190228</v>
      </c>
      <c r="AE379">
        <f t="shared" si="5"/>
        <v>26148</v>
      </c>
      <c r="AF379">
        <v>0</v>
      </c>
      <c r="AG379">
        <v>26148</v>
      </c>
      <c r="AH379">
        <v>0</v>
      </c>
      <c r="AI379" s="121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26148</v>
      </c>
    </row>
    <row r="380" spans="1:41">
      <c r="A380">
        <v>201903</v>
      </c>
      <c r="B380">
        <v>25</v>
      </c>
      <c r="C380" t="s">
        <v>526</v>
      </c>
      <c r="D380">
        <v>3190399656061</v>
      </c>
      <c r="E380" t="s">
        <v>53</v>
      </c>
      <c r="F380" t="s">
        <v>597</v>
      </c>
      <c r="G380" t="s">
        <v>598</v>
      </c>
      <c r="H380" t="s">
        <v>599</v>
      </c>
      <c r="I380" t="s">
        <v>606</v>
      </c>
      <c r="J380" t="s">
        <v>606</v>
      </c>
      <c r="K380" t="s">
        <v>607</v>
      </c>
      <c r="L380" t="s">
        <v>639</v>
      </c>
      <c r="M380" t="s">
        <v>640</v>
      </c>
      <c r="N380" t="s">
        <v>1007</v>
      </c>
      <c r="P380" t="s">
        <v>603</v>
      </c>
      <c r="Q380" t="s">
        <v>648</v>
      </c>
      <c r="R380" t="s">
        <v>1042</v>
      </c>
      <c r="S380">
        <v>20180105</v>
      </c>
      <c r="T380" t="s">
        <v>1081</v>
      </c>
      <c r="X380">
        <v>14</v>
      </c>
      <c r="Y380">
        <v>68000</v>
      </c>
      <c r="AA380" t="s">
        <v>605</v>
      </c>
      <c r="AB380">
        <v>20190228</v>
      </c>
      <c r="AE380">
        <f t="shared" si="5"/>
        <v>0</v>
      </c>
      <c r="AF380">
        <v>0</v>
      </c>
      <c r="AG380">
        <v>0</v>
      </c>
      <c r="AH380">
        <v>0</v>
      </c>
      <c r="AI380" s="121">
        <v>340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340</v>
      </c>
    </row>
    <row r="381" spans="1:41">
      <c r="A381">
        <v>201903</v>
      </c>
      <c r="B381">
        <v>25</v>
      </c>
      <c r="C381" t="s">
        <v>526</v>
      </c>
      <c r="D381">
        <v>3190400163431</v>
      </c>
      <c r="E381" t="s">
        <v>53</v>
      </c>
      <c r="F381" t="s">
        <v>597</v>
      </c>
      <c r="G381" t="s">
        <v>598</v>
      </c>
      <c r="H381" t="s">
        <v>599</v>
      </c>
      <c r="I381" t="s">
        <v>606</v>
      </c>
      <c r="J381" t="s">
        <v>606</v>
      </c>
      <c r="K381" t="s">
        <v>607</v>
      </c>
      <c r="L381" t="s">
        <v>611</v>
      </c>
      <c r="M381" t="s">
        <v>612</v>
      </c>
      <c r="N381" t="s">
        <v>1070</v>
      </c>
      <c r="P381" t="s">
        <v>603</v>
      </c>
      <c r="Q381" t="s">
        <v>648</v>
      </c>
      <c r="R381" t="s">
        <v>1042</v>
      </c>
      <c r="S381">
        <v>20180111</v>
      </c>
      <c r="T381" t="s">
        <v>874</v>
      </c>
      <c r="X381">
        <v>14</v>
      </c>
      <c r="Y381">
        <v>42000</v>
      </c>
      <c r="AA381" t="s">
        <v>605</v>
      </c>
      <c r="AB381">
        <v>20190207</v>
      </c>
      <c r="AE381">
        <f t="shared" si="5"/>
        <v>0</v>
      </c>
      <c r="AF381">
        <v>0</v>
      </c>
      <c r="AG381">
        <v>0</v>
      </c>
      <c r="AH381">
        <v>0</v>
      </c>
      <c r="AI381" s="121">
        <v>210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210</v>
      </c>
    </row>
    <row r="382" spans="1:41">
      <c r="A382">
        <v>201903</v>
      </c>
      <c r="B382">
        <v>25</v>
      </c>
      <c r="C382" t="s">
        <v>526</v>
      </c>
      <c r="D382">
        <v>3190400540921</v>
      </c>
      <c r="E382" t="s">
        <v>53</v>
      </c>
      <c r="F382" t="s">
        <v>597</v>
      </c>
      <c r="G382" t="s">
        <v>598</v>
      </c>
      <c r="H382" t="s">
        <v>599</v>
      </c>
      <c r="I382" t="s">
        <v>1167</v>
      </c>
      <c r="J382" t="s">
        <v>734</v>
      </c>
      <c r="K382" t="s">
        <v>735</v>
      </c>
      <c r="L382" t="s">
        <v>736</v>
      </c>
      <c r="M382" t="s">
        <v>737</v>
      </c>
      <c r="N382" t="s">
        <v>1052</v>
      </c>
      <c r="P382" t="s">
        <v>603</v>
      </c>
      <c r="Q382" t="s">
        <v>739</v>
      </c>
      <c r="R382" t="s">
        <v>1086</v>
      </c>
      <c r="S382">
        <v>20180115</v>
      </c>
      <c r="T382" t="s">
        <v>1087</v>
      </c>
      <c r="X382">
        <v>14</v>
      </c>
      <c r="Y382">
        <v>115000</v>
      </c>
      <c r="AA382" t="s">
        <v>605</v>
      </c>
      <c r="AB382">
        <v>20190215</v>
      </c>
      <c r="AE382">
        <f t="shared" si="5"/>
        <v>0</v>
      </c>
      <c r="AF382">
        <v>0</v>
      </c>
      <c r="AG382">
        <v>0</v>
      </c>
      <c r="AH382">
        <v>0</v>
      </c>
      <c r="AI382" s="121">
        <v>172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172</v>
      </c>
    </row>
    <row r="383" spans="1:41">
      <c r="A383">
        <v>201903</v>
      </c>
      <c r="B383">
        <v>25</v>
      </c>
      <c r="C383" t="s">
        <v>526</v>
      </c>
      <c r="D383">
        <v>3190400937461</v>
      </c>
      <c r="E383" t="s">
        <v>53</v>
      </c>
      <c r="F383" t="s">
        <v>597</v>
      </c>
      <c r="G383" t="s">
        <v>598</v>
      </c>
      <c r="H383" t="s">
        <v>599</v>
      </c>
      <c r="I383" t="s">
        <v>606</v>
      </c>
      <c r="J383" t="s">
        <v>606</v>
      </c>
      <c r="K383" t="s">
        <v>607</v>
      </c>
      <c r="L383" t="s">
        <v>641</v>
      </c>
      <c r="M383" t="s">
        <v>642</v>
      </c>
      <c r="N383" t="s">
        <v>955</v>
      </c>
      <c r="P383" t="s">
        <v>603</v>
      </c>
      <c r="Q383" t="s">
        <v>648</v>
      </c>
      <c r="R383" t="s">
        <v>1041</v>
      </c>
      <c r="S383">
        <v>20180112</v>
      </c>
      <c r="T383" t="s">
        <v>1179</v>
      </c>
      <c r="X383">
        <v>12</v>
      </c>
      <c r="Y383">
        <v>50248</v>
      </c>
      <c r="AA383" t="s">
        <v>605</v>
      </c>
      <c r="AB383">
        <v>20190228</v>
      </c>
      <c r="AE383">
        <f t="shared" si="5"/>
        <v>30255</v>
      </c>
      <c r="AF383">
        <v>0</v>
      </c>
      <c r="AG383">
        <v>30255</v>
      </c>
      <c r="AH383">
        <v>0</v>
      </c>
      <c r="AI383" s="121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30255</v>
      </c>
    </row>
    <row r="384" spans="1:41">
      <c r="A384">
        <v>201903</v>
      </c>
      <c r="B384">
        <v>25</v>
      </c>
      <c r="C384" t="s">
        <v>526</v>
      </c>
      <c r="D384">
        <v>3190401172411</v>
      </c>
      <c r="E384" t="s">
        <v>53</v>
      </c>
      <c r="F384" t="s">
        <v>597</v>
      </c>
      <c r="G384" t="s">
        <v>598</v>
      </c>
      <c r="H384" t="s">
        <v>599</v>
      </c>
      <c r="I384" t="s">
        <v>661</v>
      </c>
      <c r="L384" t="s">
        <v>669</v>
      </c>
      <c r="M384" t="s">
        <v>670</v>
      </c>
      <c r="N384" t="s">
        <v>949</v>
      </c>
      <c r="P384" t="s">
        <v>603</v>
      </c>
      <c r="Q384" t="s">
        <v>648</v>
      </c>
      <c r="R384" t="s">
        <v>1041</v>
      </c>
      <c r="S384">
        <v>20180115</v>
      </c>
      <c r="T384" t="s">
        <v>1094</v>
      </c>
      <c r="X384">
        <v>13</v>
      </c>
      <c r="Y384">
        <v>55000</v>
      </c>
      <c r="AA384" t="s">
        <v>605</v>
      </c>
      <c r="AB384">
        <v>20190228</v>
      </c>
      <c r="AE384">
        <f t="shared" si="5"/>
        <v>46392</v>
      </c>
      <c r="AF384">
        <v>0</v>
      </c>
      <c r="AG384">
        <v>46392</v>
      </c>
      <c r="AH384">
        <v>0</v>
      </c>
      <c r="AI384" s="121">
        <v>412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46804</v>
      </c>
    </row>
    <row r="385" spans="1:41">
      <c r="A385">
        <v>201903</v>
      </c>
      <c r="B385">
        <v>25</v>
      </c>
      <c r="C385" t="s">
        <v>526</v>
      </c>
      <c r="D385">
        <v>3190402042151</v>
      </c>
      <c r="E385" t="s">
        <v>53</v>
      </c>
      <c r="F385" t="s">
        <v>597</v>
      </c>
      <c r="G385" t="s">
        <v>598</v>
      </c>
      <c r="H385" t="s">
        <v>599</v>
      </c>
      <c r="I385" t="s">
        <v>606</v>
      </c>
      <c r="J385" t="s">
        <v>606</v>
      </c>
      <c r="K385" t="s">
        <v>607</v>
      </c>
      <c r="L385" t="s">
        <v>769</v>
      </c>
      <c r="M385" t="s">
        <v>738</v>
      </c>
      <c r="N385" t="s">
        <v>941</v>
      </c>
      <c r="P385" t="s">
        <v>603</v>
      </c>
      <c r="Q385" t="s">
        <v>648</v>
      </c>
      <c r="R385" t="s">
        <v>1042</v>
      </c>
      <c r="S385">
        <v>20180119</v>
      </c>
      <c r="T385" t="s">
        <v>1231</v>
      </c>
      <c r="X385">
        <v>14</v>
      </c>
      <c r="Y385">
        <v>48000</v>
      </c>
      <c r="AA385" t="s">
        <v>605</v>
      </c>
      <c r="AB385">
        <v>20190228</v>
      </c>
      <c r="AE385">
        <f t="shared" si="5"/>
        <v>0</v>
      </c>
      <c r="AF385">
        <v>0</v>
      </c>
      <c r="AG385">
        <v>0</v>
      </c>
      <c r="AH385">
        <v>0</v>
      </c>
      <c r="AI385" s="121">
        <v>240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240</v>
      </c>
    </row>
    <row r="386" spans="1:41">
      <c r="A386">
        <v>201903</v>
      </c>
      <c r="B386">
        <v>25</v>
      </c>
      <c r="C386" t="s">
        <v>526</v>
      </c>
      <c r="D386">
        <v>3190402148051</v>
      </c>
      <c r="E386" t="s">
        <v>53</v>
      </c>
      <c r="F386" t="s">
        <v>597</v>
      </c>
      <c r="G386" t="s">
        <v>598</v>
      </c>
      <c r="H386" t="s">
        <v>599</v>
      </c>
      <c r="I386" t="s">
        <v>702</v>
      </c>
      <c r="L386" t="s">
        <v>515</v>
      </c>
      <c r="M386" t="s">
        <v>514</v>
      </c>
      <c r="N386" t="s">
        <v>935</v>
      </c>
      <c r="P386" t="s">
        <v>603</v>
      </c>
      <c r="Q386" t="s">
        <v>648</v>
      </c>
      <c r="R386" t="s">
        <v>1099</v>
      </c>
      <c r="S386">
        <v>20180119</v>
      </c>
      <c r="T386" t="s">
        <v>839</v>
      </c>
      <c r="X386">
        <v>12</v>
      </c>
      <c r="Y386">
        <v>48793</v>
      </c>
      <c r="AA386" t="s">
        <v>605</v>
      </c>
      <c r="AB386">
        <v>20190218</v>
      </c>
      <c r="AE386">
        <f t="shared" si="5"/>
        <v>33471</v>
      </c>
      <c r="AF386">
        <v>0</v>
      </c>
      <c r="AG386">
        <v>33471</v>
      </c>
      <c r="AH386">
        <v>0</v>
      </c>
      <c r="AI386" s="121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33471</v>
      </c>
    </row>
    <row r="387" spans="1:41">
      <c r="A387">
        <v>201903</v>
      </c>
      <c r="B387">
        <v>25</v>
      </c>
      <c r="C387" t="s">
        <v>526</v>
      </c>
      <c r="D387">
        <v>3190402187201</v>
      </c>
      <c r="E387" t="s">
        <v>53</v>
      </c>
      <c r="F387" t="s">
        <v>597</v>
      </c>
      <c r="G387" t="s">
        <v>598</v>
      </c>
      <c r="H387" t="s">
        <v>599</v>
      </c>
      <c r="I387" t="s">
        <v>702</v>
      </c>
      <c r="L387" t="s">
        <v>515</v>
      </c>
      <c r="M387" t="s">
        <v>514</v>
      </c>
      <c r="N387" t="s">
        <v>935</v>
      </c>
      <c r="P387" t="s">
        <v>603</v>
      </c>
      <c r="Q387" t="s">
        <v>648</v>
      </c>
      <c r="R387" t="s">
        <v>1041</v>
      </c>
      <c r="S387">
        <v>20180119</v>
      </c>
      <c r="T387" t="s">
        <v>839</v>
      </c>
      <c r="X387">
        <v>12</v>
      </c>
      <c r="Y387">
        <v>55846</v>
      </c>
      <c r="AA387" t="s">
        <v>605</v>
      </c>
      <c r="AB387">
        <v>20190218</v>
      </c>
      <c r="AE387">
        <f t="shared" ref="AE387:AE450" si="6">AO387-AI387</f>
        <v>29696</v>
      </c>
      <c r="AF387">
        <v>0</v>
      </c>
      <c r="AG387">
        <v>29696</v>
      </c>
      <c r="AH387">
        <v>0</v>
      </c>
      <c r="AI387" s="121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29696</v>
      </c>
    </row>
    <row r="388" spans="1:41">
      <c r="A388">
        <v>201903</v>
      </c>
      <c r="B388">
        <v>25</v>
      </c>
      <c r="C388" t="s">
        <v>526</v>
      </c>
      <c r="D388">
        <v>3190037315011</v>
      </c>
      <c r="E388" t="s">
        <v>53</v>
      </c>
      <c r="F388" t="s">
        <v>597</v>
      </c>
      <c r="G388" t="s">
        <v>598</v>
      </c>
      <c r="H388" t="s">
        <v>599</v>
      </c>
      <c r="I388" t="s">
        <v>606</v>
      </c>
      <c r="J388" t="s">
        <v>606</v>
      </c>
      <c r="K388" t="s">
        <v>607</v>
      </c>
      <c r="L388" t="s">
        <v>639</v>
      </c>
      <c r="M388" t="s">
        <v>640</v>
      </c>
      <c r="N388" t="s">
        <v>1007</v>
      </c>
      <c r="P388" t="s">
        <v>603</v>
      </c>
      <c r="Q388" t="s">
        <v>648</v>
      </c>
      <c r="R388" t="s">
        <v>1037</v>
      </c>
      <c r="S388">
        <v>20160412</v>
      </c>
      <c r="T388" t="s">
        <v>1153</v>
      </c>
      <c r="X388">
        <v>35</v>
      </c>
      <c r="Y388">
        <v>55000</v>
      </c>
      <c r="AA388" t="s">
        <v>605</v>
      </c>
      <c r="AB388">
        <v>20190211</v>
      </c>
      <c r="AE388">
        <f t="shared" si="6"/>
        <v>0</v>
      </c>
      <c r="AF388">
        <v>0</v>
      </c>
      <c r="AG388">
        <v>0</v>
      </c>
      <c r="AH388">
        <v>0</v>
      </c>
      <c r="AI388" s="121">
        <v>412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412</v>
      </c>
    </row>
    <row r="389" spans="1:41">
      <c r="A389">
        <v>201903</v>
      </c>
      <c r="B389">
        <v>25</v>
      </c>
      <c r="C389" t="s">
        <v>526</v>
      </c>
      <c r="D389">
        <v>3190037530331</v>
      </c>
      <c r="E389" t="s">
        <v>53</v>
      </c>
      <c r="F389" t="s">
        <v>597</v>
      </c>
      <c r="G389" t="s">
        <v>598</v>
      </c>
      <c r="H389" t="s">
        <v>599</v>
      </c>
      <c r="I389" t="s">
        <v>606</v>
      </c>
      <c r="J389" t="s">
        <v>606</v>
      </c>
      <c r="K389" t="s">
        <v>607</v>
      </c>
      <c r="L389" t="s">
        <v>625</v>
      </c>
      <c r="M389" t="s">
        <v>626</v>
      </c>
      <c r="N389" t="s">
        <v>941</v>
      </c>
      <c r="P389" t="s">
        <v>603</v>
      </c>
      <c r="Q389" t="s">
        <v>648</v>
      </c>
      <c r="R389" t="s">
        <v>1037</v>
      </c>
      <c r="S389">
        <v>20160407</v>
      </c>
      <c r="T389" t="s">
        <v>1154</v>
      </c>
      <c r="X389">
        <v>35</v>
      </c>
      <c r="Y389">
        <v>148412</v>
      </c>
      <c r="AA389" t="s">
        <v>605</v>
      </c>
      <c r="AB389">
        <v>20190225</v>
      </c>
      <c r="AE389">
        <f t="shared" si="6"/>
        <v>0</v>
      </c>
      <c r="AF389">
        <v>0</v>
      </c>
      <c r="AG389">
        <v>0</v>
      </c>
      <c r="AH389">
        <v>0</v>
      </c>
      <c r="AI389" s="121">
        <v>1113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1113</v>
      </c>
    </row>
    <row r="390" spans="1:41">
      <c r="A390">
        <v>201903</v>
      </c>
      <c r="B390">
        <v>25</v>
      </c>
      <c r="C390" t="s">
        <v>526</v>
      </c>
      <c r="D390">
        <v>3190038435411</v>
      </c>
      <c r="E390" t="s">
        <v>53</v>
      </c>
      <c r="F390" t="s">
        <v>597</v>
      </c>
      <c r="G390" t="s">
        <v>598</v>
      </c>
      <c r="H390" t="s">
        <v>599</v>
      </c>
      <c r="I390" t="s">
        <v>702</v>
      </c>
      <c r="L390" t="s">
        <v>515</v>
      </c>
      <c r="M390" t="s">
        <v>514</v>
      </c>
      <c r="N390" t="s">
        <v>935</v>
      </c>
      <c r="P390" t="s">
        <v>603</v>
      </c>
      <c r="Q390" t="s">
        <v>648</v>
      </c>
      <c r="R390" t="s">
        <v>1037</v>
      </c>
      <c r="S390">
        <v>20160418</v>
      </c>
      <c r="T390" t="s">
        <v>840</v>
      </c>
      <c r="X390">
        <v>35</v>
      </c>
      <c r="Y390">
        <v>40000</v>
      </c>
      <c r="AA390" t="s">
        <v>605</v>
      </c>
      <c r="AB390">
        <v>20190225</v>
      </c>
      <c r="AE390">
        <f t="shared" si="6"/>
        <v>0</v>
      </c>
      <c r="AF390">
        <v>0</v>
      </c>
      <c r="AG390">
        <v>0</v>
      </c>
      <c r="AH390">
        <v>0</v>
      </c>
      <c r="AI390" s="121">
        <v>300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300</v>
      </c>
    </row>
    <row r="391" spans="1:41">
      <c r="A391">
        <v>201903</v>
      </c>
      <c r="B391">
        <v>25</v>
      </c>
      <c r="C391" t="s">
        <v>526</v>
      </c>
      <c r="D391">
        <v>3190040228271</v>
      </c>
      <c r="E391" t="s">
        <v>53</v>
      </c>
      <c r="F391" t="s">
        <v>597</v>
      </c>
      <c r="G391" t="s">
        <v>598</v>
      </c>
      <c r="H391" t="s">
        <v>599</v>
      </c>
      <c r="I391" t="s">
        <v>606</v>
      </c>
      <c r="J391" t="s">
        <v>606</v>
      </c>
      <c r="K391" t="s">
        <v>607</v>
      </c>
      <c r="L391" t="s">
        <v>614</v>
      </c>
      <c r="M391" t="s">
        <v>615</v>
      </c>
      <c r="N391" t="s">
        <v>1226</v>
      </c>
      <c r="P391" t="s">
        <v>603</v>
      </c>
      <c r="Q391" t="s">
        <v>648</v>
      </c>
      <c r="R391" t="s">
        <v>1037</v>
      </c>
      <c r="S391">
        <v>20160510</v>
      </c>
      <c r="T391" t="s">
        <v>889</v>
      </c>
      <c r="X391">
        <v>32</v>
      </c>
      <c r="Y391">
        <v>30000</v>
      </c>
      <c r="AA391" t="s">
        <v>605</v>
      </c>
      <c r="AB391">
        <v>20190226</v>
      </c>
      <c r="AE391">
        <f t="shared" si="6"/>
        <v>0</v>
      </c>
      <c r="AF391">
        <v>0</v>
      </c>
      <c r="AG391">
        <v>0</v>
      </c>
      <c r="AH391">
        <v>0</v>
      </c>
      <c r="AI391" s="121">
        <v>225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225</v>
      </c>
    </row>
    <row r="392" spans="1:41">
      <c r="A392">
        <v>201903</v>
      </c>
      <c r="B392">
        <v>25</v>
      </c>
      <c r="C392" t="s">
        <v>526</v>
      </c>
      <c r="D392">
        <v>3190040396191</v>
      </c>
      <c r="E392" t="s">
        <v>53</v>
      </c>
      <c r="F392" t="s">
        <v>597</v>
      </c>
      <c r="G392" t="s">
        <v>598</v>
      </c>
      <c r="H392" t="s">
        <v>599</v>
      </c>
      <c r="I392" t="s">
        <v>606</v>
      </c>
      <c r="J392" t="s">
        <v>606</v>
      </c>
      <c r="K392" t="s">
        <v>607</v>
      </c>
      <c r="L392" t="s">
        <v>625</v>
      </c>
      <c r="M392" t="s">
        <v>626</v>
      </c>
      <c r="N392" t="s">
        <v>941</v>
      </c>
      <c r="P392" t="s">
        <v>603</v>
      </c>
      <c r="Q392" t="s">
        <v>648</v>
      </c>
      <c r="R392" t="s">
        <v>1037</v>
      </c>
      <c r="S392">
        <v>20160504</v>
      </c>
      <c r="T392" t="s">
        <v>934</v>
      </c>
      <c r="X392">
        <v>34</v>
      </c>
      <c r="Y392">
        <v>147000</v>
      </c>
      <c r="AA392" t="s">
        <v>605</v>
      </c>
      <c r="AB392">
        <v>20190207</v>
      </c>
      <c r="AE392">
        <f t="shared" si="6"/>
        <v>0</v>
      </c>
      <c r="AF392">
        <v>0</v>
      </c>
      <c r="AG392">
        <v>0</v>
      </c>
      <c r="AH392">
        <v>0</v>
      </c>
      <c r="AI392" s="121">
        <v>1102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1102</v>
      </c>
    </row>
    <row r="393" spans="1:41">
      <c r="A393">
        <v>201903</v>
      </c>
      <c r="B393">
        <v>25</v>
      </c>
      <c r="C393" t="s">
        <v>526</v>
      </c>
      <c r="D393">
        <v>3190040397751</v>
      </c>
      <c r="E393" t="s">
        <v>53</v>
      </c>
      <c r="F393" t="s">
        <v>597</v>
      </c>
      <c r="G393" t="s">
        <v>598</v>
      </c>
      <c r="H393" t="s">
        <v>599</v>
      </c>
      <c r="I393" t="s">
        <v>606</v>
      </c>
      <c r="J393" t="s">
        <v>606</v>
      </c>
      <c r="K393" t="s">
        <v>607</v>
      </c>
      <c r="L393" t="s">
        <v>625</v>
      </c>
      <c r="M393" t="s">
        <v>626</v>
      </c>
      <c r="N393" t="s">
        <v>941</v>
      </c>
      <c r="P393" t="s">
        <v>603</v>
      </c>
      <c r="Q393" t="s">
        <v>648</v>
      </c>
      <c r="R393" t="s">
        <v>1037</v>
      </c>
      <c r="S393">
        <v>20160504</v>
      </c>
      <c r="T393" t="s">
        <v>934</v>
      </c>
      <c r="X393">
        <v>34</v>
      </c>
      <c r="Y393">
        <v>88000</v>
      </c>
      <c r="AA393" t="s">
        <v>605</v>
      </c>
      <c r="AB393">
        <v>20190207</v>
      </c>
      <c r="AE393">
        <f t="shared" si="6"/>
        <v>0</v>
      </c>
      <c r="AF393">
        <v>0</v>
      </c>
      <c r="AG393">
        <v>0</v>
      </c>
      <c r="AH393">
        <v>0</v>
      </c>
      <c r="AI393" s="121">
        <v>660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660</v>
      </c>
    </row>
    <row r="394" spans="1:41">
      <c r="A394">
        <v>201903</v>
      </c>
      <c r="B394">
        <v>25</v>
      </c>
      <c r="C394" t="s">
        <v>526</v>
      </c>
      <c r="D394">
        <v>3190040492791</v>
      </c>
      <c r="E394" t="s">
        <v>53</v>
      </c>
      <c r="F394" t="s">
        <v>597</v>
      </c>
      <c r="G394" t="s">
        <v>598</v>
      </c>
      <c r="H394" t="s">
        <v>599</v>
      </c>
      <c r="I394" t="s">
        <v>702</v>
      </c>
      <c r="L394" t="s">
        <v>515</v>
      </c>
      <c r="M394" t="s">
        <v>514</v>
      </c>
      <c r="N394" t="s">
        <v>935</v>
      </c>
      <c r="P394" t="s">
        <v>603</v>
      </c>
      <c r="Q394" t="s">
        <v>648</v>
      </c>
      <c r="R394" t="s">
        <v>1037</v>
      </c>
      <c r="S394">
        <v>20160511</v>
      </c>
      <c r="T394" t="s">
        <v>828</v>
      </c>
      <c r="X394">
        <v>34</v>
      </c>
      <c r="Y394">
        <v>29940</v>
      </c>
      <c r="AA394" t="s">
        <v>605</v>
      </c>
      <c r="AB394">
        <v>20190220</v>
      </c>
      <c r="AE394">
        <f t="shared" si="6"/>
        <v>0</v>
      </c>
      <c r="AF394">
        <v>0</v>
      </c>
      <c r="AG394">
        <v>0</v>
      </c>
      <c r="AH394">
        <v>0</v>
      </c>
      <c r="AI394" s="121">
        <v>224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224</v>
      </c>
    </row>
    <row r="395" spans="1:41">
      <c r="A395">
        <v>201903</v>
      </c>
      <c r="B395">
        <v>25</v>
      </c>
      <c r="C395" t="s">
        <v>526</v>
      </c>
      <c r="D395">
        <v>3190043409561</v>
      </c>
      <c r="E395" t="s">
        <v>53</v>
      </c>
      <c r="F395" t="s">
        <v>597</v>
      </c>
      <c r="G395" t="s">
        <v>598</v>
      </c>
      <c r="H395" t="s">
        <v>599</v>
      </c>
      <c r="I395" t="s">
        <v>646</v>
      </c>
      <c r="J395" t="s">
        <v>646</v>
      </c>
      <c r="K395" t="s">
        <v>647</v>
      </c>
      <c r="L395" t="s">
        <v>655</v>
      </c>
      <c r="M395" t="s">
        <v>656</v>
      </c>
      <c r="N395" t="s">
        <v>1071</v>
      </c>
      <c r="P395" t="s">
        <v>603</v>
      </c>
      <c r="Q395" t="s">
        <v>648</v>
      </c>
      <c r="R395" t="s">
        <v>1047</v>
      </c>
      <c r="S395">
        <v>20160602</v>
      </c>
      <c r="T395" t="s">
        <v>808</v>
      </c>
      <c r="X395">
        <v>33</v>
      </c>
      <c r="Y395">
        <v>50000</v>
      </c>
      <c r="AA395" t="s">
        <v>605</v>
      </c>
      <c r="AB395">
        <v>20190225</v>
      </c>
      <c r="AE395">
        <f t="shared" si="6"/>
        <v>0</v>
      </c>
      <c r="AF395">
        <v>0</v>
      </c>
      <c r="AG395">
        <v>0</v>
      </c>
      <c r="AH395">
        <v>0</v>
      </c>
      <c r="AI395" s="121">
        <v>250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250</v>
      </c>
    </row>
    <row r="396" spans="1:41">
      <c r="A396">
        <v>201903</v>
      </c>
      <c r="B396">
        <v>25</v>
      </c>
      <c r="C396" t="s">
        <v>526</v>
      </c>
      <c r="D396">
        <v>3190043632191</v>
      </c>
      <c r="E396" t="s">
        <v>53</v>
      </c>
      <c r="F396" t="s">
        <v>597</v>
      </c>
      <c r="G396" t="s">
        <v>598</v>
      </c>
      <c r="H396" t="s">
        <v>599</v>
      </c>
      <c r="I396" t="s">
        <v>606</v>
      </c>
      <c r="J396" t="s">
        <v>606</v>
      </c>
      <c r="K396" t="s">
        <v>607</v>
      </c>
      <c r="L396" t="s">
        <v>769</v>
      </c>
      <c r="M396" t="s">
        <v>738</v>
      </c>
      <c r="N396" t="s">
        <v>941</v>
      </c>
      <c r="P396" t="s">
        <v>603</v>
      </c>
      <c r="Q396" t="s">
        <v>648</v>
      </c>
      <c r="R396" t="s">
        <v>1037</v>
      </c>
      <c r="S396">
        <v>20160610</v>
      </c>
      <c r="T396" t="s">
        <v>835</v>
      </c>
      <c r="X396">
        <v>33</v>
      </c>
      <c r="Y396">
        <v>69000</v>
      </c>
      <c r="AA396" t="s">
        <v>605</v>
      </c>
      <c r="AB396">
        <v>20190225</v>
      </c>
      <c r="AE396">
        <f t="shared" si="6"/>
        <v>0</v>
      </c>
      <c r="AF396">
        <v>0</v>
      </c>
      <c r="AG396">
        <v>0</v>
      </c>
      <c r="AH396">
        <v>0</v>
      </c>
      <c r="AI396" s="121">
        <v>517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517</v>
      </c>
    </row>
    <row r="397" spans="1:41">
      <c r="A397">
        <v>201903</v>
      </c>
      <c r="B397">
        <v>25</v>
      </c>
      <c r="C397" t="s">
        <v>526</v>
      </c>
      <c r="D397">
        <v>3190044533011</v>
      </c>
      <c r="E397" t="s">
        <v>53</v>
      </c>
      <c r="F397" t="s">
        <v>597</v>
      </c>
      <c r="G397" t="s">
        <v>598</v>
      </c>
      <c r="H397" t="s">
        <v>599</v>
      </c>
      <c r="I397" t="s">
        <v>702</v>
      </c>
      <c r="L397" t="s">
        <v>515</v>
      </c>
      <c r="M397" t="s">
        <v>514</v>
      </c>
      <c r="N397" t="s">
        <v>935</v>
      </c>
      <c r="P397" t="s">
        <v>603</v>
      </c>
      <c r="Q397" t="s">
        <v>648</v>
      </c>
      <c r="R397" t="s">
        <v>1266</v>
      </c>
      <c r="S397">
        <v>20160613</v>
      </c>
      <c r="T397" t="s">
        <v>822</v>
      </c>
      <c r="X397">
        <v>33</v>
      </c>
      <c r="Y397">
        <v>30000</v>
      </c>
      <c r="AA397" t="s">
        <v>605</v>
      </c>
      <c r="AB397">
        <v>20190220</v>
      </c>
      <c r="AE397">
        <f t="shared" si="6"/>
        <v>0</v>
      </c>
      <c r="AF397">
        <v>0</v>
      </c>
      <c r="AG397">
        <v>0</v>
      </c>
      <c r="AH397">
        <v>0</v>
      </c>
      <c r="AI397" s="121">
        <v>150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150</v>
      </c>
    </row>
    <row r="398" spans="1:41">
      <c r="A398">
        <v>201903</v>
      </c>
      <c r="B398">
        <v>25</v>
      </c>
      <c r="C398" t="s">
        <v>526</v>
      </c>
      <c r="D398">
        <v>3190045261101</v>
      </c>
      <c r="E398" t="s">
        <v>53</v>
      </c>
      <c r="F398" t="s">
        <v>597</v>
      </c>
      <c r="G398" t="s">
        <v>598</v>
      </c>
      <c r="H398" t="s">
        <v>599</v>
      </c>
      <c r="I398" t="s">
        <v>702</v>
      </c>
      <c r="L398" t="s">
        <v>515</v>
      </c>
      <c r="M398" t="s">
        <v>514</v>
      </c>
      <c r="N398" t="s">
        <v>935</v>
      </c>
      <c r="P398" t="s">
        <v>603</v>
      </c>
      <c r="Q398" t="s">
        <v>648</v>
      </c>
      <c r="R398" t="s">
        <v>1225</v>
      </c>
      <c r="S398">
        <v>20160620</v>
      </c>
      <c r="T398" t="s">
        <v>812</v>
      </c>
      <c r="X398">
        <v>33</v>
      </c>
      <c r="Y398">
        <v>30000</v>
      </c>
      <c r="AA398" t="s">
        <v>605</v>
      </c>
      <c r="AB398">
        <v>20190220</v>
      </c>
      <c r="AE398">
        <f t="shared" si="6"/>
        <v>0</v>
      </c>
      <c r="AF398">
        <v>0</v>
      </c>
      <c r="AG398">
        <v>0</v>
      </c>
      <c r="AH398">
        <v>0</v>
      </c>
      <c r="AI398" s="121">
        <v>150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150</v>
      </c>
    </row>
    <row r="399" spans="1:41">
      <c r="A399">
        <v>201903</v>
      </c>
      <c r="B399">
        <v>25</v>
      </c>
      <c r="C399" t="s">
        <v>526</v>
      </c>
      <c r="D399">
        <v>3190045499811</v>
      </c>
      <c r="E399" t="s">
        <v>53</v>
      </c>
      <c r="F399" t="s">
        <v>597</v>
      </c>
      <c r="G399" t="s">
        <v>598</v>
      </c>
      <c r="H399" t="s">
        <v>599</v>
      </c>
      <c r="I399" t="s">
        <v>606</v>
      </c>
      <c r="J399" t="s">
        <v>606</v>
      </c>
      <c r="K399" t="s">
        <v>607</v>
      </c>
      <c r="L399" t="s">
        <v>625</v>
      </c>
      <c r="M399" t="s">
        <v>626</v>
      </c>
      <c r="N399" t="s">
        <v>941</v>
      </c>
      <c r="P399" t="s">
        <v>603</v>
      </c>
      <c r="Q399" t="s">
        <v>648</v>
      </c>
      <c r="R399" t="s">
        <v>1037</v>
      </c>
      <c r="S399">
        <v>20160621</v>
      </c>
      <c r="T399" t="s">
        <v>1096</v>
      </c>
      <c r="X399">
        <v>33</v>
      </c>
      <c r="Y399">
        <v>100000</v>
      </c>
      <c r="AA399" t="s">
        <v>605</v>
      </c>
      <c r="AB399">
        <v>20190225</v>
      </c>
      <c r="AE399">
        <f t="shared" si="6"/>
        <v>0</v>
      </c>
      <c r="AF399">
        <v>0</v>
      </c>
      <c r="AG399">
        <v>0</v>
      </c>
      <c r="AH399">
        <v>0</v>
      </c>
      <c r="AI399" s="121">
        <v>750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750</v>
      </c>
    </row>
    <row r="400" spans="1:41">
      <c r="A400">
        <v>201903</v>
      </c>
      <c r="B400">
        <v>25</v>
      </c>
      <c r="C400" t="s">
        <v>526</v>
      </c>
      <c r="D400">
        <v>3190046096001</v>
      </c>
      <c r="E400" t="s">
        <v>53</v>
      </c>
      <c r="F400" t="s">
        <v>597</v>
      </c>
      <c r="G400" t="s">
        <v>598</v>
      </c>
      <c r="H400" t="s">
        <v>599</v>
      </c>
      <c r="I400" t="s">
        <v>606</v>
      </c>
      <c r="J400" t="s">
        <v>606</v>
      </c>
      <c r="K400" t="s">
        <v>607</v>
      </c>
      <c r="L400" t="s">
        <v>769</v>
      </c>
      <c r="M400" t="s">
        <v>738</v>
      </c>
      <c r="N400" t="s">
        <v>941</v>
      </c>
      <c r="P400" t="s">
        <v>603</v>
      </c>
      <c r="Q400" t="s">
        <v>648</v>
      </c>
      <c r="R400" t="s">
        <v>1037</v>
      </c>
      <c r="S400">
        <v>20160624</v>
      </c>
      <c r="T400" t="s">
        <v>835</v>
      </c>
      <c r="X400">
        <v>33</v>
      </c>
      <c r="Y400">
        <v>41000</v>
      </c>
      <c r="AA400" t="s">
        <v>605</v>
      </c>
      <c r="AB400">
        <v>20190225</v>
      </c>
      <c r="AE400">
        <f t="shared" si="6"/>
        <v>0</v>
      </c>
      <c r="AF400">
        <v>0</v>
      </c>
      <c r="AG400">
        <v>0</v>
      </c>
      <c r="AH400">
        <v>0</v>
      </c>
      <c r="AI400" s="121">
        <v>307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307</v>
      </c>
    </row>
    <row r="401" spans="1:41">
      <c r="A401">
        <v>201903</v>
      </c>
      <c r="B401">
        <v>25</v>
      </c>
      <c r="C401" t="s">
        <v>526</v>
      </c>
      <c r="D401">
        <v>3190048319791</v>
      </c>
      <c r="E401" t="s">
        <v>53</v>
      </c>
      <c r="F401" t="s">
        <v>597</v>
      </c>
      <c r="G401" t="s">
        <v>598</v>
      </c>
      <c r="H401" t="s">
        <v>599</v>
      </c>
      <c r="I401" t="s">
        <v>702</v>
      </c>
      <c r="J401" t="s">
        <v>702</v>
      </c>
      <c r="K401" t="s">
        <v>703</v>
      </c>
      <c r="L401" t="s">
        <v>513</v>
      </c>
      <c r="M401" t="s">
        <v>512</v>
      </c>
      <c r="N401" t="s">
        <v>930</v>
      </c>
      <c r="P401" t="s">
        <v>603</v>
      </c>
      <c r="Q401" t="s">
        <v>648</v>
      </c>
      <c r="R401" t="s">
        <v>1037</v>
      </c>
      <c r="S401">
        <v>20160719</v>
      </c>
      <c r="T401" t="s">
        <v>819</v>
      </c>
      <c r="X401">
        <v>32</v>
      </c>
      <c r="Y401">
        <v>79000</v>
      </c>
      <c r="AA401" t="s">
        <v>605</v>
      </c>
      <c r="AB401">
        <v>20190215</v>
      </c>
      <c r="AE401">
        <f t="shared" si="6"/>
        <v>0</v>
      </c>
      <c r="AF401">
        <v>0</v>
      </c>
      <c r="AG401">
        <v>0</v>
      </c>
      <c r="AH401">
        <v>0</v>
      </c>
      <c r="AI401" s="121">
        <v>592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592</v>
      </c>
    </row>
    <row r="402" spans="1:41">
      <c r="A402">
        <v>201903</v>
      </c>
      <c r="B402">
        <v>25</v>
      </c>
      <c r="C402" t="s">
        <v>526</v>
      </c>
      <c r="D402">
        <v>3190048577271</v>
      </c>
      <c r="E402" t="s">
        <v>53</v>
      </c>
      <c r="F402" t="s">
        <v>597</v>
      </c>
      <c r="G402" t="s">
        <v>598</v>
      </c>
      <c r="H402" t="s">
        <v>599</v>
      </c>
      <c r="I402" t="s">
        <v>702</v>
      </c>
      <c r="J402" t="s">
        <v>702</v>
      </c>
      <c r="K402" t="s">
        <v>703</v>
      </c>
      <c r="L402" t="s">
        <v>513</v>
      </c>
      <c r="M402" t="s">
        <v>512</v>
      </c>
      <c r="N402" t="s">
        <v>930</v>
      </c>
      <c r="P402" t="s">
        <v>603</v>
      </c>
      <c r="Q402" t="s">
        <v>648</v>
      </c>
      <c r="R402" t="s">
        <v>1047</v>
      </c>
      <c r="S402">
        <v>20160719</v>
      </c>
      <c r="T402" t="s">
        <v>1048</v>
      </c>
      <c r="X402">
        <v>32</v>
      </c>
      <c r="Y402">
        <v>20000</v>
      </c>
      <c r="AA402" t="s">
        <v>605</v>
      </c>
      <c r="AB402">
        <v>20190220</v>
      </c>
      <c r="AE402">
        <f t="shared" si="6"/>
        <v>0</v>
      </c>
      <c r="AF402">
        <v>0</v>
      </c>
      <c r="AG402">
        <v>0</v>
      </c>
      <c r="AH402">
        <v>0</v>
      </c>
      <c r="AI402" s="121">
        <v>100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100</v>
      </c>
    </row>
    <row r="403" spans="1:41">
      <c r="A403">
        <v>201903</v>
      </c>
      <c r="B403">
        <v>25</v>
      </c>
      <c r="C403" t="s">
        <v>526</v>
      </c>
      <c r="D403">
        <v>3190048592871</v>
      </c>
      <c r="E403" t="s">
        <v>53</v>
      </c>
      <c r="F403" t="s">
        <v>597</v>
      </c>
      <c r="G403" t="s">
        <v>598</v>
      </c>
      <c r="H403" t="s">
        <v>599</v>
      </c>
      <c r="I403" t="s">
        <v>702</v>
      </c>
      <c r="J403" t="s">
        <v>702</v>
      </c>
      <c r="K403" t="s">
        <v>703</v>
      </c>
      <c r="L403" t="s">
        <v>513</v>
      </c>
      <c r="M403" t="s">
        <v>512</v>
      </c>
      <c r="N403" t="s">
        <v>930</v>
      </c>
      <c r="P403" t="s">
        <v>603</v>
      </c>
      <c r="Q403" t="s">
        <v>648</v>
      </c>
      <c r="R403" t="s">
        <v>1047</v>
      </c>
      <c r="S403">
        <v>20160719</v>
      </c>
      <c r="T403" t="s">
        <v>1048</v>
      </c>
      <c r="X403">
        <v>32</v>
      </c>
      <c r="Y403">
        <v>53000</v>
      </c>
      <c r="AA403" t="s">
        <v>605</v>
      </c>
      <c r="AB403">
        <v>20190220</v>
      </c>
      <c r="AE403">
        <f t="shared" si="6"/>
        <v>0</v>
      </c>
      <c r="AF403">
        <v>0</v>
      </c>
      <c r="AG403">
        <v>0</v>
      </c>
      <c r="AH403">
        <v>0</v>
      </c>
      <c r="AI403" s="121">
        <v>265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265</v>
      </c>
    </row>
    <row r="404" spans="1:41">
      <c r="A404">
        <v>201903</v>
      </c>
      <c r="B404">
        <v>25</v>
      </c>
      <c r="C404" t="s">
        <v>526</v>
      </c>
      <c r="D404">
        <v>3190048666411</v>
      </c>
      <c r="E404" t="s">
        <v>53</v>
      </c>
      <c r="F404" t="s">
        <v>597</v>
      </c>
      <c r="G404" t="s">
        <v>598</v>
      </c>
      <c r="H404" t="s">
        <v>599</v>
      </c>
      <c r="I404" t="s">
        <v>702</v>
      </c>
      <c r="J404" t="s">
        <v>702</v>
      </c>
      <c r="K404" t="s">
        <v>703</v>
      </c>
      <c r="L404" t="s">
        <v>513</v>
      </c>
      <c r="M404" t="s">
        <v>512</v>
      </c>
      <c r="N404" t="s">
        <v>930</v>
      </c>
      <c r="P404" t="s">
        <v>603</v>
      </c>
      <c r="Q404" t="s">
        <v>648</v>
      </c>
      <c r="R404" t="s">
        <v>1047</v>
      </c>
      <c r="S404">
        <v>20160720</v>
      </c>
      <c r="T404" t="s">
        <v>1056</v>
      </c>
      <c r="X404">
        <v>32</v>
      </c>
      <c r="Y404">
        <v>20000</v>
      </c>
      <c r="AA404" t="s">
        <v>605</v>
      </c>
      <c r="AB404">
        <v>20190228</v>
      </c>
      <c r="AE404">
        <f t="shared" si="6"/>
        <v>0</v>
      </c>
      <c r="AF404">
        <v>0</v>
      </c>
      <c r="AG404">
        <v>0</v>
      </c>
      <c r="AH404">
        <v>0</v>
      </c>
      <c r="AI404" s="121">
        <v>100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100</v>
      </c>
    </row>
    <row r="405" spans="1:41">
      <c r="A405">
        <v>201903</v>
      </c>
      <c r="B405">
        <v>25</v>
      </c>
      <c r="C405" t="s">
        <v>526</v>
      </c>
      <c r="D405">
        <v>3190449222311</v>
      </c>
      <c r="E405" t="s">
        <v>53</v>
      </c>
      <c r="F405" t="s">
        <v>597</v>
      </c>
      <c r="G405" t="s">
        <v>598</v>
      </c>
      <c r="H405" t="s">
        <v>599</v>
      </c>
      <c r="I405" t="s">
        <v>1168</v>
      </c>
      <c r="L405" t="s">
        <v>675</v>
      </c>
      <c r="M405" t="s">
        <v>676</v>
      </c>
      <c r="N405" t="s">
        <v>988</v>
      </c>
      <c r="P405" t="s">
        <v>603</v>
      </c>
      <c r="Q405" t="s">
        <v>648</v>
      </c>
      <c r="R405" t="s">
        <v>989</v>
      </c>
      <c r="S405">
        <v>20180913</v>
      </c>
      <c r="T405" t="s">
        <v>861</v>
      </c>
      <c r="V405">
        <v>0</v>
      </c>
      <c r="W405">
        <v>0</v>
      </c>
      <c r="X405">
        <v>5</v>
      </c>
      <c r="Y405">
        <v>25000</v>
      </c>
      <c r="AA405" t="s">
        <v>605</v>
      </c>
      <c r="AB405">
        <v>20190228</v>
      </c>
      <c r="AE405">
        <f t="shared" si="6"/>
        <v>0</v>
      </c>
      <c r="AF405">
        <v>0</v>
      </c>
      <c r="AG405">
        <v>0</v>
      </c>
      <c r="AH405">
        <v>0</v>
      </c>
      <c r="AI405" s="121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</row>
    <row r="406" spans="1:41">
      <c r="A406">
        <v>201903</v>
      </c>
      <c r="B406">
        <v>25</v>
      </c>
      <c r="C406" t="s">
        <v>526</v>
      </c>
      <c r="D406">
        <v>3190402312971</v>
      </c>
      <c r="E406" t="s">
        <v>53</v>
      </c>
      <c r="F406" t="s">
        <v>597</v>
      </c>
      <c r="G406" t="s">
        <v>598</v>
      </c>
      <c r="H406" t="s">
        <v>599</v>
      </c>
      <c r="I406" t="s">
        <v>606</v>
      </c>
      <c r="J406" t="s">
        <v>606</v>
      </c>
      <c r="K406" t="s">
        <v>607</v>
      </c>
      <c r="L406" t="s">
        <v>769</v>
      </c>
      <c r="M406" t="s">
        <v>738</v>
      </c>
      <c r="N406" t="s">
        <v>941</v>
      </c>
      <c r="P406" t="s">
        <v>603</v>
      </c>
      <c r="Q406" t="s">
        <v>648</v>
      </c>
      <c r="R406" t="s">
        <v>1042</v>
      </c>
      <c r="S406">
        <v>20180119</v>
      </c>
      <c r="T406" t="s">
        <v>1231</v>
      </c>
      <c r="X406">
        <v>14</v>
      </c>
      <c r="Y406">
        <v>63000</v>
      </c>
      <c r="AA406" t="s">
        <v>605</v>
      </c>
      <c r="AB406">
        <v>20190228</v>
      </c>
      <c r="AE406">
        <f t="shared" si="6"/>
        <v>0</v>
      </c>
      <c r="AF406">
        <v>0</v>
      </c>
      <c r="AG406">
        <v>0</v>
      </c>
      <c r="AH406">
        <v>0</v>
      </c>
      <c r="AI406" s="121">
        <v>315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315</v>
      </c>
    </row>
    <row r="407" spans="1:41">
      <c r="A407">
        <v>201903</v>
      </c>
      <c r="B407">
        <v>25</v>
      </c>
      <c r="C407" t="s">
        <v>526</v>
      </c>
      <c r="D407">
        <v>3190402507701</v>
      </c>
      <c r="E407" t="s">
        <v>53</v>
      </c>
      <c r="F407" t="s">
        <v>597</v>
      </c>
      <c r="G407" t="s">
        <v>598</v>
      </c>
      <c r="H407" t="s">
        <v>599</v>
      </c>
      <c r="I407" t="s">
        <v>702</v>
      </c>
      <c r="J407" t="s">
        <v>702</v>
      </c>
      <c r="K407" t="s">
        <v>703</v>
      </c>
      <c r="L407" t="s">
        <v>513</v>
      </c>
      <c r="M407" t="s">
        <v>512</v>
      </c>
      <c r="N407" t="s">
        <v>930</v>
      </c>
      <c r="P407" t="s">
        <v>603</v>
      </c>
      <c r="Q407" t="s">
        <v>648</v>
      </c>
      <c r="R407" t="s">
        <v>1041</v>
      </c>
      <c r="S407">
        <v>20180119</v>
      </c>
      <c r="T407" t="s">
        <v>896</v>
      </c>
      <c r="X407">
        <v>14</v>
      </c>
      <c r="Y407">
        <v>50000</v>
      </c>
      <c r="AA407" t="s">
        <v>605</v>
      </c>
      <c r="AB407">
        <v>20190225</v>
      </c>
      <c r="AE407">
        <f t="shared" si="6"/>
        <v>0</v>
      </c>
      <c r="AF407">
        <v>0</v>
      </c>
      <c r="AG407">
        <v>0</v>
      </c>
      <c r="AH407">
        <v>0</v>
      </c>
      <c r="AI407" s="121">
        <v>375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375</v>
      </c>
    </row>
    <row r="408" spans="1:41">
      <c r="A408">
        <v>201903</v>
      </c>
      <c r="B408">
        <v>25</v>
      </c>
      <c r="C408" t="s">
        <v>526</v>
      </c>
      <c r="D408">
        <v>3190403015681</v>
      </c>
      <c r="E408" t="s">
        <v>53</v>
      </c>
      <c r="F408" t="s">
        <v>597</v>
      </c>
      <c r="G408" t="s">
        <v>598</v>
      </c>
      <c r="H408" t="s">
        <v>599</v>
      </c>
      <c r="I408" t="s">
        <v>702</v>
      </c>
      <c r="L408" t="s">
        <v>515</v>
      </c>
      <c r="M408" t="s">
        <v>514</v>
      </c>
      <c r="N408" t="s">
        <v>935</v>
      </c>
      <c r="P408" t="s">
        <v>603</v>
      </c>
      <c r="Q408" t="s">
        <v>648</v>
      </c>
      <c r="R408" t="s">
        <v>1041</v>
      </c>
      <c r="S408">
        <v>20180124</v>
      </c>
      <c r="T408" t="s">
        <v>817</v>
      </c>
      <c r="X408">
        <v>14</v>
      </c>
      <c r="Y408">
        <v>30000</v>
      </c>
      <c r="AA408" t="s">
        <v>605</v>
      </c>
      <c r="AB408">
        <v>20190220</v>
      </c>
      <c r="AE408">
        <f t="shared" si="6"/>
        <v>0</v>
      </c>
      <c r="AF408">
        <v>0</v>
      </c>
      <c r="AG408">
        <v>0</v>
      </c>
      <c r="AH408">
        <v>0</v>
      </c>
      <c r="AI408" s="121">
        <v>225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225</v>
      </c>
    </row>
    <row r="409" spans="1:41">
      <c r="A409">
        <v>201903</v>
      </c>
      <c r="B409">
        <v>25</v>
      </c>
      <c r="C409" t="s">
        <v>526</v>
      </c>
      <c r="D409">
        <v>3190403804691</v>
      </c>
      <c r="E409" t="s">
        <v>53</v>
      </c>
      <c r="F409" t="s">
        <v>597</v>
      </c>
      <c r="G409" t="s">
        <v>598</v>
      </c>
      <c r="H409" t="s">
        <v>599</v>
      </c>
      <c r="I409" t="s">
        <v>702</v>
      </c>
      <c r="L409" t="s">
        <v>515</v>
      </c>
      <c r="M409" t="s">
        <v>514</v>
      </c>
      <c r="N409" t="s">
        <v>935</v>
      </c>
      <c r="P409" t="s">
        <v>603</v>
      </c>
      <c r="Q409" t="s">
        <v>648</v>
      </c>
      <c r="R409" t="s">
        <v>1042</v>
      </c>
      <c r="S409">
        <v>20180126</v>
      </c>
      <c r="T409" t="s">
        <v>814</v>
      </c>
      <c r="X409">
        <v>14</v>
      </c>
      <c r="Y409">
        <v>59000</v>
      </c>
      <c r="AA409" t="s">
        <v>605</v>
      </c>
      <c r="AB409">
        <v>20190228</v>
      </c>
      <c r="AE409">
        <f t="shared" si="6"/>
        <v>0</v>
      </c>
      <c r="AF409">
        <v>0</v>
      </c>
      <c r="AG409">
        <v>0</v>
      </c>
      <c r="AH409">
        <v>0</v>
      </c>
      <c r="AI409" s="121">
        <v>295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295</v>
      </c>
    </row>
    <row r="410" spans="1:41">
      <c r="A410">
        <v>201903</v>
      </c>
      <c r="B410">
        <v>25</v>
      </c>
      <c r="C410" t="s">
        <v>526</v>
      </c>
      <c r="D410">
        <v>3190404496381</v>
      </c>
      <c r="E410" t="s">
        <v>53</v>
      </c>
      <c r="F410" t="s">
        <v>597</v>
      </c>
      <c r="G410" t="s">
        <v>598</v>
      </c>
      <c r="H410" t="s">
        <v>599</v>
      </c>
      <c r="I410" t="s">
        <v>674</v>
      </c>
      <c r="L410" t="s">
        <v>705</v>
      </c>
      <c r="M410" t="s">
        <v>706</v>
      </c>
      <c r="N410" t="s">
        <v>966</v>
      </c>
      <c r="P410" t="s">
        <v>603</v>
      </c>
      <c r="Q410" t="s">
        <v>648</v>
      </c>
      <c r="R410" t="s">
        <v>1042</v>
      </c>
      <c r="S410">
        <v>20180131</v>
      </c>
      <c r="T410" t="s">
        <v>1239</v>
      </c>
      <c r="X410">
        <v>14</v>
      </c>
      <c r="Y410">
        <v>68500</v>
      </c>
      <c r="AA410" t="s">
        <v>605</v>
      </c>
      <c r="AB410">
        <v>20190225</v>
      </c>
      <c r="AE410">
        <f t="shared" si="6"/>
        <v>0</v>
      </c>
      <c r="AF410">
        <v>0</v>
      </c>
      <c r="AG410">
        <v>0</v>
      </c>
      <c r="AH410">
        <v>0</v>
      </c>
      <c r="AI410" s="121">
        <v>342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342</v>
      </c>
    </row>
    <row r="411" spans="1:41">
      <c r="A411">
        <v>201903</v>
      </c>
      <c r="B411">
        <v>25</v>
      </c>
      <c r="C411" t="s">
        <v>526</v>
      </c>
      <c r="D411">
        <v>3190404736511</v>
      </c>
      <c r="E411" t="s">
        <v>53</v>
      </c>
      <c r="F411" t="s">
        <v>597</v>
      </c>
      <c r="G411" t="s">
        <v>598</v>
      </c>
      <c r="H411" t="s">
        <v>599</v>
      </c>
      <c r="I411" t="s">
        <v>674</v>
      </c>
      <c r="J411" t="s">
        <v>1165</v>
      </c>
      <c r="L411" t="s">
        <v>696</v>
      </c>
      <c r="M411" t="s">
        <v>697</v>
      </c>
      <c r="N411" t="s">
        <v>1022</v>
      </c>
      <c r="P411" t="s">
        <v>603</v>
      </c>
      <c r="Q411" t="s">
        <v>648</v>
      </c>
      <c r="R411" t="s">
        <v>1099</v>
      </c>
      <c r="S411">
        <v>20180131</v>
      </c>
      <c r="T411" t="s">
        <v>909</v>
      </c>
      <c r="X411">
        <v>14</v>
      </c>
      <c r="Y411">
        <v>52470</v>
      </c>
      <c r="AA411" t="s">
        <v>605</v>
      </c>
      <c r="AB411">
        <v>20190220</v>
      </c>
      <c r="AE411">
        <f t="shared" si="6"/>
        <v>0</v>
      </c>
      <c r="AF411">
        <v>0</v>
      </c>
      <c r="AG411">
        <v>0</v>
      </c>
      <c r="AH411">
        <v>0</v>
      </c>
      <c r="AI411" s="121">
        <v>262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262</v>
      </c>
    </row>
    <row r="412" spans="1:41">
      <c r="A412">
        <v>201903</v>
      </c>
      <c r="B412">
        <v>25</v>
      </c>
      <c r="C412" t="s">
        <v>526</v>
      </c>
      <c r="D412">
        <v>3190404921111</v>
      </c>
      <c r="E412" t="s">
        <v>53</v>
      </c>
      <c r="F412" t="s">
        <v>597</v>
      </c>
      <c r="G412" t="s">
        <v>598</v>
      </c>
      <c r="H412" t="s">
        <v>599</v>
      </c>
      <c r="I412" t="s">
        <v>661</v>
      </c>
      <c r="L412" t="s">
        <v>669</v>
      </c>
      <c r="M412" t="s">
        <v>670</v>
      </c>
      <c r="N412" t="s">
        <v>949</v>
      </c>
      <c r="P412" t="s">
        <v>603</v>
      </c>
      <c r="Q412" t="s">
        <v>648</v>
      </c>
      <c r="R412" t="s">
        <v>1041</v>
      </c>
      <c r="S412">
        <v>20180201</v>
      </c>
      <c r="T412" t="s">
        <v>851</v>
      </c>
      <c r="X412">
        <v>13</v>
      </c>
      <c r="Y412">
        <v>63772</v>
      </c>
      <c r="AA412" t="s">
        <v>605</v>
      </c>
      <c r="AB412">
        <v>20190220</v>
      </c>
      <c r="AE412">
        <f t="shared" si="6"/>
        <v>0</v>
      </c>
      <c r="AF412">
        <v>0</v>
      </c>
      <c r="AG412">
        <v>0</v>
      </c>
      <c r="AH412">
        <v>0</v>
      </c>
      <c r="AI412" s="121">
        <v>478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478</v>
      </c>
    </row>
    <row r="413" spans="1:41">
      <c r="A413">
        <v>201903</v>
      </c>
      <c r="B413">
        <v>25</v>
      </c>
      <c r="C413" t="s">
        <v>526</v>
      </c>
      <c r="D413">
        <v>3190405978041</v>
      </c>
      <c r="E413" t="s">
        <v>53</v>
      </c>
      <c r="F413" t="s">
        <v>597</v>
      </c>
      <c r="G413" t="s">
        <v>598</v>
      </c>
      <c r="H413" t="s">
        <v>599</v>
      </c>
      <c r="I413" t="s">
        <v>606</v>
      </c>
      <c r="J413" t="s">
        <v>606</v>
      </c>
      <c r="K413" t="s">
        <v>607</v>
      </c>
      <c r="L413" t="s">
        <v>643</v>
      </c>
      <c r="M413" t="s">
        <v>644</v>
      </c>
      <c r="N413" t="s">
        <v>947</v>
      </c>
      <c r="P413" t="s">
        <v>603</v>
      </c>
      <c r="Q413" t="s">
        <v>648</v>
      </c>
      <c r="R413" t="s">
        <v>1041</v>
      </c>
      <c r="S413">
        <v>20180207</v>
      </c>
      <c r="T413" t="s">
        <v>1044</v>
      </c>
      <c r="X413">
        <v>13</v>
      </c>
      <c r="Y413">
        <v>68597</v>
      </c>
      <c r="AA413" t="s">
        <v>605</v>
      </c>
      <c r="AB413">
        <v>20190207</v>
      </c>
      <c r="AE413">
        <f t="shared" si="6"/>
        <v>0</v>
      </c>
      <c r="AF413">
        <v>0</v>
      </c>
      <c r="AG413">
        <v>0</v>
      </c>
      <c r="AH413">
        <v>0</v>
      </c>
      <c r="AI413" s="121">
        <v>514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514</v>
      </c>
    </row>
    <row r="414" spans="1:41">
      <c r="A414">
        <v>201903</v>
      </c>
      <c r="B414">
        <v>25</v>
      </c>
      <c r="C414" t="s">
        <v>526</v>
      </c>
      <c r="D414">
        <v>3190407199511</v>
      </c>
      <c r="E414" t="s">
        <v>53</v>
      </c>
      <c r="F414" t="s">
        <v>597</v>
      </c>
      <c r="G414" t="s">
        <v>598</v>
      </c>
      <c r="H414" t="s">
        <v>599</v>
      </c>
      <c r="I414" t="s">
        <v>1167</v>
      </c>
      <c r="J414" t="s">
        <v>734</v>
      </c>
      <c r="K414" t="s">
        <v>735</v>
      </c>
      <c r="L414" t="s">
        <v>736</v>
      </c>
      <c r="M414" t="s">
        <v>737</v>
      </c>
      <c r="N414" t="s">
        <v>1052</v>
      </c>
      <c r="P414" t="s">
        <v>603</v>
      </c>
      <c r="Q414" t="s">
        <v>648</v>
      </c>
      <c r="R414" t="s">
        <v>1041</v>
      </c>
      <c r="S414">
        <v>20180213</v>
      </c>
      <c r="T414" t="s">
        <v>1054</v>
      </c>
      <c r="X414">
        <v>13</v>
      </c>
      <c r="Y414">
        <v>118959</v>
      </c>
      <c r="AA414" t="s">
        <v>605</v>
      </c>
      <c r="AB414">
        <v>20190225</v>
      </c>
      <c r="AE414">
        <f t="shared" si="6"/>
        <v>0</v>
      </c>
      <c r="AF414">
        <v>0</v>
      </c>
      <c r="AG414">
        <v>0</v>
      </c>
      <c r="AH414">
        <v>0</v>
      </c>
      <c r="AI414" s="121">
        <v>892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892</v>
      </c>
    </row>
    <row r="415" spans="1:41">
      <c r="A415">
        <v>201903</v>
      </c>
      <c r="B415">
        <v>25</v>
      </c>
      <c r="C415" t="s">
        <v>526</v>
      </c>
      <c r="D415">
        <v>3190407234831</v>
      </c>
      <c r="E415" t="s">
        <v>53</v>
      </c>
      <c r="F415" t="s">
        <v>597</v>
      </c>
      <c r="G415" t="s">
        <v>598</v>
      </c>
      <c r="H415" t="s">
        <v>599</v>
      </c>
      <c r="I415" t="s">
        <v>756</v>
      </c>
      <c r="J415" t="s">
        <v>756</v>
      </c>
      <c r="K415" t="s">
        <v>1166</v>
      </c>
      <c r="L415" t="s">
        <v>758</v>
      </c>
      <c r="M415" t="s">
        <v>712</v>
      </c>
      <c r="N415" t="s">
        <v>1254</v>
      </c>
      <c r="P415" t="s">
        <v>603</v>
      </c>
      <c r="Q415" t="s">
        <v>648</v>
      </c>
      <c r="R415" t="s">
        <v>1042</v>
      </c>
      <c r="S415">
        <v>20180228</v>
      </c>
      <c r="T415" t="s">
        <v>1063</v>
      </c>
      <c r="X415">
        <v>13</v>
      </c>
      <c r="Y415">
        <v>39000</v>
      </c>
      <c r="AA415" t="s">
        <v>605</v>
      </c>
      <c r="AB415">
        <v>20190225</v>
      </c>
      <c r="AE415">
        <f t="shared" si="6"/>
        <v>0</v>
      </c>
      <c r="AF415">
        <v>0</v>
      </c>
      <c r="AG415">
        <v>0</v>
      </c>
      <c r="AH415">
        <v>0</v>
      </c>
      <c r="AI415" s="121">
        <v>195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195</v>
      </c>
    </row>
    <row r="416" spans="1:41">
      <c r="A416">
        <v>201903</v>
      </c>
      <c r="B416">
        <v>25</v>
      </c>
      <c r="C416" t="s">
        <v>526</v>
      </c>
      <c r="D416">
        <v>3190449729821</v>
      </c>
      <c r="E416" t="s">
        <v>53</v>
      </c>
      <c r="F416" t="s">
        <v>597</v>
      </c>
      <c r="G416" t="s">
        <v>598</v>
      </c>
      <c r="H416" t="s">
        <v>599</v>
      </c>
      <c r="I416" t="s">
        <v>661</v>
      </c>
      <c r="J416" t="s">
        <v>661</v>
      </c>
      <c r="K416" t="s">
        <v>662</v>
      </c>
      <c r="L416" t="s">
        <v>698</v>
      </c>
      <c r="M416" t="s">
        <v>699</v>
      </c>
      <c r="N416" t="s">
        <v>964</v>
      </c>
      <c r="P416" t="s">
        <v>603</v>
      </c>
      <c r="Q416" t="s">
        <v>648</v>
      </c>
      <c r="R416" t="s">
        <v>1228</v>
      </c>
      <c r="S416">
        <v>20180914</v>
      </c>
      <c r="T416" t="s">
        <v>1246</v>
      </c>
      <c r="X416">
        <v>6</v>
      </c>
      <c r="Y416">
        <v>37000</v>
      </c>
      <c r="AA416" t="s">
        <v>605</v>
      </c>
      <c r="AB416">
        <v>20190225</v>
      </c>
      <c r="AE416">
        <f t="shared" si="6"/>
        <v>0</v>
      </c>
      <c r="AF416">
        <v>0</v>
      </c>
      <c r="AG416">
        <v>0</v>
      </c>
      <c r="AH416">
        <v>0</v>
      </c>
      <c r="AI416" s="121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</row>
    <row r="417" spans="1:41">
      <c r="A417">
        <v>201903</v>
      </c>
      <c r="B417">
        <v>25</v>
      </c>
      <c r="C417" t="s">
        <v>526</v>
      </c>
      <c r="D417">
        <v>3190449816801</v>
      </c>
      <c r="E417" t="s">
        <v>53</v>
      </c>
      <c r="F417" t="s">
        <v>597</v>
      </c>
      <c r="G417" t="s">
        <v>598</v>
      </c>
      <c r="H417" t="s">
        <v>599</v>
      </c>
      <c r="I417" t="s">
        <v>674</v>
      </c>
      <c r="L417" t="s">
        <v>705</v>
      </c>
      <c r="M417" t="s">
        <v>706</v>
      </c>
      <c r="N417" t="s">
        <v>966</v>
      </c>
      <c r="P417" t="s">
        <v>603</v>
      </c>
      <c r="Q417" t="s">
        <v>648</v>
      </c>
      <c r="R417" t="s">
        <v>996</v>
      </c>
      <c r="S417">
        <v>20180914</v>
      </c>
      <c r="T417" t="s">
        <v>1018</v>
      </c>
      <c r="X417">
        <v>6</v>
      </c>
      <c r="Y417">
        <v>42500</v>
      </c>
      <c r="AA417" t="s">
        <v>605</v>
      </c>
      <c r="AB417">
        <v>20190225</v>
      </c>
      <c r="AE417">
        <f t="shared" si="6"/>
        <v>0</v>
      </c>
      <c r="AF417">
        <v>0</v>
      </c>
      <c r="AG417">
        <v>0</v>
      </c>
      <c r="AH417">
        <v>0</v>
      </c>
      <c r="AI417" s="121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</row>
    <row r="418" spans="1:41">
      <c r="A418">
        <v>201903</v>
      </c>
      <c r="B418">
        <v>25</v>
      </c>
      <c r="C418" t="s">
        <v>526</v>
      </c>
      <c r="D418">
        <v>3190450249171</v>
      </c>
      <c r="E418" t="s">
        <v>53</v>
      </c>
      <c r="F418" t="s">
        <v>597</v>
      </c>
      <c r="G418" t="s">
        <v>598</v>
      </c>
      <c r="H418" t="s">
        <v>599</v>
      </c>
      <c r="I418" t="s">
        <v>606</v>
      </c>
      <c r="J418" t="s">
        <v>606</v>
      </c>
      <c r="K418" t="s">
        <v>607</v>
      </c>
      <c r="L418" t="s">
        <v>694</v>
      </c>
      <c r="M418" t="s">
        <v>695</v>
      </c>
      <c r="N418" t="s">
        <v>1031</v>
      </c>
      <c r="P418" t="s">
        <v>603</v>
      </c>
      <c r="Q418" t="s">
        <v>648</v>
      </c>
      <c r="R418" t="s">
        <v>996</v>
      </c>
      <c r="S418">
        <v>20180918</v>
      </c>
      <c r="T418" t="s">
        <v>868</v>
      </c>
      <c r="X418">
        <v>4</v>
      </c>
      <c r="Y418">
        <v>148500</v>
      </c>
      <c r="AA418" t="s">
        <v>605</v>
      </c>
      <c r="AB418">
        <v>20190227</v>
      </c>
      <c r="AE418">
        <f t="shared" si="6"/>
        <v>0</v>
      </c>
      <c r="AF418">
        <v>0</v>
      </c>
      <c r="AG418">
        <v>0</v>
      </c>
      <c r="AH418">
        <v>0</v>
      </c>
      <c r="AI418" s="121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</row>
    <row r="419" spans="1:41">
      <c r="A419">
        <v>201903</v>
      </c>
      <c r="B419">
        <v>25</v>
      </c>
      <c r="C419" t="s">
        <v>526</v>
      </c>
      <c r="D419">
        <v>3190450320561</v>
      </c>
      <c r="E419" t="s">
        <v>53</v>
      </c>
      <c r="F419" t="s">
        <v>597</v>
      </c>
      <c r="G419" t="s">
        <v>598</v>
      </c>
      <c r="H419" t="s">
        <v>599</v>
      </c>
      <c r="I419" t="s">
        <v>674</v>
      </c>
      <c r="L419" t="s">
        <v>705</v>
      </c>
      <c r="M419" t="s">
        <v>706</v>
      </c>
      <c r="N419" t="s">
        <v>966</v>
      </c>
      <c r="P419" t="s">
        <v>603</v>
      </c>
      <c r="Q419" t="s">
        <v>648</v>
      </c>
      <c r="R419" t="s">
        <v>980</v>
      </c>
      <c r="S419">
        <v>20180914</v>
      </c>
      <c r="T419" t="s">
        <v>714</v>
      </c>
      <c r="V419">
        <v>0</v>
      </c>
      <c r="W419">
        <v>0</v>
      </c>
      <c r="X419">
        <v>6</v>
      </c>
      <c r="Y419">
        <v>123506</v>
      </c>
      <c r="AA419" t="s">
        <v>605</v>
      </c>
      <c r="AB419">
        <v>20190215</v>
      </c>
      <c r="AE419">
        <f t="shared" si="6"/>
        <v>0</v>
      </c>
      <c r="AF419">
        <v>0</v>
      </c>
      <c r="AG419">
        <v>0</v>
      </c>
      <c r="AH419">
        <v>0</v>
      </c>
      <c r="AI419" s="121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</row>
    <row r="420" spans="1:41">
      <c r="A420">
        <v>201903</v>
      </c>
      <c r="B420">
        <v>25</v>
      </c>
      <c r="C420" t="s">
        <v>526</v>
      </c>
      <c r="D420">
        <v>3190451243651</v>
      </c>
      <c r="E420" t="s">
        <v>53</v>
      </c>
      <c r="F420" t="s">
        <v>597</v>
      </c>
      <c r="G420" t="s">
        <v>598</v>
      </c>
      <c r="H420" t="s">
        <v>599</v>
      </c>
      <c r="I420" t="s">
        <v>1168</v>
      </c>
      <c r="L420" t="s">
        <v>675</v>
      </c>
      <c r="M420" t="s">
        <v>676</v>
      </c>
      <c r="N420" t="s">
        <v>988</v>
      </c>
      <c r="P420" t="s">
        <v>603</v>
      </c>
      <c r="Q420" t="s">
        <v>648</v>
      </c>
      <c r="R420" t="s">
        <v>989</v>
      </c>
      <c r="S420">
        <v>20180920</v>
      </c>
      <c r="T420" t="s">
        <v>888</v>
      </c>
      <c r="V420">
        <v>0</v>
      </c>
      <c r="W420">
        <v>0</v>
      </c>
      <c r="X420">
        <v>6</v>
      </c>
      <c r="Y420">
        <v>25000</v>
      </c>
      <c r="AA420" t="s">
        <v>605</v>
      </c>
      <c r="AB420">
        <v>20190215</v>
      </c>
      <c r="AE420">
        <f t="shared" si="6"/>
        <v>0</v>
      </c>
      <c r="AF420">
        <v>0</v>
      </c>
      <c r="AG420">
        <v>0</v>
      </c>
      <c r="AH420">
        <v>0</v>
      </c>
      <c r="AI420" s="121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</row>
    <row r="421" spans="1:41">
      <c r="A421">
        <v>201903</v>
      </c>
      <c r="B421">
        <v>25</v>
      </c>
      <c r="C421" t="s">
        <v>526</v>
      </c>
      <c r="D421">
        <v>3190451386711</v>
      </c>
      <c r="E421" t="s">
        <v>53</v>
      </c>
      <c r="F421" t="s">
        <v>597</v>
      </c>
      <c r="G421" t="s">
        <v>598</v>
      </c>
      <c r="H421" t="s">
        <v>599</v>
      </c>
      <c r="I421" t="s">
        <v>661</v>
      </c>
      <c r="J421" t="s">
        <v>661</v>
      </c>
      <c r="K421" t="s">
        <v>662</v>
      </c>
      <c r="L421" t="s">
        <v>698</v>
      </c>
      <c r="M421" t="s">
        <v>699</v>
      </c>
      <c r="N421" t="s">
        <v>964</v>
      </c>
      <c r="P421" t="s">
        <v>603</v>
      </c>
      <c r="Q421" t="s">
        <v>648</v>
      </c>
      <c r="R421" t="s">
        <v>1228</v>
      </c>
      <c r="S421">
        <v>20180928</v>
      </c>
      <c r="T421" t="s">
        <v>860</v>
      </c>
      <c r="X421">
        <v>6</v>
      </c>
      <c r="Y421">
        <v>44200</v>
      </c>
      <c r="AA421" t="s">
        <v>605</v>
      </c>
      <c r="AB421">
        <v>20190220</v>
      </c>
      <c r="AE421">
        <f t="shared" si="6"/>
        <v>0</v>
      </c>
      <c r="AF421">
        <v>0</v>
      </c>
      <c r="AG421">
        <v>0</v>
      </c>
      <c r="AH421">
        <v>0</v>
      </c>
      <c r="AI421" s="1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</row>
    <row r="422" spans="1:41">
      <c r="A422">
        <v>201903</v>
      </c>
      <c r="B422">
        <v>25</v>
      </c>
      <c r="C422" t="s">
        <v>526</v>
      </c>
      <c r="D422">
        <v>3190451441721</v>
      </c>
      <c r="E422" t="s">
        <v>53</v>
      </c>
      <c r="F422" t="s">
        <v>597</v>
      </c>
      <c r="G422" t="s">
        <v>598</v>
      </c>
      <c r="H422" t="s">
        <v>599</v>
      </c>
      <c r="I422" t="s">
        <v>606</v>
      </c>
      <c r="J422" t="s">
        <v>606</v>
      </c>
      <c r="K422" t="s">
        <v>607</v>
      </c>
      <c r="L422" t="s">
        <v>694</v>
      </c>
      <c r="M422" t="s">
        <v>695</v>
      </c>
      <c r="N422" t="s">
        <v>1031</v>
      </c>
      <c r="P422" t="s">
        <v>603</v>
      </c>
      <c r="Q422" t="s">
        <v>648</v>
      </c>
      <c r="R422" t="s">
        <v>996</v>
      </c>
      <c r="S422">
        <v>20180919</v>
      </c>
      <c r="T422" t="s">
        <v>824</v>
      </c>
      <c r="X422">
        <v>5</v>
      </c>
      <c r="Y422">
        <v>109000</v>
      </c>
      <c r="AA422" t="s">
        <v>605</v>
      </c>
      <c r="AB422">
        <v>20190207</v>
      </c>
      <c r="AE422">
        <f t="shared" si="6"/>
        <v>0</v>
      </c>
      <c r="AF422">
        <v>0</v>
      </c>
      <c r="AG422">
        <v>0</v>
      </c>
      <c r="AH422">
        <v>0</v>
      </c>
      <c r="AI422" s="121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</row>
    <row r="423" spans="1:41">
      <c r="A423">
        <v>201903</v>
      </c>
      <c r="B423">
        <v>25</v>
      </c>
      <c r="C423" t="s">
        <v>526</v>
      </c>
      <c r="D423">
        <v>3190451933331</v>
      </c>
      <c r="E423" t="s">
        <v>53</v>
      </c>
      <c r="F423" t="s">
        <v>597</v>
      </c>
      <c r="G423" t="s">
        <v>598</v>
      </c>
      <c r="H423" t="s">
        <v>599</v>
      </c>
      <c r="I423" t="s">
        <v>661</v>
      </c>
      <c r="J423" t="s">
        <v>661</v>
      </c>
      <c r="K423" t="s">
        <v>662</v>
      </c>
      <c r="L423" t="s">
        <v>700</v>
      </c>
      <c r="M423" t="s">
        <v>701</v>
      </c>
      <c r="N423" t="s">
        <v>962</v>
      </c>
      <c r="P423" t="s">
        <v>603</v>
      </c>
      <c r="Q423" t="s">
        <v>648</v>
      </c>
      <c r="R423" t="s">
        <v>989</v>
      </c>
      <c r="S423">
        <v>20180920</v>
      </c>
      <c r="T423" t="s">
        <v>861</v>
      </c>
      <c r="X423">
        <v>6</v>
      </c>
      <c r="Y423">
        <v>19600</v>
      </c>
      <c r="AA423" t="s">
        <v>605</v>
      </c>
      <c r="AB423">
        <v>20190220</v>
      </c>
      <c r="AE423">
        <f t="shared" si="6"/>
        <v>0</v>
      </c>
      <c r="AF423">
        <v>0</v>
      </c>
      <c r="AG423">
        <v>0</v>
      </c>
      <c r="AH423">
        <v>0</v>
      </c>
      <c r="AI423" s="121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</row>
    <row r="424" spans="1:41">
      <c r="A424">
        <v>201903</v>
      </c>
      <c r="B424">
        <v>25</v>
      </c>
      <c r="C424" t="s">
        <v>526</v>
      </c>
      <c r="D424">
        <v>3190452158951</v>
      </c>
      <c r="E424" t="s">
        <v>53</v>
      </c>
      <c r="F424" t="s">
        <v>597</v>
      </c>
      <c r="G424" t="s">
        <v>598</v>
      </c>
      <c r="H424" t="s">
        <v>599</v>
      </c>
      <c r="I424" t="s">
        <v>649</v>
      </c>
      <c r="J424" t="s">
        <v>649</v>
      </c>
      <c r="K424" t="s">
        <v>650</v>
      </c>
      <c r="L424" t="s">
        <v>692</v>
      </c>
      <c r="M424" t="s">
        <v>693</v>
      </c>
      <c r="N424" t="s">
        <v>967</v>
      </c>
      <c r="P424" t="s">
        <v>603</v>
      </c>
      <c r="Q424" t="s">
        <v>648</v>
      </c>
      <c r="R424" t="s">
        <v>980</v>
      </c>
      <c r="S424">
        <v>20180921</v>
      </c>
      <c r="T424" t="s">
        <v>914</v>
      </c>
      <c r="X424">
        <v>6</v>
      </c>
      <c r="Y424">
        <v>104362</v>
      </c>
      <c r="AA424" t="s">
        <v>605</v>
      </c>
      <c r="AB424">
        <v>20190225</v>
      </c>
      <c r="AE424">
        <f t="shared" si="6"/>
        <v>0</v>
      </c>
      <c r="AF424">
        <v>0</v>
      </c>
      <c r="AG424">
        <v>0</v>
      </c>
      <c r="AH424">
        <v>0</v>
      </c>
      <c r="AI424" s="121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</row>
    <row r="425" spans="1:41">
      <c r="A425">
        <v>201903</v>
      </c>
      <c r="B425">
        <v>25</v>
      </c>
      <c r="C425" t="s">
        <v>526</v>
      </c>
      <c r="D425">
        <v>3190452471931</v>
      </c>
      <c r="E425" t="s">
        <v>53</v>
      </c>
      <c r="F425" t="s">
        <v>597</v>
      </c>
      <c r="G425" t="s">
        <v>598</v>
      </c>
      <c r="H425" t="s">
        <v>599</v>
      </c>
      <c r="I425" t="s">
        <v>661</v>
      </c>
      <c r="J425" t="s">
        <v>661</v>
      </c>
      <c r="K425" t="s">
        <v>662</v>
      </c>
      <c r="L425" t="s">
        <v>698</v>
      </c>
      <c r="M425" t="s">
        <v>699</v>
      </c>
      <c r="N425" t="s">
        <v>964</v>
      </c>
      <c r="P425" t="s">
        <v>603</v>
      </c>
      <c r="Q425" t="s">
        <v>648</v>
      </c>
      <c r="R425" t="s">
        <v>1228</v>
      </c>
      <c r="S425">
        <v>20180928</v>
      </c>
      <c r="T425" t="s">
        <v>711</v>
      </c>
      <c r="V425">
        <v>0</v>
      </c>
      <c r="W425">
        <v>0</v>
      </c>
      <c r="X425">
        <v>6</v>
      </c>
      <c r="Y425">
        <v>32000</v>
      </c>
      <c r="AA425" t="s">
        <v>605</v>
      </c>
      <c r="AB425">
        <v>20190220</v>
      </c>
      <c r="AE425">
        <f t="shared" si="6"/>
        <v>0</v>
      </c>
      <c r="AF425">
        <v>0</v>
      </c>
      <c r="AG425">
        <v>0</v>
      </c>
      <c r="AH425">
        <v>0</v>
      </c>
      <c r="AI425" s="121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</row>
    <row r="426" spans="1:41">
      <c r="A426">
        <v>201903</v>
      </c>
      <c r="B426">
        <v>25</v>
      </c>
      <c r="C426" t="s">
        <v>526</v>
      </c>
      <c r="D426">
        <v>3190452540851</v>
      </c>
      <c r="E426" t="s">
        <v>53</v>
      </c>
      <c r="F426" t="s">
        <v>597</v>
      </c>
      <c r="G426" t="s">
        <v>598</v>
      </c>
      <c r="H426" t="s">
        <v>599</v>
      </c>
      <c r="I426" t="s">
        <v>661</v>
      </c>
      <c r="J426" t="s">
        <v>661</v>
      </c>
      <c r="K426" t="s">
        <v>662</v>
      </c>
      <c r="L426" t="s">
        <v>698</v>
      </c>
      <c r="M426" t="s">
        <v>699</v>
      </c>
      <c r="N426" t="s">
        <v>964</v>
      </c>
      <c r="P426" t="s">
        <v>603</v>
      </c>
      <c r="Q426" t="s">
        <v>648</v>
      </c>
      <c r="R426" t="s">
        <v>1228</v>
      </c>
      <c r="S426">
        <v>20180928</v>
      </c>
      <c r="T426" t="s">
        <v>860</v>
      </c>
      <c r="X426">
        <v>6</v>
      </c>
      <c r="Y426">
        <v>33000</v>
      </c>
      <c r="AA426" t="s">
        <v>605</v>
      </c>
      <c r="AB426">
        <v>20190220</v>
      </c>
      <c r="AE426">
        <f t="shared" si="6"/>
        <v>0</v>
      </c>
      <c r="AF426">
        <v>0</v>
      </c>
      <c r="AG426">
        <v>0</v>
      </c>
      <c r="AH426">
        <v>0</v>
      </c>
      <c r="AI426" s="121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</row>
    <row r="427" spans="1:41">
      <c r="A427">
        <v>201903</v>
      </c>
      <c r="B427">
        <v>25</v>
      </c>
      <c r="C427" t="s">
        <v>526</v>
      </c>
      <c r="D427">
        <v>3190452570951</v>
      </c>
      <c r="E427" t="s">
        <v>53</v>
      </c>
      <c r="F427" t="s">
        <v>597</v>
      </c>
      <c r="G427" t="s">
        <v>598</v>
      </c>
      <c r="H427" t="s">
        <v>599</v>
      </c>
      <c r="I427" t="s">
        <v>661</v>
      </c>
      <c r="J427" t="s">
        <v>661</v>
      </c>
      <c r="K427" t="s">
        <v>662</v>
      </c>
      <c r="L427" t="s">
        <v>679</v>
      </c>
      <c r="M427" t="s">
        <v>680</v>
      </c>
      <c r="N427" t="s">
        <v>974</v>
      </c>
      <c r="P427" t="s">
        <v>603</v>
      </c>
      <c r="Q427" t="s">
        <v>648</v>
      </c>
      <c r="R427" t="s">
        <v>1228</v>
      </c>
      <c r="S427">
        <v>20180928</v>
      </c>
      <c r="T427" t="s">
        <v>981</v>
      </c>
      <c r="X427">
        <v>6</v>
      </c>
      <c r="Y427">
        <v>32000</v>
      </c>
      <c r="AA427" t="s">
        <v>605</v>
      </c>
      <c r="AB427">
        <v>20190225</v>
      </c>
      <c r="AE427">
        <f t="shared" si="6"/>
        <v>0</v>
      </c>
      <c r="AF427">
        <v>0</v>
      </c>
      <c r="AG427">
        <v>0</v>
      </c>
      <c r="AH427">
        <v>0</v>
      </c>
      <c r="AI427" s="121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</row>
    <row r="428" spans="1:41">
      <c r="A428">
        <v>201903</v>
      </c>
      <c r="B428">
        <v>25</v>
      </c>
      <c r="C428" t="s">
        <v>526</v>
      </c>
      <c r="D428">
        <v>3190453276251</v>
      </c>
      <c r="E428" t="s">
        <v>53</v>
      </c>
      <c r="F428" t="s">
        <v>597</v>
      </c>
      <c r="G428" t="s">
        <v>598</v>
      </c>
      <c r="H428" t="s">
        <v>599</v>
      </c>
      <c r="I428" t="s">
        <v>1168</v>
      </c>
      <c r="L428" t="s">
        <v>675</v>
      </c>
      <c r="M428" t="s">
        <v>676</v>
      </c>
      <c r="N428" t="s">
        <v>988</v>
      </c>
      <c r="P428" t="s">
        <v>603</v>
      </c>
      <c r="Q428" t="s">
        <v>648</v>
      </c>
      <c r="R428" t="s">
        <v>989</v>
      </c>
      <c r="S428">
        <v>20181004</v>
      </c>
      <c r="T428" t="s">
        <v>820</v>
      </c>
      <c r="V428">
        <v>0</v>
      </c>
      <c r="W428">
        <v>0</v>
      </c>
      <c r="X428">
        <v>4</v>
      </c>
      <c r="Y428">
        <v>17000</v>
      </c>
      <c r="AA428" t="s">
        <v>605</v>
      </c>
      <c r="AB428">
        <v>20190207</v>
      </c>
      <c r="AE428">
        <f t="shared" si="6"/>
        <v>0</v>
      </c>
      <c r="AF428">
        <v>0</v>
      </c>
      <c r="AG428">
        <v>0</v>
      </c>
      <c r="AH428">
        <v>0</v>
      </c>
      <c r="AI428" s="121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</row>
    <row r="429" spans="1:41">
      <c r="A429">
        <v>201903</v>
      </c>
      <c r="B429">
        <v>25</v>
      </c>
      <c r="C429" t="s">
        <v>526</v>
      </c>
      <c r="D429">
        <v>3190453933691</v>
      </c>
      <c r="E429" t="s">
        <v>53</v>
      </c>
      <c r="F429" t="s">
        <v>597</v>
      </c>
      <c r="G429" t="s">
        <v>598</v>
      </c>
      <c r="H429" t="s">
        <v>599</v>
      </c>
      <c r="I429" t="s">
        <v>702</v>
      </c>
      <c r="J429" t="s">
        <v>702</v>
      </c>
      <c r="K429" t="s">
        <v>703</v>
      </c>
      <c r="L429" t="s">
        <v>513</v>
      </c>
      <c r="M429" t="s">
        <v>512</v>
      </c>
      <c r="N429" t="s">
        <v>930</v>
      </c>
      <c r="P429" t="s">
        <v>603</v>
      </c>
      <c r="Q429" t="s">
        <v>648</v>
      </c>
      <c r="R429" t="s">
        <v>996</v>
      </c>
      <c r="S429">
        <v>20181016</v>
      </c>
      <c r="T429" t="s">
        <v>868</v>
      </c>
      <c r="X429">
        <v>5</v>
      </c>
      <c r="Y429">
        <v>54000</v>
      </c>
      <c r="AA429" t="s">
        <v>605</v>
      </c>
      <c r="AB429">
        <v>20190225</v>
      </c>
      <c r="AE429">
        <f t="shared" si="6"/>
        <v>0</v>
      </c>
      <c r="AF429">
        <v>0</v>
      </c>
      <c r="AG429">
        <v>0</v>
      </c>
      <c r="AH429">
        <v>0</v>
      </c>
      <c r="AI429" s="121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</row>
    <row r="430" spans="1:41">
      <c r="A430">
        <v>201903</v>
      </c>
      <c r="B430">
        <v>25</v>
      </c>
      <c r="C430" t="s">
        <v>526</v>
      </c>
      <c r="D430">
        <v>3190454012321</v>
      </c>
      <c r="E430" t="s">
        <v>53</v>
      </c>
      <c r="F430" t="s">
        <v>597</v>
      </c>
      <c r="G430" t="s">
        <v>598</v>
      </c>
      <c r="H430" t="s">
        <v>599</v>
      </c>
      <c r="I430" t="s">
        <v>702</v>
      </c>
      <c r="J430" t="s">
        <v>702</v>
      </c>
      <c r="K430" t="s">
        <v>703</v>
      </c>
      <c r="L430" t="s">
        <v>513</v>
      </c>
      <c r="M430" t="s">
        <v>512</v>
      </c>
      <c r="N430" t="s">
        <v>930</v>
      </c>
      <c r="P430" t="s">
        <v>603</v>
      </c>
      <c r="Q430" t="s">
        <v>648</v>
      </c>
      <c r="R430" t="s">
        <v>1228</v>
      </c>
      <c r="S430">
        <v>20181008</v>
      </c>
      <c r="T430" t="s">
        <v>910</v>
      </c>
      <c r="X430">
        <v>5</v>
      </c>
      <c r="Y430">
        <v>71000</v>
      </c>
      <c r="AA430" t="s">
        <v>605</v>
      </c>
      <c r="AB430">
        <v>20190228</v>
      </c>
      <c r="AE430">
        <f t="shared" si="6"/>
        <v>0</v>
      </c>
      <c r="AF430">
        <v>0</v>
      </c>
      <c r="AG430">
        <v>0</v>
      </c>
      <c r="AH430">
        <v>0</v>
      </c>
      <c r="AI430" s="121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</row>
    <row r="431" spans="1:41">
      <c r="A431">
        <v>201903</v>
      </c>
      <c r="B431">
        <v>25</v>
      </c>
      <c r="C431" t="s">
        <v>526</v>
      </c>
      <c r="D431">
        <v>3190454427981</v>
      </c>
      <c r="E431" t="s">
        <v>53</v>
      </c>
      <c r="F431" t="s">
        <v>597</v>
      </c>
      <c r="G431" t="s">
        <v>598</v>
      </c>
      <c r="H431" t="s">
        <v>599</v>
      </c>
      <c r="I431" t="s">
        <v>661</v>
      </c>
      <c r="J431" t="s">
        <v>661</v>
      </c>
      <c r="K431" t="s">
        <v>662</v>
      </c>
      <c r="L431" t="s">
        <v>698</v>
      </c>
      <c r="M431" t="s">
        <v>699</v>
      </c>
      <c r="N431" t="s">
        <v>964</v>
      </c>
      <c r="P431" t="s">
        <v>603</v>
      </c>
      <c r="Q431" t="s">
        <v>648</v>
      </c>
      <c r="R431" t="s">
        <v>980</v>
      </c>
      <c r="S431">
        <v>20181008</v>
      </c>
      <c r="T431" t="s">
        <v>729</v>
      </c>
      <c r="V431">
        <v>0</v>
      </c>
      <c r="W431">
        <v>0</v>
      </c>
      <c r="X431">
        <v>5</v>
      </c>
      <c r="Y431">
        <v>68659</v>
      </c>
      <c r="AA431" t="s">
        <v>605</v>
      </c>
      <c r="AB431">
        <v>20190220</v>
      </c>
      <c r="AE431">
        <f t="shared" si="6"/>
        <v>0</v>
      </c>
      <c r="AF431">
        <v>0</v>
      </c>
      <c r="AG431">
        <v>0</v>
      </c>
      <c r="AH431">
        <v>0</v>
      </c>
      <c r="AI431" s="12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</row>
    <row r="432" spans="1:41">
      <c r="A432">
        <v>201903</v>
      </c>
      <c r="B432">
        <v>25</v>
      </c>
      <c r="C432" t="s">
        <v>526</v>
      </c>
      <c r="D432">
        <v>3190455055351</v>
      </c>
      <c r="E432" t="s">
        <v>53</v>
      </c>
      <c r="F432" t="s">
        <v>597</v>
      </c>
      <c r="G432" t="s">
        <v>598</v>
      </c>
      <c r="H432" t="s">
        <v>599</v>
      </c>
      <c r="I432" t="s">
        <v>1168</v>
      </c>
      <c r="L432" t="s">
        <v>675</v>
      </c>
      <c r="M432" t="s">
        <v>676</v>
      </c>
      <c r="N432" t="s">
        <v>988</v>
      </c>
      <c r="P432" t="s">
        <v>603</v>
      </c>
      <c r="Q432" t="s">
        <v>648</v>
      </c>
      <c r="R432" t="s">
        <v>989</v>
      </c>
      <c r="S432">
        <v>20181008</v>
      </c>
      <c r="T432" t="s">
        <v>1015</v>
      </c>
      <c r="V432">
        <v>0</v>
      </c>
      <c r="W432">
        <v>0</v>
      </c>
      <c r="X432">
        <v>5</v>
      </c>
      <c r="Y432">
        <v>25000</v>
      </c>
      <c r="AA432" t="s">
        <v>605</v>
      </c>
      <c r="AB432">
        <v>20190208</v>
      </c>
      <c r="AE432">
        <f t="shared" si="6"/>
        <v>0</v>
      </c>
      <c r="AF432">
        <v>0</v>
      </c>
      <c r="AG432">
        <v>0</v>
      </c>
      <c r="AH432">
        <v>0</v>
      </c>
      <c r="AI432" s="121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</row>
    <row r="433" spans="1:41">
      <c r="A433">
        <v>201903</v>
      </c>
      <c r="B433">
        <v>25</v>
      </c>
      <c r="C433" t="s">
        <v>526</v>
      </c>
      <c r="D433">
        <v>3190456193451</v>
      </c>
      <c r="E433" t="s">
        <v>53</v>
      </c>
      <c r="F433" t="s">
        <v>597</v>
      </c>
      <c r="G433" t="s">
        <v>598</v>
      </c>
      <c r="H433" t="s">
        <v>599</v>
      </c>
      <c r="I433" t="s">
        <v>661</v>
      </c>
      <c r="J433" t="s">
        <v>661</v>
      </c>
      <c r="K433" t="s">
        <v>662</v>
      </c>
      <c r="L433" t="s">
        <v>679</v>
      </c>
      <c r="M433" t="s">
        <v>680</v>
      </c>
      <c r="N433" t="s">
        <v>974</v>
      </c>
      <c r="P433" t="s">
        <v>603</v>
      </c>
      <c r="Q433" t="s">
        <v>648</v>
      </c>
      <c r="R433" t="s">
        <v>1029</v>
      </c>
      <c r="S433">
        <v>20181012</v>
      </c>
      <c r="T433" t="s">
        <v>824</v>
      </c>
      <c r="X433">
        <v>5</v>
      </c>
      <c r="Y433">
        <v>50000</v>
      </c>
      <c r="AA433" t="s">
        <v>605</v>
      </c>
      <c r="AB433">
        <v>20190225</v>
      </c>
      <c r="AE433">
        <f t="shared" si="6"/>
        <v>0</v>
      </c>
      <c r="AF433">
        <v>0</v>
      </c>
      <c r="AG433">
        <v>0</v>
      </c>
      <c r="AH433">
        <v>0</v>
      </c>
      <c r="AI433" s="121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</row>
    <row r="434" spans="1:41">
      <c r="A434">
        <v>201903</v>
      </c>
      <c r="B434">
        <v>25</v>
      </c>
      <c r="C434" t="s">
        <v>526</v>
      </c>
      <c r="D434">
        <v>3190456491141</v>
      </c>
      <c r="E434" t="s">
        <v>53</v>
      </c>
      <c r="F434" t="s">
        <v>597</v>
      </c>
      <c r="G434" t="s">
        <v>598</v>
      </c>
      <c r="H434" t="s">
        <v>599</v>
      </c>
      <c r="I434" t="s">
        <v>756</v>
      </c>
      <c r="J434" t="s">
        <v>756</v>
      </c>
      <c r="K434" t="s">
        <v>1169</v>
      </c>
      <c r="L434" t="s">
        <v>760</v>
      </c>
      <c r="M434" t="s">
        <v>761</v>
      </c>
      <c r="N434" t="s">
        <v>1235</v>
      </c>
      <c r="P434" t="s">
        <v>603</v>
      </c>
      <c r="Q434" t="s">
        <v>648</v>
      </c>
      <c r="R434" t="s">
        <v>996</v>
      </c>
      <c r="S434">
        <v>20181017</v>
      </c>
      <c r="T434" t="s">
        <v>854</v>
      </c>
      <c r="X434">
        <v>5</v>
      </c>
      <c r="Y434">
        <v>53500</v>
      </c>
      <c r="AA434" t="s">
        <v>605</v>
      </c>
      <c r="AB434">
        <v>20190211</v>
      </c>
      <c r="AE434">
        <f t="shared" si="6"/>
        <v>0</v>
      </c>
      <c r="AF434">
        <v>0</v>
      </c>
      <c r="AG434">
        <v>0</v>
      </c>
      <c r="AH434">
        <v>0</v>
      </c>
      <c r="AI434" s="121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</row>
    <row r="435" spans="1:41">
      <c r="A435">
        <v>201903</v>
      </c>
      <c r="B435">
        <v>25</v>
      </c>
      <c r="C435" t="s">
        <v>526</v>
      </c>
      <c r="D435">
        <v>3190456529361</v>
      </c>
      <c r="E435" t="s">
        <v>53</v>
      </c>
      <c r="F435" t="s">
        <v>597</v>
      </c>
      <c r="G435" t="s">
        <v>598</v>
      </c>
      <c r="H435" t="s">
        <v>599</v>
      </c>
      <c r="I435" t="s">
        <v>661</v>
      </c>
      <c r="J435" t="s">
        <v>661</v>
      </c>
      <c r="K435" t="s">
        <v>662</v>
      </c>
      <c r="L435" t="s">
        <v>698</v>
      </c>
      <c r="M435" t="s">
        <v>699</v>
      </c>
      <c r="N435" t="s">
        <v>964</v>
      </c>
      <c r="P435" t="s">
        <v>603</v>
      </c>
      <c r="Q435" t="s">
        <v>648</v>
      </c>
      <c r="R435" t="s">
        <v>980</v>
      </c>
      <c r="S435">
        <v>20181015</v>
      </c>
      <c r="T435" t="s">
        <v>1030</v>
      </c>
      <c r="X435">
        <v>5</v>
      </c>
      <c r="Y435">
        <v>36942</v>
      </c>
      <c r="AA435" t="s">
        <v>605</v>
      </c>
      <c r="AB435">
        <v>20190225</v>
      </c>
      <c r="AE435">
        <f t="shared" si="6"/>
        <v>0</v>
      </c>
      <c r="AF435">
        <v>0</v>
      </c>
      <c r="AG435">
        <v>0</v>
      </c>
      <c r="AH435">
        <v>0</v>
      </c>
      <c r="AI435" s="121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</row>
    <row r="436" spans="1:41">
      <c r="A436">
        <v>201903</v>
      </c>
      <c r="B436">
        <v>25</v>
      </c>
      <c r="C436" t="s">
        <v>526</v>
      </c>
      <c r="D436">
        <v>3190457345811</v>
      </c>
      <c r="E436" t="s">
        <v>53</v>
      </c>
      <c r="F436" t="s">
        <v>597</v>
      </c>
      <c r="G436" t="s">
        <v>598</v>
      </c>
      <c r="H436" t="s">
        <v>599</v>
      </c>
      <c r="I436" t="s">
        <v>674</v>
      </c>
      <c r="L436" t="s">
        <v>705</v>
      </c>
      <c r="M436" t="s">
        <v>706</v>
      </c>
      <c r="N436" t="s">
        <v>966</v>
      </c>
      <c r="P436" t="s">
        <v>603</v>
      </c>
      <c r="Q436" t="s">
        <v>568</v>
      </c>
      <c r="R436" t="s">
        <v>983</v>
      </c>
      <c r="S436">
        <v>20181019</v>
      </c>
      <c r="T436" t="s">
        <v>857</v>
      </c>
      <c r="X436">
        <v>5</v>
      </c>
      <c r="Y436">
        <v>8309</v>
      </c>
      <c r="AA436" t="s">
        <v>605</v>
      </c>
      <c r="AB436">
        <v>20190225</v>
      </c>
      <c r="AE436">
        <f t="shared" si="6"/>
        <v>0</v>
      </c>
      <c r="AF436">
        <v>0</v>
      </c>
      <c r="AG436">
        <v>0</v>
      </c>
      <c r="AH436">
        <v>0</v>
      </c>
      <c r="AI436" s="121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</row>
    <row r="437" spans="1:41">
      <c r="A437">
        <v>201903</v>
      </c>
      <c r="B437">
        <v>25</v>
      </c>
      <c r="C437" t="s">
        <v>526</v>
      </c>
      <c r="D437">
        <v>3190457644551</v>
      </c>
      <c r="E437" t="s">
        <v>53</v>
      </c>
      <c r="F437" t="s">
        <v>597</v>
      </c>
      <c r="G437" t="s">
        <v>598</v>
      </c>
      <c r="H437" t="s">
        <v>599</v>
      </c>
      <c r="I437" t="s">
        <v>661</v>
      </c>
      <c r="L437" t="s">
        <v>669</v>
      </c>
      <c r="M437" t="s">
        <v>670</v>
      </c>
      <c r="N437" t="s">
        <v>949</v>
      </c>
      <c r="P437" t="s">
        <v>603</v>
      </c>
      <c r="Q437" t="s">
        <v>648</v>
      </c>
      <c r="R437" t="s">
        <v>1228</v>
      </c>
      <c r="S437">
        <v>20181018</v>
      </c>
      <c r="T437" t="s">
        <v>724</v>
      </c>
      <c r="V437">
        <v>0</v>
      </c>
      <c r="W437">
        <v>0</v>
      </c>
      <c r="X437">
        <v>5</v>
      </c>
      <c r="Y437">
        <v>37000</v>
      </c>
      <c r="AA437" t="s">
        <v>605</v>
      </c>
      <c r="AB437">
        <v>20190220</v>
      </c>
      <c r="AE437">
        <f t="shared" si="6"/>
        <v>0</v>
      </c>
      <c r="AF437">
        <v>0</v>
      </c>
      <c r="AG437">
        <v>0</v>
      </c>
      <c r="AH437">
        <v>0</v>
      </c>
      <c r="AI437" s="121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</row>
    <row r="438" spans="1:41">
      <c r="A438">
        <v>201903</v>
      </c>
      <c r="B438">
        <v>25</v>
      </c>
      <c r="C438" t="s">
        <v>526</v>
      </c>
      <c r="D438">
        <v>3190457758721</v>
      </c>
      <c r="E438" t="s">
        <v>53</v>
      </c>
      <c r="F438" t="s">
        <v>597</v>
      </c>
      <c r="G438" t="s">
        <v>598</v>
      </c>
      <c r="H438" t="s">
        <v>599</v>
      </c>
      <c r="I438" t="s">
        <v>756</v>
      </c>
      <c r="J438" t="s">
        <v>756</v>
      </c>
      <c r="K438" t="s">
        <v>757</v>
      </c>
      <c r="L438" t="s">
        <v>762</v>
      </c>
      <c r="M438" t="s">
        <v>763</v>
      </c>
      <c r="N438" t="s">
        <v>1250</v>
      </c>
      <c r="P438" t="s">
        <v>603</v>
      </c>
      <c r="Q438" t="s">
        <v>648</v>
      </c>
      <c r="R438" t="s">
        <v>979</v>
      </c>
      <c r="S438">
        <v>20181024</v>
      </c>
      <c r="T438" t="s">
        <v>901</v>
      </c>
      <c r="X438">
        <v>5</v>
      </c>
      <c r="Y438">
        <v>40100</v>
      </c>
      <c r="AA438" t="s">
        <v>605</v>
      </c>
      <c r="AB438">
        <v>20190220</v>
      </c>
      <c r="AE438">
        <f t="shared" si="6"/>
        <v>0</v>
      </c>
      <c r="AF438">
        <v>0</v>
      </c>
      <c r="AG438">
        <v>0</v>
      </c>
      <c r="AH438">
        <v>0</v>
      </c>
      <c r="AI438" s="121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</row>
    <row r="439" spans="1:41">
      <c r="A439">
        <v>201903</v>
      </c>
      <c r="B439">
        <v>25</v>
      </c>
      <c r="C439" t="s">
        <v>526</v>
      </c>
      <c r="D439">
        <v>3190458191061</v>
      </c>
      <c r="E439" t="s">
        <v>53</v>
      </c>
      <c r="F439" t="s">
        <v>597</v>
      </c>
      <c r="G439" t="s">
        <v>598</v>
      </c>
      <c r="H439" t="s">
        <v>599</v>
      </c>
      <c r="I439" t="s">
        <v>606</v>
      </c>
      <c r="J439" t="s">
        <v>606</v>
      </c>
      <c r="K439" t="s">
        <v>607</v>
      </c>
      <c r="L439" t="s">
        <v>625</v>
      </c>
      <c r="M439" t="s">
        <v>626</v>
      </c>
      <c r="N439" t="s">
        <v>941</v>
      </c>
      <c r="P439" t="s">
        <v>603</v>
      </c>
      <c r="Q439" t="s">
        <v>648</v>
      </c>
      <c r="R439" t="s">
        <v>1228</v>
      </c>
      <c r="S439">
        <v>20181019</v>
      </c>
      <c r="T439" t="s">
        <v>982</v>
      </c>
      <c r="X439">
        <v>5</v>
      </c>
      <c r="Y439">
        <v>35000</v>
      </c>
      <c r="AA439" t="s">
        <v>605</v>
      </c>
      <c r="AB439">
        <v>20190225</v>
      </c>
      <c r="AE439">
        <f t="shared" si="6"/>
        <v>0</v>
      </c>
      <c r="AF439">
        <v>0</v>
      </c>
      <c r="AG439">
        <v>0</v>
      </c>
      <c r="AH439">
        <v>0</v>
      </c>
      <c r="AI439" s="121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</row>
    <row r="440" spans="1:41">
      <c r="A440">
        <v>201903</v>
      </c>
      <c r="B440">
        <v>25</v>
      </c>
      <c r="C440" t="s">
        <v>526</v>
      </c>
      <c r="D440">
        <v>3190458644351</v>
      </c>
      <c r="E440" t="s">
        <v>53</v>
      </c>
      <c r="F440" t="s">
        <v>597</v>
      </c>
      <c r="G440" t="s">
        <v>598</v>
      </c>
      <c r="H440" t="s">
        <v>599</v>
      </c>
      <c r="I440" t="s">
        <v>674</v>
      </c>
      <c r="L440" t="s">
        <v>705</v>
      </c>
      <c r="M440" t="s">
        <v>706</v>
      </c>
      <c r="N440" t="s">
        <v>966</v>
      </c>
      <c r="P440" t="s">
        <v>603</v>
      </c>
      <c r="Q440" t="s">
        <v>648</v>
      </c>
      <c r="R440" t="s">
        <v>980</v>
      </c>
      <c r="S440">
        <v>20181019</v>
      </c>
      <c r="T440" t="s">
        <v>857</v>
      </c>
      <c r="X440">
        <v>5</v>
      </c>
      <c r="Y440">
        <v>90658</v>
      </c>
      <c r="AA440" t="s">
        <v>605</v>
      </c>
      <c r="AB440">
        <v>20190225</v>
      </c>
      <c r="AE440">
        <f t="shared" si="6"/>
        <v>0</v>
      </c>
      <c r="AF440">
        <v>0</v>
      </c>
      <c r="AG440">
        <v>0</v>
      </c>
      <c r="AH440">
        <v>0</v>
      </c>
      <c r="AI440" s="121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</row>
    <row r="441" spans="1:41">
      <c r="A441">
        <v>201903</v>
      </c>
      <c r="B441">
        <v>25</v>
      </c>
      <c r="C441" t="s">
        <v>526</v>
      </c>
      <c r="D441">
        <v>3190458791351</v>
      </c>
      <c r="E441" t="s">
        <v>53</v>
      </c>
      <c r="F441" t="s">
        <v>597</v>
      </c>
      <c r="G441" t="s">
        <v>598</v>
      </c>
      <c r="H441" t="s">
        <v>599</v>
      </c>
      <c r="I441" t="s">
        <v>702</v>
      </c>
      <c r="L441" t="s">
        <v>515</v>
      </c>
      <c r="M441" t="s">
        <v>514</v>
      </c>
      <c r="N441" t="s">
        <v>935</v>
      </c>
      <c r="P441" t="s">
        <v>603</v>
      </c>
      <c r="Q441" t="s">
        <v>648</v>
      </c>
      <c r="R441" t="s">
        <v>1228</v>
      </c>
      <c r="S441">
        <v>20181022</v>
      </c>
      <c r="T441" t="s">
        <v>990</v>
      </c>
      <c r="X441">
        <v>5</v>
      </c>
      <c r="Y441">
        <v>34000</v>
      </c>
      <c r="AA441" t="s">
        <v>605</v>
      </c>
      <c r="AB441">
        <v>20190207</v>
      </c>
      <c r="AE441">
        <f t="shared" si="6"/>
        <v>0</v>
      </c>
      <c r="AF441">
        <v>0</v>
      </c>
      <c r="AG441">
        <v>0</v>
      </c>
      <c r="AH441">
        <v>0</v>
      </c>
      <c r="AI441" s="12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</row>
    <row r="442" spans="1:41">
      <c r="A442">
        <v>201903</v>
      </c>
      <c r="B442">
        <v>25</v>
      </c>
      <c r="C442" t="s">
        <v>526</v>
      </c>
      <c r="D442">
        <v>3190064482441</v>
      </c>
      <c r="E442" t="s">
        <v>53</v>
      </c>
      <c r="F442" t="s">
        <v>597</v>
      </c>
      <c r="G442" t="s">
        <v>598</v>
      </c>
      <c r="H442" t="s">
        <v>599</v>
      </c>
      <c r="I442" t="s">
        <v>661</v>
      </c>
      <c r="L442" t="s">
        <v>669</v>
      </c>
      <c r="M442" t="s">
        <v>670</v>
      </c>
      <c r="N442" t="s">
        <v>949</v>
      </c>
      <c r="P442" t="s">
        <v>603</v>
      </c>
      <c r="Q442" t="s">
        <v>648</v>
      </c>
      <c r="R442" t="s">
        <v>1039</v>
      </c>
      <c r="S442">
        <v>20170131</v>
      </c>
      <c r="T442" t="s">
        <v>1061</v>
      </c>
      <c r="X442">
        <v>26</v>
      </c>
      <c r="Y442">
        <v>150000</v>
      </c>
      <c r="AA442" t="s">
        <v>605</v>
      </c>
      <c r="AB442">
        <v>20190225</v>
      </c>
      <c r="AE442">
        <f t="shared" si="6"/>
        <v>0</v>
      </c>
      <c r="AF442">
        <v>0</v>
      </c>
      <c r="AG442">
        <v>0</v>
      </c>
      <c r="AH442">
        <v>0</v>
      </c>
      <c r="AI442" s="121">
        <v>1125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1125</v>
      </c>
    </row>
    <row r="443" spans="1:41">
      <c r="A443">
        <v>201903</v>
      </c>
      <c r="B443">
        <v>25</v>
      </c>
      <c r="C443" t="s">
        <v>526</v>
      </c>
      <c r="D443">
        <v>3190064487641</v>
      </c>
      <c r="E443" t="s">
        <v>53</v>
      </c>
      <c r="F443" t="s">
        <v>597</v>
      </c>
      <c r="G443" t="s">
        <v>598</v>
      </c>
      <c r="H443" t="s">
        <v>599</v>
      </c>
      <c r="I443" t="s">
        <v>719</v>
      </c>
      <c r="J443" t="s">
        <v>720</v>
      </c>
      <c r="K443" t="s">
        <v>728</v>
      </c>
      <c r="L443" t="s">
        <v>733</v>
      </c>
      <c r="M443" t="s">
        <v>715</v>
      </c>
      <c r="N443" t="s">
        <v>1255</v>
      </c>
      <c r="P443" t="s">
        <v>603</v>
      </c>
      <c r="Q443" t="s">
        <v>648</v>
      </c>
      <c r="R443" t="s">
        <v>1038</v>
      </c>
      <c r="S443">
        <v>20170131</v>
      </c>
      <c r="T443" t="s">
        <v>862</v>
      </c>
      <c r="X443">
        <v>26</v>
      </c>
      <c r="Y443">
        <v>35000</v>
      </c>
      <c r="AA443" t="s">
        <v>605</v>
      </c>
      <c r="AB443">
        <v>20190220</v>
      </c>
      <c r="AE443">
        <f t="shared" si="6"/>
        <v>0</v>
      </c>
      <c r="AF443">
        <v>0</v>
      </c>
      <c r="AG443">
        <v>0</v>
      </c>
      <c r="AH443">
        <v>0</v>
      </c>
      <c r="AI443" s="121">
        <v>175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175</v>
      </c>
    </row>
    <row r="444" spans="1:41">
      <c r="A444">
        <v>201903</v>
      </c>
      <c r="B444">
        <v>25</v>
      </c>
      <c r="C444" t="s">
        <v>526</v>
      </c>
      <c r="D444">
        <v>3190064636961</v>
      </c>
      <c r="E444" t="s">
        <v>53</v>
      </c>
      <c r="F444" t="s">
        <v>597</v>
      </c>
      <c r="G444" t="s">
        <v>598</v>
      </c>
      <c r="H444" t="s">
        <v>599</v>
      </c>
      <c r="I444" t="s">
        <v>661</v>
      </c>
      <c r="J444" t="s">
        <v>661</v>
      </c>
      <c r="K444" t="s">
        <v>662</v>
      </c>
      <c r="L444" t="s">
        <v>665</v>
      </c>
      <c r="M444" t="s">
        <v>666</v>
      </c>
      <c r="N444" t="s">
        <v>1000</v>
      </c>
      <c r="P444" t="s">
        <v>603</v>
      </c>
      <c r="Q444" t="s">
        <v>648</v>
      </c>
      <c r="R444" t="s">
        <v>1038</v>
      </c>
      <c r="S444">
        <v>20170201</v>
      </c>
      <c r="T444" t="s">
        <v>1065</v>
      </c>
      <c r="X444">
        <v>25</v>
      </c>
      <c r="Y444">
        <v>33000</v>
      </c>
      <c r="AA444" t="s">
        <v>605</v>
      </c>
      <c r="AB444">
        <v>20190227</v>
      </c>
      <c r="AE444">
        <f t="shared" si="6"/>
        <v>0</v>
      </c>
      <c r="AF444">
        <v>0</v>
      </c>
      <c r="AG444">
        <v>0</v>
      </c>
      <c r="AH444">
        <v>0</v>
      </c>
      <c r="AI444" s="121">
        <v>165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165</v>
      </c>
    </row>
    <row r="445" spans="1:41">
      <c r="A445">
        <v>201903</v>
      </c>
      <c r="B445">
        <v>25</v>
      </c>
      <c r="C445" t="s">
        <v>526</v>
      </c>
      <c r="D445">
        <v>3190067458471</v>
      </c>
      <c r="E445" t="s">
        <v>53</v>
      </c>
      <c r="F445" t="s">
        <v>597</v>
      </c>
      <c r="G445" t="s">
        <v>598</v>
      </c>
      <c r="H445" t="s">
        <v>599</v>
      </c>
      <c r="I445" t="s">
        <v>1167</v>
      </c>
      <c r="J445" t="s">
        <v>734</v>
      </c>
      <c r="K445" t="s">
        <v>735</v>
      </c>
      <c r="L445" t="s">
        <v>736</v>
      </c>
      <c r="M445" t="s">
        <v>737</v>
      </c>
      <c r="N445" t="s">
        <v>1052</v>
      </c>
      <c r="P445" t="s">
        <v>603</v>
      </c>
      <c r="Q445" t="s">
        <v>648</v>
      </c>
      <c r="R445" t="s">
        <v>1039</v>
      </c>
      <c r="S445">
        <v>20170224</v>
      </c>
      <c r="T445" t="s">
        <v>1089</v>
      </c>
      <c r="X445">
        <v>25</v>
      </c>
      <c r="Y445">
        <v>50300</v>
      </c>
      <c r="AA445" t="s">
        <v>605</v>
      </c>
      <c r="AB445">
        <v>20190211</v>
      </c>
      <c r="AE445">
        <f t="shared" si="6"/>
        <v>0</v>
      </c>
      <c r="AF445">
        <v>0</v>
      </c>
      <c r="AG445">
        <v>0</v>
      </c>
      <c r="AH445">
        <v>0</v>
      </c>
      <c r="AI445" s="121">
        <v>377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377</v>
      </c>
    </row>
    <row r="446" spans="1:41">
      <c r="A446">
        <v>201903</v>
      </c>
      <c r="B446">
        <v>25</v>
      </c>
      <c r="C446" t="s">
        <v>526</v>
      </c>
      <c r="D446">
        <v>3190068937681</v>
      </c>
      <c r="E446" t="s">
        <v>53</v>
      </c>
      <c r="F446" t="s">
        <v>597</v>
      </c>
      <c r="G446" t="s">
        <v>598</v>
      </c>
      <c r="H446" t="s">
        <v>599</v>
      </c>
      <c r="I446" t="s">
        <v>661</v>
      </c>
      <c r="L446" t="s">
        <v>669</v>
      </c>
      <c r="M446" t="s">
        <v>670</v>
      </c>
      <c r="N446" t="s">
        <v>949</v>
      </c>
      <c r="P446" t="s">
        <v>603</v>
      </c>
      <c r="Q446" t="s">
        <v>648</v>
      </c>
      <c r="R446" t="s">
        <v>1039</v>
      </c>
      <c r="S446">
        <v>20170228</v>
      </c>
      <c r="T446" t="s">
        <v>827</v>
      </c>
      <c r="X446">
        <v>23</v>
      </c>
      <c r="Y446">
        <v>63415</v>
      </c>
      <c r="AA446" t="s">
        <v>605</v>
      </c>
      <c r="AB446">
        <v>20190226</v>
      </c>
      <c r="AE446">
        <f t="shared" si="6"/>
        <v>0</v>
      </c>
      <c r="AF446">
        <v>0</v>
      </c>
      <c r="AG446">
        <v>0</v>
      </c>
      <c r="AH446">
        <v>0</v>
      </c>
      <c r="AI446" s="121">
        <v>475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475</v>
      </c>
    </row>
    <row r="447" spans="1:41">
      <c r="A447">
        <v>201903</v>
      </c>
      <c r="B447">
        <v>25</v>
      </c>
      <c r="C447" t="s">
        <v>526</v>
      </c>
      <c r="D447">
        <v>3190070392101</v>
      </c>
      <c r="E447" t="s">
        <v>53</v>
      </c>
      <c r="F447" t="s">
        <v>597</v>
      </c>
      <c r="G447" t="s">
        <v>598</v>
      </c>
      <c r="H447" t="s">
        <v>599</v>
      </c>
      <c r="I447" t="s">
        <v>661</v>
      </c>
      <c r="L447" t="s">
        <v>669</v>
      </c>
      <c r="M447" t="s">
        <v>670</v>
      </c>
      <c r="N447" t="s">
        <v>949</v>
      </c>
      <c r="P447" t="s">
        <v>603</v>
      </c>
      <c r="Q447" t="s">
        <v>648</v>
      </c>
      <c r="R447" t="s">
        <v>1039</v>
      </c>
      <c r="S447">
        <v>20170309</v>
      </c>
      <c r="T447" t="s">
        <v>1125</v>
      </c>
      <c r="X447">
        <v>24</v>
      </c>
      <c r="Y447">
        <v>61753</v>
      </c>
      <c r="AA447" t="s">
        <v>605</v>
      </c>
      <c r="AB447">
        <v>20190220</v>
      </c>
      <c r="AE447">
        <f t="shared" si="6"/>
        <v>0</v>
      </c>
      <c r="AF447">
        <v>0</v>
      </c>
      <c r="AG447">
        <v>0</v>
      </c>
      <c r="AH447">
        <v>0</v>
      </c>
      <c r="AI447" s="121">
        <v>441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441</v>
      </c>
    </row>
    <row r="448" spans="1:41">
      <c r="A448">
        <v>201903</v>
      </c>
      <c r="B448">
        <v>25</v>
      </c>
      <c r="C448" t="s">
        <v>526</v>
      </c>
      <c r="D448">
        <v>3190070392541</v>
      </c>
      <c r="E448" t="s">
        <v>53</v>
      </c>
      <c r="F448" t="s">
        <v>597</v>
      </c>
      <c r="G448" t="s">
        <v>598</v>
      </c>
      <c r="H448" t="s">
        <v>599</v>
      </c>
      <c r="I448" t="s">
        <v>661</v>
      </c>
      <c r="L448" t="s">
        <v>669</v>
      </c>
      <c r="M448" t="s">
        <v>670</v>
      </c>
      <c r="N448" t="s">
        <v>949</v>
      </c>
      <c r="P448" t="s">
        <v>603</v>
      </c>
      <c r="Q448" t="s">
        <v>568</v>
      </c>
      <c r="R448" t="s">
        <v>1124</v>
      </c>
      <c r="S448">
        <v>20170309</v>
      </c>
      <c r="T448" t="s">
        <v>1125</v>
      </c>
      <c r="X448">
        <v>24</v>
      </c>
      <c r="Y448">
        <v>9079</v>
      </c>
      <c r="AA448" t="s">
        <v>605</v>
      </c>
      <c r="AB448">
        <v>20190220</v>
      </c>
      <c r="AE448">
        <f t="shared" si="6"/>
        <v>0</v>
      </c>
      <c r="AF448">
        <v>0</v>
      </c>
      <c r="AG448">
        <v>0</v>
      </c>
      <c r="AH448">
        <v>0</v>
      </c>
      <c r="AI448" s="121">
        <v>46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46</v>
      </c>
    </row>
    <row r="449" spans="1:41">
      <c r="A449">
        <v>201903</v>
      </c>
      <c r="B449">
        <v>25</v>
      </c>
      <c r="C449" t="s">
        <v>526</v>
      </c>
      <c r="D449">
        <v>3190070393141</v>
      </c>
      <c r="E449" t="s">
        <v>53</v>
      </c>
      <c r="F449" t="s">
        <v>597</v>
      </c>
      <c r="G449" t="s">
        <v>598</v>
      </c>
      <c r="H449" t="s">
        <v>599</v>
      </c>
      <c r="I449" t="s">
        <v>661</v>
      </c>
      <c r="L449" t="s">
        <v>669</v>
      </c>
      <c r="M449" t="s">
        <v>670</v>
      </c>
      <c r="N449" t="s">
        <v>949</v>
      </c>
      <c r="P449" t="s">
        <v>603</v>
      </c>
      <c r="Q449" t="s">
        <v>568</v>
      </c>
      <c r="R449" t="s">
        <v>1124</v>
      </c>
      <c r="S449">
        <v>20170309</v>
      </c>
      <c r="T449" t="s">
        <v>1125</v>
      </c>
      <c r="X449">
        <v>24</v>
      </c>
      <c r="Y449">
        <v>5913</v>
      </c>
      <c r="AA449" t="s">
        <v>605</v>
      </c>
      <c r="AB449">
        <v>20190220</v>
      </c>
      <c r="AE449">
        <f t="shared" si="6"/>
        <v>0</v>
      </c>
      <c r="AF449">
        <v>0</v>
      </c>
      <c r="AG449">
        <v>0</v>
      </c>
      <c r="AH449">
        <v>0</v>
      </c>
      <c r="AI449" s="121">
        <v>26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26</v>
      </c>
    </row>
    <row r="450" spans="1:41">
      <c r="A450">
        <v>201903</v>
      </c>
      <c r="B450">
        <v>25</v>
      </c>
      <c r="C450" t="s">
        <v>526</v>
      </c>
      <c r="D450">
        <v>3190070621331</v>
      </c>
      <c r="E450" t="s">
        <v>53</v>
      </c>
      <c r="F450" t="s">
        <v>597</v>
      </c>
      <c r="G450" t="s">
        <v>598</v>
      </c>
      <c r="H450" t="s">
        <v>599</v>
      </c>
      <c r="I450" t="s">
        <v>646</v>
      </c>
      <c r="J450" t="s">
        <v>646</v>
      </c>
      <c r="K450" t="s">
        <v>647</v>
      </c>
      <c r="L450" t="s">
        <v>655</v>
      </c>
      <c r="M450" t="s">
        <v>656</v>
      </c>
      <c r="N450" t="s">
        <v>1071</v>
      </c>
      <c r="P450" t="s">
        <v>603</v>
      </c>
      <c r="Q450" t="s">
        <v>648</v>
      </c>
      <c r="R450" t="s">
        <v>1039</v>
      </c>
      <c r="S450">
        <v>20170310</v>
      </c>
      <c r="T450" t="s">
        <v>1129</v>
      </c>
      <c r="X450">
        <v>24</v>
      </c>
      <c r="Y450">
        <v>50000</v>
      </c>
      <c r="AA450" t="s">
        <v>605</v>
      </c>
      <c r="AB450">
        <v>20190211</v>
      </c>
      <c r="AE450">
        <f t="shared" si="6"/>
        <v>0</v>
      </c>
      <c r="AF450">
        <v>0</v>
      </c>
      <c r="AG450">
        <v>0</v>
      </c>
      <c r="AH450">
        <v>0</v>
      </c>
      <c r="AI450" s="121">
        <v>375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375</v>
      </c>
    </row>
    <row r="451" spans="1:41">
      <c r="A451">
        <v>201903</v>
      </c>
      <c r="B451">
        <v>25</v>
      </c>
      <c r="C451" t="s">
        <v>526</v>
      </c>
      <c r="D451">
        <v>3190071029911</v>
      </c>
      <c r="E451" t="s">
        <v>53</v>
      </c>
      <c r="F451" t="s">
        <v>597</v>
      </c>
      <c r="G451" t="s">
        <v>598</v>
      </c>
      <c r="H451" t="s">
        <v>599</v>
      </c>
      <c r="I451" t="s">
        <v>661</v>
      </c>
      <c r="L451" t="s">
        <v>669</v>
      </c>
      <c r="M451" t="s">
        <v>670</v>
      </c>
      <c r="N451" t="s">
        <v>949</v>
      </c>
      <c r="P451" t="s">
        <v>603</v>
      </c>
      <c r="Q451" t="s">
        <v>648</v>
      </c>
      <c r="R451" t="s">
        <v>1039</v>
      </c>
      <c r="S451">
        <v>20170314</v>
      </c>
      <c r="T451" t="s">
        <v>1131</v>
      </c>
      <c r="X451">
        <v>22</v>
      </c>
      <c r="Y451">
        <v>49534</v>
      </c>
      <c r="AA451" t="s">
        <v>605</v>
      </c>
      <c r="AB451">
        <v>20190228</v>
      </c>
      <c r="AE451">
        <f t="shared" ref="AE451:AE514" si="7">AO451-AI451</f>
        <v>0</v>
      </c>
      <c r="AF451">
        <v>0</v>
      </c>
      <c r="AG451">
        <v>0</v>
      </c>
      <c r="AH451">
        <v>0</v>
      </c>
      <c r="AI451" s="121">
        <v>371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371</v>
      </c>
    </row>
    <row r="452" spans="1:41">
      <c r="A452">
        <v>201903</v>
      </c>
      <c r="B452">
        <v>25</v>
      </c>
      <c r="C452" t="s">
        <v>526</v>
      </c>
      <c r="D452">
        <v>3190072125961</v>
      </c>
      <c r="E452" t="s">
        <v>53</v>
      </c>
      <c r="F452" t="s">
        <v>597</v>
      </c>
      <c r="G452" t="s">
        <v>598</v>
      </c>
      <c r="H452" t="s">
        <v>599</v>
      </c>
      <c r="I452" t="s">
        <v>606</v>
      </c>
      <c r="J452" t="s">
        <v>606</v>
      </c>
      <c r="K452" t="s">
        <v>607</v>
      </c>
      <c r="L452" t="s">
        <v>643</v>
      </c>
      <c r="M452" t="s">
        <v>644</v>
      </c>
      <c r="N452" t="s">
        <v>947</v>
      </c>
      <c r="P452" t="s">
        <v>603</v>
      </c>
      <c r="Q452" t="s">
        <v>648</v>
      </c>
      <c r="R452" t="s">
        <v>1047</v>
      </c>
      <c r="S452">
        <v>20170327</v>
      </c>
      <c r="T452" t="s">
        <v>866</v>
      </c>
      <c r="X452">
        <v>24</v>
      </c>
      <c r="Y452">
        <v>20000</v>
      </c>
      <c r="AA452" t="s">
        <v>605</v>
      </c>
      <c r="AB452">
        <v>20190218</v>
      </c>
      <c r="AE452">
        <f t="shared" si="7"/>
        <v>0</v>
      </c>
      <c r="AF452">
        <v>0</v>
      </c>
      <c r="AG452">
        <v>0</v>
      </c>
      <c r="AH452">
        <v>0</v>
      </c>
      <c r="AI452" s="121">
        <v>100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100</v>
      </c>
    </row>
    <row r="453" spans="1:41">
      <c r="A453">
        <v>201903</v>
      </c>
      <c r="B453">
        <v>25</v>
      </c>
      <c r="C453" t="s">
        <v>526</v>
      </c>
      <c r="D453">
        <v>3190458943301</v>
      </c>
      <c r="E453" t="s">
        <v>53</v>
      </c>
      <c r="F453" t="s">
        <v>597</v>
      </c>
      <c r="G453" t="s">
        <v>598</v>
      </c>
      <c r="H453" t="s">
        <v>599</v>
      </c>
      <c r="I453" t="s">
        <v>661</v>
      </c>
      <c r="J453" t="s">
        <v>661</v>
      </c>
      <c r="K453" t="s">
        <v>662</v>
      </c>
      <c r="L453" t="s">
        <v>698</v>
      </c>
      <c r="M453" t="s">
        <v>699</v>
      </c>
      <c r="N453" t="s">
        <v>964</v>
      </c>
      <c r="P453" t="s">
        <v>603</v>
      </c>
      <c r="Q453" t="s">
        <v>648</v>
      </c>
      <c r="R453" t="s">
        <v>980</v>
      </c>
      <c r="S453">
        <v>20181022</v>
      </c>
      <c r="T453" t="s">
        <v>832</v>
      </c>
      <c r="X453">
        <v>5</v>
      </c>
      <c r="Y453">
        <v>21665</v>
      </c>
      <c r="AA453" t="s">
        <v>605</v>
      </c>
      <c r="AB453">
        <v>20190208</v>
      </c>
      <c r="AE453">
        <f t="shared" si="7"/>
        <v>0</v>
      </c>
      <c r="AF453">
        <v>0</v>
      </c>
      <c r="AG453">
        <v>0</v>
      </c>
      <c r="AH453">
        <v>0</v>
      </c>
      <c r="AI453" s="121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</row>
    <row r="454" spans="1:41">
      <c r="A454">
        <v>201903</v>
      </c>
      <c r="B454">
        <v>25</v>
      </c>
      <c r="C454" t="s">
        <v>526</v>
      </c>
      <c r="D454">
        <v>3190458966481</v>
      </c>
      <c r="E454" t="s">
        <v>53</v>
      </c>
      <c r="F454" t="s">
        <v>597</v>
      </c>
      <c r="G454" t="s">
        <v>598</v>
      </c>
      <c r="H454" t="s">
        <v>599</v>
      </c>
      <c r="I454" t="s">
        <v>661</v>
      </c>
      <c r="J454" t="s">
        <v>661</v>
      </c>
      <c r="K454" t="s">
        <v>662</v>
      </c>
      <c r="L454" t="s">
        <v>698</v>
      </c>
      <c r="M454" t="s">
        <v>699</v>
      </c>
      <c r="N454" t="s">
        <v>964</v>
      </c>
      <c r="P454" t="s">
        <v>603</v>
      </c>
      <c r="Q454" t="s">
        <v>648</v>
      </c>
      <c r="R454" t="s">
        <v>980</v>
      </c>
      <c r="S454">
        <v>20181023</v>
      </c>
      <c r="T454" t="s">
        <v>991</v>
      </c>
      <c r="X454">
        <v>5</v>
      </c>
      <c r="Y454">
        <v>90878</v>
      </c>
      <c r="AA454" t="s">
        <v>605</v>
      </c>
      <c r="AB454">
        <v>20190220</v>
      </c>
      <c r="AE454">
        <f t="shared" si="7"/>
        <v>0</v>
      </c>
      <c r="AF454">
        <v>0</v>
      </c>
      <c r="AG454">
        <v>0</v>
      </c>
      <c r="AH454">
        <v>0</v>
      </c>
      <c r="AI454" s="121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</row>
    <row r="455" spans="1:41">
      <c r="A455">
        <v>201903</v>
      </c>
      <c r="B455">
        <v>25</v>
      </c>
      <c r="C455" t="s">
        <v>526</v>
      </c>
      <c r="D455">
        <v>3190459095671</v>
      </c>
      <c r="E455" t="s">
        <v>53</v>
      </c>
      <c r="F455" t="s">
        <v>597</v>
      </c>
      <c r="G455" t="s">
        <v>598</v>
      </c>
      <c r="H455" t="s">
        <v>599</v>
      </c>
      <c r="I455" t="s">
        <v>661</v>
      </c>
      <c r="J455" t="s">
        <v>661</v>
      </c>
      <c r="K455" t="s">
        <v>662</v>
      </c>
      <c r="L455" t="s">
        <v>698</v>
      </c>
      <c r="M455" t="s">
        <v>699</v>
      </c>
      <c r="N455" t="s">
        <v>964</v>
      </c>
      <c r="P455" t="s">
        <v>603</v>
      </c>
      <c r="Q455" t="s">
        <v>648</v>
      </c>
      <c r="R455" t="s">
        <v>1228</v>
      </c>
      <c r="S455">
        <v>20181024</v>
      </c>
      <c r="T455" t="s">
        <v>681</v>
      </c>
      <c r="V455">
        <v>0</v>
      </c>
      <c r="W455">
        <v>0</v>
      </c>
      <c r="X455">
        <v>5</v>
      </c>
      <c r="Y455">
        <v>35000</v>
      </c>
      <c r="AA455" t="s">
        <v>605</v>
      </c>
      <c r="AB455">
        <v>20190208</v>
      </c>
      <c r="AE455">
        <f t="shared" si="7"/>
        <v>0</v>
      </c>
      <c r="AF455">
        <v>0</v>
      </c>
      <c r="AG455">
        <v>0</v>
      </c>
      <c r="AH455">
        <v>0</v>
      </c>
      <c r="AI455" s="121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</row>
    <row r="456" spans="1:41">
      <c r="A456">
        <v>201903</v>
      </c>
      <c r="B456">
        <v>25</v>
      </c>
      <c r="C456" t="s">
        <v>526</v>
      </c>
      <c r="D456">
        <v>3190459098741</v>
      </c>
      <c r="E456" t="s">
        <v>53</v>
      </c>
      <c r="F456" t="s">
        <v>597</v>
      </c>
      <c r="G456" t="s">
        <v>598</v>
      </c>
      <c r="H456" t="s">
        <v>599</v>
      </c>
      <c r="I456" t="s">
        <v>661</v>
      </c>
      <c r="J456" t="s">
        <v>661</v>
      </c>
      <c r="K456" t="s">
        <v>662</v>
      </c>
      <c r="L456" t="s">
        <v>698</v>
      </c>
      <c r="M456" t="s">
        <v>699</v>
      </c>
      <c r="N456" t="s">
        <v>964</v>
      </c>
      <c r="P456" t="s">
        <v>603</v>
      </c>
      <c r="Q456" t="s">
        <v>648</v>
      </c>
      <c r="R456" t="s">
        <v>1228</v>
      </c>
      <c r="S456">
        <v>20181024</v>
      </c>
      <c r="T456" t="s">
        <v>681</v>
      </c>
      <c r="V456">
        <v>0</v>
      </c>
      <c r="W456">
        <v>0</v>
      </c>
      <c r="X456">
        <v>5</v>
      </c>
      <c r="Y456">
        <v>79000</v>
      </c>
      <c r="AA456" t="s">
        <v>605</v>
      </c>
      <c r="AB456">
        <v>20190208</v>
      </c>
      <c r="AE456">
        <f t="shared" si="7"/>
        <v>0</v>
      </c>
      <c r="AF456">
        <v>0</v>
      </c>
      <c r="AG456">
        <v>0</v>
      </c>
      <c r="AH456">
        <v>0</v>
      </c>
      <c r="AI456" s="121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</row>
    <row r="457" spans="1:41">
      <c r="A457">
        <v>201903</v>
      </c>
      <c r="B457">
        <v>25</v>
      </c>
      <c r="C457" t="s">
        <v>526</v>
      </c>
      <c r="D457">
        <v>3190459151321</v>
      </c>
      <c r="E457" t="s">
        <v>53</v>
      </c>
      <c r="F457" t="s">
        <v>597</v>
      </c>
      <c r="G457" t="s">
        <v>598</v>
      </c>
      <c r="H457" t="s">
        <v>599</v>
      </c>
      <c r="I457" t="s">
        <v>702</v>
      </c>
      <c r="J457" t="s">
        <v>702</v>
      </c>
      <c r="K457" t="s">
        <v>703</v>
      </c>
      <c r="L457" t="s">
        <v>513</v>
      </c>
      <c r="M457" t="s">
        <v>512</v>
      </c>
      <c r="N457" t="s">
        <v>930</v>
      </c>
      <c r="P457" t="s">
        <v>603</v>
      </c>
      <c r="Q457" t="s">
        <v>648</v>
      </c>
      <c r="R457" t="s">
        <v>989</v>
      </c>
      <c r="S457">
        <v>20181023</v>
      </c>
      <c r="T457" t="s">
        <v>994</v>
      </c>
      <c r="X457">
        <v>5</v>
      </c>
      <c r="Y457">
        <v>30000</v>
      </c>
      <c r="AA457" t="s">
        <v>605</v>
      </c>
      <c r="AB457">
        <v>20190220</v>
      </c>
      <c r="AE457">
        <f t="shared" si="7"/>
        <v>0</v>
      </c>
      <c r="AF457">
        <v>0</v>
      </c>
      <c r="AG457">
        <v>0</v>
      </c>
      <c r="AH457">
        <v>0</v>
      </c>
      <c r="AI457" s="121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</row>
    <row r="458" spans="1:41">
      <c r="A458">
        <v>201903</v>
      </c>
      <c r="B458">
        <v>25</v>
      </c>
      <c r="C458" t="s">
        <v>526</v>
      </c>
      <c r="D458">
        <v>3190459533711</v>
      </c>
      <c r="E458" t="s">
        <v>53</v>
      </c>
      <c r="F458" t="s">
        <v>597</v>
      </c>
      <c r="G458" t="s">
        <v>598</v>
      </c>
      <c r="H458" t="s">
        <v>599</v>
      </c>
      <c r="I458" t="s">
        <v>661</v>
      </c>
      <c r="J458" t="s">
        <v>661</v>
      </c>
      <c r="K458" t="s">
        <v>662</v>
      </c>
      <c r="L458" t="s">
        <v>679</v>
      </c>
      <c r="M458" t="s">
        <v>680</v>
      </c>
      <c r="N458" t="s">
        <v>974</v>
      </c>
      <c r="P458" t="s">
        <v>603</v>
      </c>
      <c r="Q458" t="s">
        <v>568</v>
      </c>
      <c r="R458" t="s">
        <v>983</v>
      </c>
      <c r="S458">
        <v>20181025</v>
      </c>
      <c r="T458" t="s">
        <v>824</v>
      </c>
      <c r="X458">
        <v>5</v>
      </c>
      <c r="Y458">
        <v>25409</v>
      </c>
      <c r="AA458" t="s">
        <v>605</v>
      </c>
      <c r="AB458">
        <v>20190225</v>
      </c>
      <c r="AE458">
        <f t="shared" si="7"/>
        <v>0</v>
      </c>
      <c r="AF458">
        <v>0</v>
      </c>
      <c r="AG458">
        <v>0</v>
      </c>
      <c r="AH458">
        <v>0</v>
      </c>
      <c r="AI458" s="121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</row>
    <row r="459" spans="1:41">
      <c r="A459">
        <v>201903</v>
      </c>
      <c r="B459">
        <v>25</v>
      </c>
      <c r="C459" t="s">
        <v>526</v>
      </c>
      <c r="D459">
        <v>3190460266551</v>
      </c>
      <c r="E459" t="s">
        <v>53</v>
      </c>
      <c r="F459" t="s">
        <v>597</v>
      </c>
      <c r="G459" t="s">
        <v>598</v>
      </c>
      <c r="H459" t="s">
        <v>599</v>
      </c>
      <c r="I459" t="s">
        <v>661</v>
      </c>
      <c r="J459" t="s">
        <v>661</v>
      </c>
      <c r="K459" t="s">
        <v>662</v>
      </c>
      <c r="L459" t="s">
        <v>679</v>
      </c>
      <c r="M459" t="s">
        <v>680</v>
      </c>
      <c r="N459" t="s">
        <v>974</v>
      </c>
      <c r="P459" t="s">
        <v>603</v>
      </c>
      <c r="Q459" t="s">
        <v>648</v>
      </c>
      <c r="R459" t="s">
        <v>980</v>
      </c>
      <c r="S459">
        <v>20181025</v>
      </c>
      <c r="T459" t="s">
        <v>824</v>
      </c>
      <c r="X459">
        <v>5</v>
      </c>
      <c r="Y459">
        <v>55525</v>
      </c>
      <c r="AA459" t="s">
        <v>605</v>
      </c>
      <c r="AB459">
        <v>20190225</v>
      </c>
      <c r="AE459">
        <f t="shared" si="7"/>
        <v>0</v>
      </c>
      <c r="AF459">
        <v>0</v>
      </c>
      <c r="AG459">
        <v>0</v>
      </c>
      <c r="AH459">
        <v>0</v>
      </c>
      <c r="AI459" s="121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</row>
    <row r="460" spans="1:41">
      <c r="A460">
        <v>201903</v>
      </c>
      <c r="B460">
        <v>25</v>
      </c>
      <c r="C460" t="s">
        <v>526</v>
      </c>
      <c r="D460">
        <v>3190460570521</v>
      </c>
      <c r="E460" t="s">
        <v>53</v>
      </c>
      <c r="F460" t="s">
        <v>597</v>
      </c>
      <c r="G460" t="s">
        <v>598</v>
      </c>
      <c r="H460" t="s">
        <v>599</v>
      </c>
      <c r="I460" t="s">
        <v>606</v>
      </c>
      <c r="J460" t="s">
        <v>606</v>
      </c>
      <c r="K460" t="s">
        <v>607</v>
      </c>
      <c r="L460" t="s">
        <v>639</v>
      </c>
      <c r="M460" t="s">
        <v>640</v>
      </c>
      <c r="N460" t="s">
        <v>1007</v>
      </c>
      <c r="P460" t="s">
        <v>603</v>
      </c>
      <c r="Q460" t="s">
        <v>648</v>
      </c>
      <c r="R460" t="s">
        <v>1228</v>
      </c>
      <c r="S460">
        <v>20181025</v>
      </c>
      <c r="T460" t="s">
        <v>813</v>
      </c>
      <c r="X460">
        <v>5</v>
      </c>
      <c r="Y460">
        <v>60000</v>
      </c>
      <c r="AA460" t="s">
        <v>605</v>
      </c>
      <c r="AB460">
        <v>20190225</v>
      </c>
      <c r="AE460">
        <f t="shared" si="7"/>
        <v>0</v>
      </c>
      <c r="AF460">
        <v>0</v>
      </c>
      <c r="AG460">
        <v>0</v>
      </c>
      <c r="AH460">
        <v>0</v>
      </c>
      <c r="AI460" s="121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</row>
    <row r="461" spans="1:41">
      <c r="A461">
        <v>201903</v>
      </c>
      <c r="B461">
        <v>25</v>
      </c>
      <c r="C461" t="s">
        <v>526</v>
      </c>
      <c r="D461">
        <v>3190461655921</v>
      </c>
      <c r="E461" t="s">
        <v>53</v>
      </c>
      <c r="F461" t="s">
        <v>597</v>
      </c>
      <c r="G461" t="s">
        <v>598</v>
      </c>
      <c r="H461" t="s">
        <v>599</v>
      </c>
      <c r="I461" t="s">
        <v>661</v>
      </c>
      <c r="L461" t="s">
        <v>669</v>
      </c>
      <c r="M461" t="s">
        <v>670</v>
      </c>
      <c r="N461" t="s">
        <v>949</v>
      </c>
      <c r="P461" t="s">
        <v>603</v>
      </c>
      <c r="Q461" t="s">
        <v>648</v>
      </c>
      <c r="R461" t="s">
        <v>980</v>
      </c>
      <c r="S461">
        <v>20181031</v>
      </c>
      <c r="T461" t="s">
        <v>950</v>
      </c>
      <c r="X461">
        <v>5</v>
      </c>
      <c r="Y461">
        <v>31017</v>
      </c>
      <c r="AA461" t="s">
        <v>605</v>
      </c>
      <c r="AB461">
        <v>20190220</v>
      </c>
      <c r="AE461">
        <f t="shared" si="7"/>
        <v>0</v>
      </c>
      <c r="AF461">
        <v>0</v>
      </c>
      <c r="AG461">
        <v>0</v>
      </c>
      <c r="AH461">
        <v>0</v>
      </c>
      <c r="AI461" s="12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</row>
    <row r="462" spans="1:41">
      <c r="A462">
        <v>201903</v>
      </c>
      <c r="B462">
        <v>25</v>
      </c>
      <c r="C462" t="s">
        <v>526</v>
      </c>
      <c r="D462">
        <v>3190462194511</v>
      </c>
      <c r="E462" t="s">
        <v>53</v>
      </c>
      <c r="F462" t="s">
        <v>597</v>
      </c>
      <c r="G462" t="s">
        <v>598</v>
      </c>
      <c r="H462" t="s">
        <v>599</v>
      </c>
      <c r="I462" t="s">
        <v>661</v>
      </c>
      <c r="J462" t="s">
        <v>661</v>
      </c>
      <c r="K462" t="s">
        <v>662</v>
      </c>
      <c r="L462" t="s">
        <v>698</v>
      </c>
      <c r="M462" t="s">
        <v>699</v>
      </c>
      <c r="N462" t="s">
        <v>964</v>
      </c>
      <c r="P462" t="s">
        <v>603</v>
      </c>
      <c r="Q462" t="s">
        <v>648</v>
      </c>
      <c r="R462" t="s">
        <v>1228</v>
      </c>
      <c r="S462">
        <v>20181031</v>
      </c>
      <c r="T462" t="s">
        <v>907</v>
      </c>
      <c r="X462">
        <v>5</v>
      </c>
      <c r="Y462">
        <v>61000</v>
      </c>
      <c r="AA462" t="s">
        <v>605</v>
      </c>
      <c r="AB462">
        <v>20190220</v>
      </c>
      <c r="AE462">
        <f t="shared" si="7"/>
        <v>0</v>
      </c>
      <c r="AF462">
        <v>0</v>
      </c>
      <c r="AG462">
        <v>0</v>
      </c>
      <c r="AH462">
        <v>0</v>
      </c>
      <c r="AI462" s="121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</row>
    <row r="463" spans="1:41">
      <c r="A463">
        <v>201903</v>
      </c>
      <c r="B463">
        <v>25</v>
      </c>
      <c r="C463" t="s">
        <v>526</v>
      </c>
      <c r="D463">
        <v>3190462205211</v>
      </c>
      <c r="E463" t="s">
        <v>53</v>
      </c>
      <c r="F463" t="s">
        <v>597</v>
      </c>
      <c r="G463" t="s">
        <v>598</v>
      </c>
      <c r="H463" t="s">
        <v>599</v>
      </c>
      <c r="I463" t="s">
        <v>661</v>
      </c>
      <c r="J463" t="s">
        <v>661</v>
      </c>
      <c r="K463" t="s">
        <v>662</v>
      </c>
      <c r="L463" t="s">
        <v>698</v>
      </c>
      <c r="M463" t="s">
        <v>699</v>
      </c>
      <c r="N463" t="s">
        <v>964</v>
      </c>
      <c r="P463" t="s">
        <v>603</v>
      </c>
      <c r="Q463" t="s">
        <v>648</v>
      </c>
      <c r="R463" t="s">
        <v>1228</v>
      </c>
      <c r="S463">
        <v>20181031</v>
      </c>
      <c r="T463" t="s">
        <v>907</v>
      </c>
      <c r="X463">
        <v>5</v>
      </c>
      <c r="Y463">
        <v>57000</v>
      </c>
      <c r="AA463" t="s">
        <v>605</v>
      </c>
      <c r="AB463">
        <v>20190220</v>
      </c>
      <c r="AE463">
        <f t="shared" si="7"/>
        <v>0</v>
      </c>
      <c r="AF463">
        <v>0</v>
      </c>
      <c r="AG463">
        <v>0</v>
      </c>
      <c r="AH463">
        <v>0</v>
      </c>
      <c r="AI463" s="121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</row>
    <row r="464" spans="1:41">
      <c r="A464">
        <v>201903</v>
      </c>
      <c r="B464">
        <v>25</v>
      </c>
      <c r="C464" t="s">
        <v>526</v>
      </c>
      <c r="D464">
        <v>3190464674081</v>
      </c>
      <c r="E464" t="s">
        <v>53</v>
      </c>
      <c r="F464" t="s">
        <v>597</v>
      </c>
      <c r="G464" t="s">
        <v>598</v>
      </c>
      <c r="H464" t="s">
        <v>599</v>
      </c>
      <c r="I464" t="s">
        <v>661</v>
      </c>
      <c r="J464" t="s">
        <v>661</v>
      </c>
      <c r="K464" t="s">
        <v>662</v>
      </c>
      <c r="L464" t="s">
        <v>698</v>
      </c>
      <c r="M464" t="s">
        <v>699</v>
      </c>
      <c r="N464" t="s">
        <v>964</v>
      </c>
      <c r="P464" t="s">
        <v>603</v>
      </c>
      <c r="Q464" t="s">
        <v>568</v>
      </c>
      <c r="R464" t="s">
        <v>983</v>
      </c>
      <c r="S464">
        <v>20181109</v>
      </c>
      <c r="T464" t="s">
        <v>892</v>
      </c>
      <c r="X464">
        <v>4</v>
      </c>
      <c r="Y464">
        <v>10263</v>
      </c>
      <c r="AA464" t="s">
        <v>605</v>
      </c>
      <c r="AB464">
        <v>20190220</v>
      </c>
      <c r="AE464">
        <f t="shared" si="7"/>
        <v>0</v>
      </c>
      <c r="AF464">
        <v>0</v>
      </c>
      <c r="AG464">
        <v>0</v>
      </c>
      <c r="AH464">
        <v>0</v>
      </c>
      <c r="AI464" s="121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</row>
    <row r="465" spans="1:41">
      <c r="A465">
        <v>201903</v>
      </c>
      <c r="B465">
        <v>25</v>
      </c>
      <c r="C465" t="s">
        <v>526</v>
      </c>
      <c r="D465">
        <v>3190464935311</v>
      </c>
      <c r="E465" t="s">
        <v>53</v>
      </c>
      <c r="F465" t="s">
        <v>597</v>
      </c>
      <c r="G465" t="s">
        <v>598</v>
      </c>
      <c r="H465" t="s">
        <v>599</v>
      </c>
      <c r="I465" t="s">
        <v>661</v>
      </c>
      <c r="J465" t="s">
        <v>661</v>
      </c>
      <c r="K465" t="s">
        <v>662</v>
      </c>
      <c r="L465" t="s">
        <v>698</v>
      </c>
      <c r="M465" t="s">
        <v>699</v>
      </c>
      <c r="N465" t="s">
        <v>964</v>
      </c>
      <c r="P465" t="s">
        <v>603</v>
      </c>
      <c r="Q465" t="s">
        <v>648</v>
      </c>
      <c r="R465" t="s">
        <v>980</v>
      </c>
      <c r="S465">
        <v>20181109</v>
      </c>
      <c r="T465" t="s">
        <v>892</v>
      </c>
      <c r="X465">
        <v>4</v>
      </c>
      <c r="Y465">
        <v>134447</v>
      </c>
      <c r="AA465" t="s">
        <v>605</v>
      </c>
      <c r="AB465">
        <v>20190220</v>
      </c>
      <c r="AE465">
        <f t="shared" si="7"/>
        <v>0</v>
      </c>
      <c r="AF465">
        <v>0</v>
      </c>
      <c r="AG465">
        <v>0</v>
      </c>
      <c r="AH465">
        <v>0</v>
      </c>
      <c r="AI465" s="121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</row>
    <row r="466" spans="1:41">
      <c r="A466">
        <v>201903</v>
      </c>
      <c r="B466">
        <v>25</v>
      </c>
      <c r="C466" t="s">
        <v>526</v>
      </c>
      <c r="D466">
        <v>3190465541091</v>
      </c>
      <c r="E466" t="s">
        <v>53</v>
      </c>
      <c r="F466" t="s">
        <v>597</v>
      </c>
      <c r="G466" t="s">
        <v>598</v>
      </c>
      <c r="H466" t="s">
        <v>599</v>
      </c>
      <c r="I466" t="s">
        <v>661</v>
      </c>
      <c r="J466" t="s">
        <v>661</v>
      </c>
      <c r="K466" t="s">
        <v>662</v>
      </c>
      <c r="L466" t="s">
        <v>698</v>
      </c>
      <c r="M466" t="s">
        <v>699</v>
      </c>
      <c r="N466" t="s">
        <v>964</v>
      </c>
      <c r="P466" t="s">
        <v>603</v>
      </c>
      <c r="Q466" t="s">
        <v>648</v>
      </c>
      <c r="R466" t="s">
        <v>980</v>
      </c>
      <c r="S466">
        <v>20181113</v>
      </c>
      <c r="T466" t="s">
        <v>891</v>
      </c>
      <c r="X466">
        <v>4</v>
      </c>
      <c r="Y466">
        <v>46617</v>
      </c>
      <c r="AA466" t="s">
        <v>605</v>
      </c>
      <c r="AB466">
        <v>20190225</v>
      </c>
      <c r="AE466">
        <f t="shared" si="7"/>
        <v>0</v>
      </c>
      <c r="AF466">
        <v>0</v>
      </c>
      <c r="AG466">
        <v>0</v>
      </c>
      <c r="AH466">
        <v>0</v>
      </c>
      <c r="AI466" s="121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</row>
    <row r="467" spans="1:41">
      <c r="A467">
        <v>201903</v>
      </c>
      <c r="B467">
        <v>25</v>
      </c>
      <c r="C467" t="s">
        <v>526</v>
      </c>
      <c r="D467">
        <v>3190465742851</v>
      </c>
      <c r="E467" t="s">
        <v>53</v>
      </c>
      <c r="F467" t="s">
        <v>597</v>
      </c>
      <c r="G467" t="s">
        <v>598</v>
      </c>
      <c r="H467" t="s">
        <v>599</v>
      </c>
      <c r="I467" t="s">
        <v>661</v>
      </c>
      <c r="J467" t="s">
        <v>661</v>
      </c>
      <c r="K467" t="s">
        <v>662</v>
      </c>
      <c r="L467" t="s">
        <v>698</v>
      </c>
      <c r="M467" t="s">
        <v>699</v>
      </c>
      <c r="N467" t="s">
        <v>964</v>
      </c>
      <c r="P467" t="s">
        <v>603</v>
      </c>
      <c r="Q467" t="s">
        <v>648</v>
      </c>
      <c r="R467" t="s">
        <v>980</v>
      </c>
      <c r="S467">
        <v>20181113</v>
      </c>
      <c r="T467" t="s">
        <v>839</v>
      </c>
      <c r="X467">
        <v>3</v>
      </c>
      <c r="Y467">
        <v>101801</v>
      </c>
      <c r="AA467" t="s">
        <v>605</v>
      </c>
      <c r="AB467">
        <v>20190228</v>
      </c>
      <c r="AE467">
        <f t="shared" si="7"/>
        <v>0</v>
      </c>
      <c r="AF467">
        <v>0</v>
      </c>
      <c r="AG467">
        <v>0</v>
      </c>
      <c r="AH467">
        <v>0</v>
      </c>
      <c r="AI467" s="121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</row>
    <row r="468" spans="1:41">
      <c r="A468">
        <v>201903</v>
      </c>
      <c r="B468">
        <v>25</v>
      </c>
      <c r="C468" t="s">
        <v>526</v>
      </c>
      <c r="D468">
        <v>3190466144181</v>
      </c>
      <c r="E468" t="s">
        <v>53</v>
      </c>
      <c r="F468" t="s">
        <v>597</v>
      </c>
      <c r="G468" t="s">
        <v>598</v>
      </c>
      <c r="H468" t="s">
        <v>599</v>
      </c>
      <c r="I468" t="s">
        <v>1168</v>
      </c>
      <c r="L468" t="s">
        <v>675</v>
      </c>
      <c r="M468" t="s">
        <v>676</v>
      </c>
      <c r="N468" t="s">
        <v>988</v>
      </c>
      <c r="P468" t="s">
        <v>603</v>
      </c>
      <c r="Q468" t="s">
        <v>648</v>
      </c>
      <c r="R468" t="s">
        <v>989</v>
      </c>
      <c r="S468">
        <v>20181114</v>
      </c>
      <c r="T468" t="s">
        <v>880</v>
      </c>
      <c r="V468">
        <v>0</v>
      </c>
      <c r="W468">
        <v>0</v>
      </c>
      <c r="X468">
        <v>4</v>
      </c>
      <c r="Y468">
        <v>30000</v>
      </c>
      <c r="AA468" t="s">
        <v>605</v>
      </c>
      <c r="AB468">
        <v>20190215</v>
      </c>
      <c r="AE468">
        <f t="shared" si="7"/>
        <v>0</v>
      </c>
      <c r="AF468">
        <v>0</v>
      </c>
      <c r="AG468">
        <v>0</v>
      </c>
      <c r="AH468">
        <v>0</v>
      </c>
      <c r="AI468" s="121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</row>
    <row r="469" spans="1:41">
      <c r="A469">
        <v>201903</v>
      </c>
      <c r="B469">
        <v>25</v>
      </c>
      <c r="C469" t="s">
        <v>526</v>
      </c>
      <c r="D469">
        <v>3190466681831</v>
      </c>
      <c r="E469" t="s">
        <v>53</v>
      </c>
      <c r="F469" t="s">
        <v>597</v>
      </c>
      <c r="G469" t="s">
        <v>598</v>
      </c>
      <c r="H469" t="s">
        <v>599</v>
      </c>
      <c r="I469" t="s">
        <v>661</v>
      </c>
      <c r="L469" t="s">
        <v>669</v>
      </c>
      <c r="M469" t="s">
        <v>670</v>
      </c>
      <c r="N469" t="s">
        <v>949</v>
      </c>
      <c r="P469" t="s">
        <v>603</v>
      </c>
      <c r="Q469" t="s">
        <v>648</v>
      </c>
      <c r="R469" t="s">
        <v>980</v>
      </c>
      <c r="S469">
        <v>20181115</v>
      </c>
      <c r="T469" t="s">
        <v>1008</v>
      </c>
      <c r="X469">
        <v>4</v>
      </c>
      <c r="Y469">
        <v>164793</v>
      </c>
      <c r="AA469" t="s">
        <v>605</v>
      </c>
      <c r="AB469">
        <v>20190220</v>
      </c>
      <c r="AE469">
        <f t="shared" si="7"/>
        <v>0</v>
      </c>
      <c r="AF469">
        <v>0</v>
      </c>
      <c r="AG469">
        <v>0</v>
      </c>
      <c r="AH469">
        <v>0</v>
      </c>
      <c r="AI469" s="121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</row>
    <row r="470" spans="1:41">
      <c r="A470">
        <v>201903</v>
      </c>
      <c r="B470">
        <v>25</v>
      </c>
      <c r="C470" t="s">
        <v>526</v>
      </c>
      <c r="D470">
        <v>3190466682571</v>
      </c>
      <c r="E470" t="s">
        <v>53</v>
      </c>
      <c r="F470" t="s">
        <v>597</v>
      </c>
      <c r="G470" t="s">
        <v>598</v>
      </c>
      <c r="H470" t="s">
        <v>599</v>
      </c>
      <c r="I470" t="s">
        <v>661</v>
      </c>
      <c r="L470" t="s">
        <v>669</v>
      </c>
      <c r="M470" t="s">
        <v>670</v>
      </c>
      <c r="N470" t="s">
        <v>949</v>
      </c>
      <c r="P470" t="s">
        <v>603</v>
      </c>
      <c r="Q470" t="s">
        <v>648</v>
      </c>
      <c r="R470" t="s">
        <v>980</v>
      </c>
      <c r="S470">
        <v>20181115</v>
      </c>
      <c r="T470" t="s">
        <v>1009</v>
      </c>
      <c r="X470">
        <v>4</v>
      </c>
      <c r="Y470">
        <v>160453</v>
      </c>
      <c r="AA470" t="s">
        <v>605</v>
      </c>
      <c r="AB470">
        <v>20190220</v>
      </c>
      <c r="AE470">
        <f t="shared" si="7"/>
        <v>0</v>
      </c>
      <c r="AF470">
        <v>0</v>
      </c>
      <c r="AG470">
        <v>0</v>
      </c>
      <c r="AH470">
        <v>0</v>
      </c>
      <c r="AI470" s="121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</row>
    <row r="471" spans="1:41">
      <c r="A471">
        <v>201903</v>
      </c>
      <c r="B471">
        <v>25</v>
      </c>
      <c r="C471" t="s">
        <v>526</v>
      </c>
      <c r="D471">
        <v>3190466684251</v>
      </c>
      <c r="E471" t="s">
        <v>53</v>
      </c>
      <c r="F471" t="s">
        <v>597</v>
      </c>
      <c r="G471" t="s">
        <v>598</v>
      </c>
      <c r="H471" t="s">
        <v>599</v>
      </c>
      <c r="I471" t="s">
        <v>661</v>
      </c>
      <c r="L471" t="s">
        <v>669</v>
      </c>
      <c r="M471" t="s">
        <v>670</v>
      </c>
      <c r="N471" t="s">
        <v>949</v>
      </c>
      <c r="P471" t="s">
        <v>603</v>
      </c>
      <c r="Q471" t="s">
        <v>648</v>
      </c>
      <c r="R471" t="s">
        <v>1228</v>
      </c>
      <c r="S471">
        <v>20181115</v>
      </c>
      <c r="T471" t="s">
        <v>1010</v>
      </c>
      <c r="X471">
        <v>4</v>
      </c>
      <c r="Y471">
        <v>37000</v>
      </c>
      <c r="AA471" t="s">
        <v>605</v>
      </c>
      <c r="AB471">
        <v>20190220</v>
      </c>
      <c r="AE471">
        <f t="shared" si="7"/>
        <v>0</v>
      </c>
      <c r="AF471">
        <v>0</v>
      </c>
      <c r="AG471">
        <v>0</v>
      </c>
      <c r="AH471">
        <v>0</v>
      </c>
      <c r="AI471" s="12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</row>
    <row r="472" spans="1:41">
      <c r="A472">
        <v>201903</v>
      </c>
      <c r="B472">
        <v>25</v>
      </c>
      <c r="C472" t="s">
        <v>526</v>
      </c>
      <c r="D472">
        <v>3190466685331</v>
      </c>
      <c r="E472" t="s">
        <v>53</v>
      </c>
      <c r="F472" t="s">
        <v>597</v>
      </c>
      <c r="G472" t="s">
        <v>598</v>
      </c>
      <c r="H472" t="s">
        <v>599</v>
      </c>
      <c r="I472" t="s">
        <v>661</v>
      </c>
      <c r="L472" t="s">
        <v>669</v>
      </c>
      <c r="M472" t="s">
        <v>670</v>
      </c>
      <c r="N472" t="s">
        <v>949</v>
      </c>
      <c r="P472" t="s">
        <v>603</v>
      </c>
      <c r="Q472" t="s">
        <v>648</v>
      </c>
      <c r="R472" t="s">
        <v>980</v>
      </c>
      <c r="S472">
        <v>20181116</v>
      </c>
      <c r="T472" t="s">
        <v>1010</v>
      </c>
      <c r="X472">
        <v>4</v>
      </c>
      <c r="Y472">
        <v>149096</v>
      </c>
      <c r="AA472" t="s">
        <v>605</v>
      </c>
      <c r="AB472">
        <v>20190220</v>
      </c>
      <c r="AE472">
        <f t="shared" si="7"/>
        <v>0</v>
      </c>
      <c r="AF472">
        <v>0</v>
      </c>
      <c r="AG472">
        <v>0</v>
      </c>
      <c r="AH472">
        <v>0</v>
      </c>
      <c r="AI472" s="121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</row>
    <row r="473" spans="1:41">
      <c r="A473">
        <v>201903</v>
      </c>
      <c r="B473">
        <v>25</v>
      </c>
      <c r="C473" t="s">
        <v>526</v>
      </c>
      <c r="D473">
        <v>3190072129321</v>
      </c>
      <c r="E473" t="s">
        <v>53</v>
      </c>
      <c r="F473" t="s">
        <v>597</v>
      </c>
      <c r="G473" t="s">
        <v>598</v>
      </c>
      <c r="H473" t="s">
        <v>599</v>
      </c>
      <c r="I473" t="s">
        <v>606</v>
      </c>
      <c r="J473" t="s">
        <v>606</v>
      </c>
      <c r="K473" t="s">
        <v>607</v>
      </c>
      <c r="L473" t="s">
        <v>643</v>
      </c>
      <c r="M473" t="s">
        <v>644</v>
      </c>
      <c r="N473" t="s">
        <v>947</v>
      </c>
      <c r="P473" t="s">
        <v>603</v>
      </c>
      <c r="Q473" t="s">
        <v>648</v>
      </c>
      <c r="R473" t="s">
        <v>1047</v>
      </c>
      <c r="S473">
        <v>20170327</v>
      </c>
      <c r="T473" t="s">
        <v>866</v>
      </c>
      <c r="X473">
        <v>24</v>
      </c>
      <c r="Y473">
        <v>35000</v>
      </c>
      <c r="AA473" t="s">
        <v>605</v>
      </c>
      <c r="AB473">
        <v>20190218</v>
      </c>
      <c r="AE473">
        <f t="shared" si="7"/>
        <v>0</v>
      </c>
      <c r="AF473">
        <v>0</v>
      </c>
      <c r="AG473">
        <v>0</v>
      </c>
      <c r="AH473">
        <v>0</v>
      </c>
      <c r="AI473" s="121">
        <v>175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175</v>
      </c>
    </row>
    <row r="474" spans="1:41">
      <c r="A474">
        <v>201903</v>
      </c>
      <c r="B474">
        <v>25</v>
      </c>
      <c r="C474" t="s">
        <v>526</v>
      </c>
      <c r="D474">
        <v>3190072130541</v>
      </c>
      <c r="E474" t="s">
        <v>53</v>
      </c>
      <c r="F474" t="s">
        <v>597</v>
      </c>
      <c r="G474" t="s">
        <v>598</v>
      </c>
      <c r="H474" t="s">
        <v>599</v>
      </c>
      <c r="I474" t="s">
        <v>606</v>
      </c>
      <c r="J474" t="s">
        <v>606</v>
      </c>
      <c r="K474" t="s">
        <v>607</v>
      </c>
      <c r="L474" t="s">
        <v>643</v>
      </c>
      <c r="M474" t="s">
        <v>644</v>
      </c>
      <c r="N474" t="s">
        <v>947</v>
      </c>
      <c r="P474" t="s">
        <v>603</v>
      </c>
      <c r="Q474" t="s">
        <v>648</v>
      </c>
      <c r="R474" t="s">
        <v>1047</v>
      </c>
      <c r="S474">
        <v>20170327</v>
      </c>
      <c r="T474" t="s">
        <v>866</v>
      </c>
      <c r="X474">
        <v>24</v>
      </c>
      <c r="Y474">
        <v>34000</v>
      </c>
      <c r="AA474" t="s">
        <v>605</v>
      </c>
      <c r="AB474">
        <v>20190218</v>
      </c>
      <c r="AE474">
        <f t="shared" si="7"/>
        <v>0</v>
      </c>
      <c r="AF474">
        <v>0</v>
      </c>
      <c r="AG474">
        <v>0</v>
      </c>
      <c r="AH474">
        <v>0</v>
      </c>
      <c r="AI474" s="121">
        <v>170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170</v>
      </c>
    </row>
    <row r="475" spans="1:41">
      <c r="A475">
        <v>201903</v>
      </c>
      <c r="B475">
        <v>25</v>
      </c>
      <c r="C475" t="s">
        <v>526</v>
      </c>
      <c r="D475">
        <v>3190072395831</v>
      </c>
      <c r="E475" t="s">
        <v>53</v>
      </c>
      <c r="F475" t="s">
        <v>597</v>
      </c>
      <c r="G475" t="s">
        <v>598</v>
      </c>
      <c r="H475" t="s">
        <v>599</v>
      </c>
      <c r="I475" t="s">
        <v>702</v>
      </c>
      <c r="J475" t="s">
        <v>702</v>
      </c>
      <c r="K475" t="s">
        <v>703</v>
      </c>
      <c r="L475" t="s">
        <v>509</v>
      </c>
      <c r="M475" t="s">
        <v>508</v>
      </c>
      <c r="N475" t="s">
        <v>942</v>
      </c>
      <c r="P475" t="s">
        <v>603</v>
      </c>
      <c r="Q475" t="s">
        <v>648</v>
      </c>
      <c r="R475" t="s">
        <v>1039</v>
      </c>
      <c r="S475">
        <v>20170321</v>
      </c>
      <c r="T475" t="s">
        <v>1062</v>
      </c>
      <c r="X475">
        <v>24</v>
      </c>
      <c r="Y475">
        <v>66000</v>
      </c>
      <c r="AA475" t="s">
        <v>605</v>
      </c>
      <c r="AB475">
        <v>20190225</v>
      </c>
      <c r="AE475">
        <f t="shared" si="7"/>
        <v>0</v>
      </c>
      <c r="AF475">
        <v>0</v>
      </c>
      <c r="AG475">
        <v>0</v>
      </c>
      <c r="AH475">
        <v>0</v>
      </c>
      <c r="AI475" s="121">
        <v>495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495</v>
      </c>
    </row>
    <row r="476" spans="1:41">
      <c r="A476">
        <v>201903</v>
      </c>
      <c r="B476">
        <v>25</v>
      </c>
      <c r="C476" t="s">
        <v>526</v>
      </c>
      <c r="D476">
        <v>3190072569741</v>
      </c>
      <c r="E476" t="s">
        <v>53</v>
      </c>
      <c r="F476" t="s">
        <v>597</v>
      </c>
      <c r="G476" t="s">
        <v>598</v>
      </c>
      <c r="H476" t="s">
        <v>599</v>
      </c>
      <c r="I476" t="s">
        <v>606</v>
      </c>
      <c r="J476" t="s">
        <v>606</v>
      </c>
      <c r="K476" t="s">
        <v>607</v>
      </c>
      <c r="L476" t="s">
        <v>617</v>
      </c>
      <c r="M476" t="s">
        <v>618</v>
      </c>
      <c r="N476" t="s">
        <v>963</v>
      </c>
      <c r="P476" t="s">
        <v>603</v>
      </c>
      <c r="Q476" t="s">
        <v>648</v>
      </c>
      <c r="R476" t="s">
        <v>1039</v>
      </c>
      <c r="S476">
        <v>20170328</v>
      </c>
      <c r="T476" t="s">
        <v>836</v>
      </c>
      <c r="X476">
        <v>24</v>
      </c>
      <c r="Y476">
        <v>35000</v>
      </c>
      <c r="AA476" t="s">
        <v>605</v>
      </c>
      <c r="AB476">
        <v>20190228</v>
      </c>
      <c r="AE476">
        <f t="shared" si="7"/>
        <v>0</v>
      </c>
      <c r="AF476">
        <v>0</v>
      </c>
      <c r="AG476">
        <v>0</v>
      </c>
      <c r="AH476">
        <v>0</v>
      </c>
      <c r="AI476" s="121">
        <v>262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262</v>
      </c>
    </row>
    <row r="477" spans="1:41">
      <c r="A477">
        <v>201903</v>
      </c>
      <c r="B477">
        <v>25</v>
      </c>
      <c r="C477" t="s">
        <v>526</v>
      </c>
      <c r="D477">
        <v>3190072644151</v>
      </c>
      <c r="E477" t="s">
        <v>53</v>
      </c>
      <c r="F477" t="s">
        <v>597</v>
      </c>
      <c r="G477" t="s">
        <v>598</v>
      </c>
      <c r="H477" t="s">
        <v>599</v>
      </c>
      <c r="I477" t="s">
        <v>606</v>
      </c>
      <c r="J477" t="s">
        <v>606</v>
      </c>
      <c r="K477" t="s">
        <v>607</v>
      </c>
      <c r="L477" t="s">
        <v>608</v>
      </c>
      <c r="M477" t="s">
        <v>609</v>
      </c>
      <c r="N477" t="s">
        <v>943</v>
      </c>
      <c r="P477" t="s">
        <v>603</v>
      </c>
      <c r="Q477" t="s">
        <v>648</v>
      </c>
      <c r="R477" t="s">
        <v>1066</v>
      </c>
      <c r="S477">
        <v>20170327</v>
      </c>
      <c r="T477" t="s">
        <v>877</v>
      </c>
      <c r="X477">
        <v>24</v>
      </c>
      <c r="Y477">
        <v>71000</v>
      </c>
      <c r="AA477" t="s">
        <v>605</v>
      </c>
      <c r="AB477">
        <v>20190225</v>
      </c>
      <c r="AE477">
        <f t="shared" si="7"/>
        <v>0</v>
      </c>
      <c r="AF477">
        <v>0</v>
      </c>
      <c r="AG477">
        <v>0</v>
      </c>
      <c r="AH477">
        <v>0</v>
      </c>
      <c r="AI477" s="121">
        <v>355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355</v>
      </c>
    </row>
    <row r="478" spans="1:41">
      <c r="A478">
        <v>201903</v>
      </c>
      <c r="B478">
        <v>25</v>
      </c>
      <c r="C478" t="s">
        <v>526</v>
      </c>
      <c r="D478">
        <v>3190072752971</v>
      </c>
      <c r="E478" t="s">
        <v>53</v>
      </c>
      <c r="F478" t="s">
        <v>597</v>
      </c>
      <c r="G478" t="s">
        <v>598</v>
      </c>
      <c r="H478" t="s">
        <v>599</v>
      </c>
      <c r="I478" t="s">
        <v>702</v>
      </c>
      <c r="J478" t="s">
        <v>702</v>
      </c>
      <c r="K478" t="s">
        <v>703</v>
      </c>
      <c r="L478" t="s">
        <v>513</v>
      </c>
      <c r="M478" t="s">
        <v>512</v>
      </c>
      <c r="N478" t="s">
        <v>930</v>
      </c>
      <c r="P478" t="s">
        <v>603</v>
      </c>
      <c r="Q478" t="s">
        <v>648</v>
      </c>
      <c r="R478" t="s">
        <v>1039</v>
      </c>
      <c r="S478">
        <v>20170322</v>
      </c>
      <c r="T478" t="s">
        <v>857</v>
      </c>
      <c r="X478">
        <v>24</v>
      </c>
      <c r="Y478">
        <v>40000</v>
      </c>
      <c r="AA478" t="s">
        <v>605</v>
      </c>
      <c r="AB478">
        <v>20190220</v>
      </c>
      <c r="AE478">
        <f t="shared" si="7"/>
        <v>0</v>
      </c>
      <c r="AF478">
        <v>0</v>
      </c>
      <c r="AG478">
        <v>0</v>
      </c>
      <c r="AH478">
        <v>0</v>
      </c>
      <c r="AI478" s="121">
        <v>300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300</v>
      </c>
    </row>
    <row r="479" spans="1:41">
      <c r="A479">
        <v>201903</v>
      </c>
      <c r="B479">
        <v>25</v>
      </c>
      <c r="C479" t="s">
        <v>526</v>
      </c>
      <c r="D479">
        <v>3190073186421</v>
      </c>
      <c r="E479" t="s">
        <v>53</v>
      </c>
      <c r="F479" t="s">
        <v>597</v>
      </c>
      <c r="G479" t="s">
        <v>598</v>
      </c>
      <c r="H479" t="s">
        <v>599</v>
      </c>
      <c r="I479" t="s">
        <v>702</v>
      </c>
      <c r="J479" t="s">
        <v>702</v>
      </c>
      <c r="K479" t="s">
        <v>703</v>
      </c>
      <c r="L479" t="s">
        <v>513</v>
      </c>
      <c r="M479" t="s">
        <v>512</v>
      </c>
      <c r="N479" t="s">
        <v>930</v>
      </c>
      <c r="P479" t="s">
        <v>603</v>
      </c>
      <c r="Q479" t="s">
        <v>648</v>
      </c>
      <c r="R479" t="s">
        <v>1039</v>
      </c>
      <c r="S479">
        <v>20170331</v>
      </c>
      <c r="T479" t="s">
        <v>1082</v>
      </c>
      <c r="X479">
        <v>24</v>
      </c>
      <c r="Y479">
        <v>44000</v>
      </c>
      <c r="AA479" t="s">
        <v>605</v>
      </c>
      <c r="AB479">
        <v>20190225</v>
      </c>
      <c r="AE479">
        <f t="shared" si="7"/>
        <v>0</v>
      </c>
      <c r="AF479">
        <v>0</v>
      </c>
      <c r="AG479">
        <v>0</v>
      </c>
      <c r="AH479">
        <v>0</v>
      </c>
      <c r="AI479" s="121">
        <v>330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330</v>
      </c>
    </row>
    <row r="480" spans="1:41">
      <c r="A480">
        <v>201903</v>
      </c>
      <c r="B480">
        <v>25</v>
      </c>
      <c r="C480" t="s">
        <v>526</v>
      </c>
      <c r="D480">
        <v>3190073345831</v>
      </c>
      <c r="E480" t="s">
        <v>53</v>
      </c>
      <c r="F480" t="s">
        <v>597</v>
      </c>
      <c r="G480" t="s">
        <v>598</v>
      </c>
      <c r="H480" t="s">
        <v>599</v>
      </c>
      <c r="I480" t="s">
        <v>702</v>
      </c>
      <c r="L480" t="s">
        <v>515</v>
      </c>
      <c r="M480" t="s">
        <v>514</v>
      </c>
      <c r="N480" t="s">
        <v>935</v>
      </c>
      <c r="P480" t="s">
        <v>603</v>
      </c>
      <c r="Q480" t="s">
        <v>648</v>
      </c>
      <c r="R480" t="s">
        <v>1039</v>
      </c>
      <c r="S480">
        <v>20170324</v>
      </c>
      <c r="T480" t="s">
        <v>1105</v>
      </c>
      <c r="X480">
        <v>24</v>
      </c>
      <c r="Y480">
        <v>130000</v>
      </c>
      <c r="AA480" t="s">
        <v>605</v>
      </c>
      <c r="AB480">
        <v>20190220</v>
      </c>
      <c r="AE480">
        <f t="shared" si="7"/>
        <v>0</v>
      </c>
      <c r="AF480">
        <v>0</v>
      </c>
      <c r="AG480">
        <v>0</v>
      </c>
      <c r="AH480">
        <v>0</v>
      </c>
      <c r="AI480" s="121">
        <v>975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975</v>
      </c>
    </row>
    <row r="481" spans="1:41">
      <c r="A481">
        <v>201903</v>
      </c>
      <c r="B481">
        <v>25</v>
      </c>
      <c r="C481" t="s">
        <v>526</v>
      </c>
      <c r="D481">
        <v>3190073656791</v>
      </c>
      <c r="E481" t="s">
        <v>53</v>
      </c>
      <c r="F481" t="s">
        <v>597</v>
      </c>
      <c r="G481" t="s">
        <v>598</v>
      </c>
      <c r="H481" t="s">
        <v>599</v>
      </c>
      <c r="I481" t="s">
        <v>702</v>
      </c>
      <c r="J481" t="s">
        <v>702</v>
      </c>
      <c r="K481" t="s">
        <v>703</v>
      </c>
      <c r="L481" t="s">
        <v>513</v>
      </c>
      <c r="M481" t="s">
        <v>512</v>
      </c>
      <c r="N481" t="s">
        <v>930</v>
      </c>
      <c r="P481" t="s">
        <v>603</v>
      </c>
      <c r="Q481" t="s">
        <v>648</v>
      </c>
      <c r="R481" t="s">
        <v>1039</v>
      </c>
      <c r="S481">
        <v>20170328</v>
      </c>
      <c r="T481" t="s">
        <v>1090</v>
      </c>
      <c r="X481">
        <v>24</v>
      </c>
      <c r="Y481">
        <v>74000</v>
      </c>
      <c r="AA481" t="s">
        <v>605</v>
      </c>
      <c r="AB481">
        <v>20190225</v>
      </c>
      <c r="AE481">
        <f t="shared" si="7"/>
        <v>0</v>
      </c>
      <c r="AF481">
        <v>0</v>
      </c>
      <c r="AG481">
        <v>0</v>
      </c>
      <c r="AH481">
        <v>0</v>
      </c>
      <c r="AI481" s="121">
        <v>555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555</v>
      </c>
    </row>
    <row r="482" spans="1:41">
      <c r="A482">
        <v>201903</v>
      </c>
      <c r="B482">
        <v>25</v>
      </c>
      <c r="C482" t="s">
        <v>526</v>
      </c>
      <c r="D482">
        <v>3190073665701</v>
      </c>
      <c r="E482" t="s">
        <v>53</v>
      </c>
      <c r="F482" t="s">
        <v>597</v>
      </c>
      <c r="G482" t="s">
        <v>598</v>
      </c>
      <c r="H482" t="s">
        <v>599</v>
      </c>
      <c r="I482" t="s">
        <v>702</v>
      </c>
      <c r="J482" t="s">
        <v>702</v>
      </c>
      <c r="K482" t="s">
        <v>703</v>
      </c>
      <c r="L482" t="s">
        <v>513</v>
      </c>
      <c r="M482" t="s">
        <v>512</v>
      </c>
      <c r="N482" t="s">
        <v>930</v>
      </c>
      <c r="P482" t="s">
        <v>603</v>
      </c>
      <c r="Q482" t="s">
        <v>648</v>
      </c>
      <c r="R482" t="s">
        <v>1066</v>
      </c>
      <c r="S482">
        <v>20170328</v>
      </c>
      <c r="T482" t="s">
        <v>1090</v>
      </c>
      <c r="X482">
        <v>24</v>
      </c>
      <c r="Y482">
        <v>73000</v>
      </c>
      <c r="AA482" t="s">
        <v>605</v>
      </c>
      <c r="AB482">
        <v>20190225</v>
      </c>
      <c r="AE482">
        <f t="shared" si="7"/>
        <v>0</v>
      </c>
      <c r="AF482">
        <v>0</v>
      </c>
      <c r="AG482">
        <v>0</v>
      </c>
      <c r="AH482">
        <v>0</v>
      </c>
      <c r="AI482" s="121">
        <v>365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365</v>
      </c>
    </row>
    <row r="483" spans="1:41">
      <c r="A483">
        <v>201903</v>
      </c>
      <c r="B483">
        <v>25</v>
      </c>
      <c r="C483" t="s">
        <v>526</v>
      </c>
      <c r="D483">
        <v>3190073880361</v>
      </c>
      <c r="E483" t="s">
        <v>53</v>
      </c>
      <c r="F483" t="s">
        <v>597</v>
      </c>
      <c r="G483" t="s">
        <v>598</v>
      </c>
      <c r="H483" t="s">
        <v>599</v>
      </c>
      <c r="I483" t="s">
        <v>606</v>
      </c>
      <c r="L483" t="s">
        <v>600</v>
      </c>
      <c r="M483" t="s">
        <v>601</v>
      </c>
      <c r="N483" t="s">
        <v>938</v>
      </c>
      <c r="P483" t="s">
        <v>603</v>
      </c>
      <c r="Q483" t="s">
        <v>648</v>
      </c>
      <c r="R483" t="s">
        <v>1039</v>
      </c>
      <c r="S483">
        <v>20170324</v>
      </c>
      <c r="T483" t="s">
        <v>1091</v>
      </c>
      <c r="X483">
        <v>24</v>
      </c>
      <c r="Y483">
        <v>58000</v>
      </c>
      <c r="AA483" t="s">
        <v>605</v>
      </c>
      <c r="AB483">
        <v>20190225</v>
      </c>
      <c r="AE483">
        <f t="shared" si="7"/>
        <v>0</v>
      </c>
      <c r="AF483">
        <v>0</v>
      </c>
      <c r="AG483">
        <v>0</v>
      </c>
      <c r="AH483">
        <v>0</v>
      </c>
      <c r="AI483" s="121">
        <v>435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435</v>
      </c>
    </row>
    <row r="484" spans="1:41">
      <c r="A484">
        <v>201903</v>
      </c>
      <c r="B484">
        <v>25</v>
      </c>
      <c r="C484" t="s">
        <v>526</v>
      </c>
      <c r="D484">
        <v>3190074248571</v>
      </c>
      <c r="E484" t="s">
        <v>53</v>
      </c>
      <c r="F484" t="s">
        <v>597</v>
      </c>
      <c r="G484" t="s">
        <v>598</v>
      </c>
      <c r="H484" t="s">
        <v>599</v>
      </c>
      <c r="I484" t="s">
        <v>702</v>
      </c>
      <c r="L484" t="s">
        <v>515</v>
      </c>
      <c r="M484" t="s">
        <v>514</v>
      </c>
      <c r="N484" t="s">
        <v>935</v>
      </c>
      <c r="P484" t="s">
        <v>603</v>
      </c>
      <c r="Q484" t="s">
        <v>648</v>
      </c>
      <c r="R484" t="s">
        <v>1039</v>
      </c>
      <c r="S484">
        <v>20170328</v>
      </c>
      <c r="T484" t="s">
        <v>1105</v>
      </c>
      <c r="X484">
        <v>24</v>
      </c>
      <c r="Y484">
        <v>58000</v>
      </c>
      <c r="AA484" t="s">
        <v>605</v>
      </c>
      <c r="AB484">
        <v>20190215</v>
      </c>
      <c r="AE484">
        <f t="shared" si="7"/>
        <v>0</v>
      </c>
      <c r="AF484">
        <v>0</v>
      </c>
      <c r="AG484">
        <v>0</v>
      </c>
      <c r="AH484">
        <v>0</v>
      </c>
      <c r="AI484" s="121">
        <v>435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435</v>
      </c>
    </row>
    <row r="485" spans="1:41">
      <c r="A485">
        <v>201903</v>
      </c>
      <c r="B485">
        <v>25</v>
      </c>
      <c r="C485" t="s">
        <v>526</v>
      </c>
      <c r="D485">
        <v>3190075164951</v>
      </c>
      <c r="E485" t="s">
        <v>53</v>
      </c>
      <c r="F485" t="s">
        <v>597</v>
      </c>
      <c r="G485" t="s">
        <v>598</v>
      </c>
      <c r="H485" t="s">
        <v>599</v>
      </c>
      <c r="I485" t="s">
        <v>702</v>
      </c>
      <c r="J485" t="s">
        <v>702</v>
      </c>
      <c r="K485" t="s">
        <v>703</v>
      </c>
      <c r="L485" t="s">
        <v>513</v>
      </c>
      <c r="M485" t="s">
        <v>512</v>
      </c>
      <c r="N485" t="s">
        <v>930</v>
      </c>
      <c r="P485" t="s">
        <v>603</v>
      </c>
      <c r="Q485" t="s">
        <v>648</v>
      </c>
      <c r="R485" t="s">
        <v>1039</v>
      </c>
      <c r="S485">
        <v>20170331</v>
      </c>
      <c r="T485" t="s">
        <v>887</v>
      </c>
      <c r="X485">
        <v>24</v>
      </c>
      <c r="Y485">
        <v>28306</v>
      </c>
      <c r="AA485" t="s">
        <v>605</v>
      </c>
      <c r="AB485">
        <v>20190225</v>
      </c>
      <c r="AE485">
        <f t="shared" si="7"/>
        <v>0</v>
      </c>
      <c r="AF485">
        <v>0</v>
      </c>
      <c r="AG485">
        <v>0</v>
      </c>
      <c r="AH485">
        <v>0</v>
      </c>
      <c r="AI485" s="121">
        <v>212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212</v>
      </c>
    </row>
    <row r="486" spans="1:41">
      <c r="A486">
        <v>201903</v>
      </c>
      <c r="B486">
        <v>25</v>
      </c>
      <c r="C486" t="s">
        <v>526</v>
      </c>
      <c r="D486">
        <v>3190075185421</v>
      </c>
      <c r="E486" t="s">
        <v>53</v>
      </c>
      <c r="F486" t="s">
        <v>597</v>
      </c>
      <c r="G486" t="s">
        <v>598</v>
      </c>
      <c r="H486" t="s">
        <v>599</v>
      </c>
      <c r="I486" t="s">
        <v>661</v>
      </c>
      <c r="L486" t="s">
        <v>669</v>
      </c>
      <c r="M486" t="s">
        <v>670</v>
      </c>
      <c r="N486" t="s">
        <v>949</v>
      </c>
      <c r="P486" t="s">
        <v>603</v>
      </c>
      <c r="Q486" t="s">
        <v>648</v>
      </c>
      <c r="R486" t="s">
        <v>1039</v>
      </c>
      <c r="S486">
        <v>20170331</v>
      </c>
      <c r="T486" t="s">
        <v>1132</v>
      </c>
      <c r="X486">
        <v>24</v>
      </c>
      <c r="Y486">
        <v>94000</v>
      </c>
      <c r="AA486" t="s">
        <v>605</v>
      </c>
      <c r="AB486">
        <v>20190225</v>
      </c>
      <c r="AE486">
        <f t="shared" si="7"/>
        <v>0</v>
      </c>
      <c r="AF486">
        <v>0</v>
      </c>
      <c r="AG486">
        <v>0</v>
      </c>
      <c r="AH486">
        <v>0</v>
      </c>
      <c r="AI486" s="121">
        <v>705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705</v>
      </c>
    </row>
    <row r="487" spans="1:41">
      <c r="A487">
        <v>201903</v>
      </c>
      <c r="B487">
        <v>25</v>
      </c>
      <c r="C487" t="s">
        <v>526</v>
      </c>
      <c r="D487">
        <v>3190075430551</v>
      </c>
      <c r="E487" t="s">
        <v>53</v>
      </c>
      <c r="F487" t="s">
        <v>597</v>
      </c>
      <c r="G487" t="s">
        <v>598</v>
      </c>
      <c r="H487" t="s">
        <v>599</v>
      </c>
      <c r="I487" t="s">
        <v>702</v>
      </c>
      <c r="J487" t="s">
        <v>702</v>
      </c>
      <c r="K487" t="s">
        <v>703</v>
      </c>
      <c r="L487" t="s">
        <v>509</v>
      </c>
      <c r="M487" t="s">
        <v>508</v>
      </c>
      <c r="N487" t="s">
        <v>942</v>
      </c>
      <c r="P487" t="s">
        <v>603</v>
      </c>
      <c r="Q487" t="s">
        <v>648</v>
      </c>
      <c r="R487" t="s">
        <v>1039</v>
      </c>
      <c r="S487">
        <v>20170331</v>
      </c>
      <c r="T487" t="s">
        <v>1143</v>
      </c>
      <c r="X487">
        <v>24</v>
      </c>
      <c r="Y487">
        <v>71000</v>
      </c>
      <c r="AA487" t="s">
        <v>605</v>
      </c>
      <c r="AB487">
        <v>20190225</v>
      </c>
      <c r="AE487">
        <f t="shared" si="7"/>
        <v>0</v>
      </c>
      <c r="AF487">
        <v>0</v>
      </c>
      <c r="AG487">
        <v>0</v>
      </c>
      <c r="AH487">
        <v>0</v>
      </c>
      <c r="AI487" s="121">
        <v>532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532</v>
      </c>
    </row>
    <row r="488" spans="1:41">
      <c r="A488">
        <v>201903</v>
      </c>
      <c r="B488">
        <v>25</v>
      </c>
      <c r="C488" t="s">
        <v>526</v>
      </c>
      <c r="D488">
        <v>3190075920031</v>
      </c>
      <c r="E488" t="s">
        <v>53</v>
      </c>
      <c r="F488" t="s">
        <v>597</v>
      </c>
      <c r="G488" t="s">
        <v>598</v>
      </c>
      <c r="H488" t="s">
        <v>599</v>
      </c>
      <c r="I488" t="s">
        <v>661</v>
      </c>
      <c r="L488" t="s">
        <v>669</v>
      </c>
      <c r="M488" t="s">
        <v>670</v>
      </c>
      <c r="N488" t="s">
        <v>949</v>
      </c>
      <c r="P488" t="s">
        <v>603</v>
      </c>
      <c r="Q488" t="s">
        <v>648</v>
      </c>
      <c r="R488" t="s">
        <v>1039</v>
      </c>
      <c r="S488">
        <v>20170331</v>
      </c>
      <c r="T488" t="s">
        <v>878</v>
      </c>
      <c r="X488">
        <v>24</v>
      </c>
      <c r="Y488">
        <v>48500</v>
      </c>
      <c r="AA488" t="s">
        <v>605</v>
      </c>
      <c r="AB488">
        <v>20190225</v>
      </c>
      <c r="AE488">
        <f t="shared" si="7"/>
        <v>0</v>
      </c>
      <c r="AF488">
        <v>0</v>
      </c>
      <c r="AG488">
        <v>0</v>
      </c>
      <c r="AH488">
        <v>0</v>
      </c>
      <c r="AI488" s="121">
        <v>363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363</v>
      </c>
    </row>
    <row r="489" spans="1:41">
      <c r="A489">
        <v>201903</v>
      </c>
      <c r="B489">
        <v>25</v>
      </c>
      <c r="C489" t="s">
        <v>526</v>
      </c>
      <c r="D489">
        <v>3190076555831</v>
      </c>
      <c r="E489" t="s">
        <v>53</v>
      </c>
      <c r="F489" t="s">
        <v>597</v>
      </c>
      <c r="G489" t="s">
        <v>598</v>
      </c>
      <c r="H489" t="s">
        <v>599</v>
      </c>
      <c r="I489" t="s">
        <v>646</v>
      </c>
      <c r="J489" t="s">
        <v>646</v>
      </c>
      <c r="K489" t="s">
        <v>647</v>
      </c>
      <c r="L489" t="s">
        <v>667</v>
      </c>
      <c r="M489" t="s">
        <v>668</v>
      </c>
      <c r="N489" t="s">
        <v>953</v>
      </c>
      <c r="P489" t="s">
        <v>603</v>
      </c>
      <c r="Q489" t="s">
        <v>727</v>
      </c>
      <c r="R489" t="s">
        <v>1067</v>
      </c>
      <c r="S489">
        <v>20170407</v>
      </c>
      <c r="T489" t="s">
        <v>1068</v>
      </c>
      <c r="V489">
        <v>0</v>
      </c>
      <c r="W489">
        <v>0</v>
      </c>
      <c r="X489">
        <v>23</v>
      </c>
      <c r="Y489">
        <v>30000</v>
      </c>
      <c r="AA489" t="s">
        <v>605</v>
      </c>
      <c r="AB489">
        <v>20190211</v>
      </c>
      <c r="AE489">
        <f t="shared" si="7"/>
        <v>0</v>
      </c>
      <c r="AF489">
        <v>0</v>
      </c>
      <c r="AG489">
        <v>0</v>
      </c>
      <c r="AH489">
        <v>0</v>
      </c>
      <c r="AI489" s="121">
        <v>150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150</v>
      </c>
    </row>
    <row r="490" spans="1:41">
      <c r="A490">
        <v>201903</v>
      </c>
      <c r="B490">
        <v>25</v>
      </c>
      <c r="C490" t="s">
        <v>526</v>
      </c>
      <c r="D490">
        <v>3190076636521</v>
      </c>
      <c r="E490" t="s">
        <v>53</v>
      </c>
      <c r="F490" t="s">
        <v>597</v>
      </c>
      <c r="G490" t="s">
        <v>598</v>
      </c>
      <c r="H490" t="s">
        <v>599</v>
      </c>
      <c r="I490" t="s">
        <v>649</v>
      </c>
      <c r="J490" t="s">
        <v>649</v>
      </c>
      <c r="K490" t="s">
        <v>650</v>
      </c>
      <c r="L490" t="s">
        <v>657</v>
      </c>
      <c r="M490" t="s">
        <v>658</v>
      </c>
      <c r="N490" t="s">
        <v>932</v>
      </c>
      <c r="P490" t="s">
        <v>603</v>
      </c>
      <c r="Q490" t="s">
        <v>648</v>
      </c>
      <c r="R490" t="s">
        <v>1050</v>
      </c>
      <c r="S490">
        <v>20170411</v>
      </c>
      <c r="T490" t="s">
        <v>1069</v>
      </c>
      <c r="V490">
        <v>0</v>
      </c>
      <c r="W490">
        <v>0</v>
      </c>
      <c r="X490">
        <v>23</v>
      </c>
      <c r="Y490">
        <v>43500</v>
      </c>
      <c r="AA490" t="s">
        <v>605</v>
      </c>
      <c r="AB490">
        <v>20190220</v>
      </c>
      <c r="AE490">
        <f t="shared" si="7"/>
        <v>0</v>
      </c>
      <c r="AF490">
        <v>0</v>
      </c>
      <c r="AG490">
        <v>0</v>
      </c>
      <c r="AH490">
        <v>0</v>
      </c>
      <c r="AI490" s="121">
        <v>217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217</v>
      </c>
    </row>
    <row r="491" spans="1:41">
      <c r="A491">
        <v>201903</v>
      </c>
      <c r="B491">
        <v>25</v>
      </c>
      <c r="C491" t="s">
        <v>526</v>
      </c>
      <c r="D491">
        <v>3190077209171</v>
      </c>
      <c r="E491" t="s">
        <v>53</v>
      </c>
      <c r="F491" t="s">
        <v>597</v>
      </c>
      <c r="G491" t="s">
        <v>598</v>
      </c>
      <c r="H491" t="s">
        <v>599</v>
      </c>
      <c r="I491" t="s">
        <v>702</v>
      </c>
      <c r="J491" t="s">
        <v>702</v>
      </c>
      <c r="K491" t="s">
        <v>703</v>
      </c>
      <c r="L491" t="s">
        <v>513</v>
      </c>
      <c r="M491" t="s">
        <v>512</v>
      </c>
      <c r="N491" t="s">
        <v>930</v>
      </c>
      <c r="P491" t="s">
        <v>603</v>
      </c>
      <c r="Q491" t="s">
        <v>648</v>
      </c>
      <c r="R491" t="s">
        <v>1050</v>
      </c>
      <c r="S491">
        <v>20170411</v>
      </c>
      <c r="T491" t="s">
        <v>1077</v>
      </c>
      <c r="V491">
        <v>0</v>
      </c>
      <c r="W491">
        <v>0</v>
      </c>
      <c r="X491">
        <v>23</v>
      </c>
      <c r="Y491">
        <v>52000</v>
      </c>
      <c r="AA491" t="s">
        <v>605</v>
      </c>
      <c r="AB491">
        <v>20190220</v>
      </c>
      <c r="AE491">
        <f t="shared" si="7"/>
        <v>0</v>
      </c>
      <c r="AF491">
        <v>0</v>
      </c>
      <c r="AG491">
        <v>0</v>
      </c>
      <c r="AH491">
        <v>0</v>
      </c>
      <c r="AI491" s="121">
        <v>260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260</v>
      </c>
    </row>
    <row r="492" spans="1:41">
      <c r="A492">
        <v>201903</v>
      </c>
      <c r="B492">
        <v>25</v>
      </c>
      <c r="C492" t="s">
        <v>526</v>
      </c>
      <c r="D492">
        <v>3190077701741</v>
      </c>
      <c r="E492" t="s">
        <v>53</v>
      </c>
      <c r="F492" t="s">
        <v>597</v>
      </c>
      <c r="G492" t="s">
        <v>598</v>
      </c>
      <c r="H492" t="s">
        <v>599</v>
      </c>
      <c r="I492" t="s">
        <v>606</v>
      </c>
      <c r="J492" t="s">
        <v>606</v>
      </c>
      <c r="K492" t="s">
        <v>607</v>
      </c>
      <c r="L492" t="s">
        <v>639</v>
      </c>
      <c r="M492" t="s">
        <v>640</v>
      </c>
      <c r="N492" t="s">
        <v>1007</v>
      </c>
      <c r="P492" t="s">
        <v>603</v>
      </c>
      <c r="Q492" t="s">
        <v>648</v>
      </c>
      <c r="R492" t="s">
        <v>1079</v>
      </c>
      <c r="S492">
        <v>20170414</v>
      </c>
      <c r="T492" t="s">
        <v>868</v>
      </c>
      <c r="X492">
        <v>23</v>
      </c>
      <c r="Y492">
        <v>43988</v>
      </c>
      <c r="AA492" t="s">
        <v>605</v>
      </c>
      <c r="AB492">
        <v>20190228</v>
      </c>
      <c r="AE492">
        <f t="shared" si="7"/>
        <v>0</v>
      </c>
      <c r="AF492">
        <v>0</v>
      </c>
      <c r="AG492">
        <v>0</v>
      </c>
      <c r="AH492">
        <v>0</v>
      </c>
      <c r="AI492" s="121">
        <v>657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657</v>
      </c>
    </row>
    <row r="493" spans="1:41">
      <c r="A493">
        <v>201903</v>
      </c>
      <c r="B493">
        <v>25</v>
      </c>
      <c r="C493" t="s">
        <v>526</v>
      </c>
      <c r="D493">
        <v>3190077870121</v>
      </c>
      <c r="E493" t="s">
        <v>53</v>
      </c>
      <c r="F493" t="s">
        <v>597</v>
      </c>
      <c r="G493" t="s">
        <v>598</v>
      </c>
      <c r="H493" t="s">
        <v>599</v>
      </c>
      <c r="I493" t="s">
        <v>702</v>
      </c>
      <c r="J493" t="s">
        <v>702</v>
      </c>
      <c r="K493" t="s">
        <v>703</v>
      </c>
      <c r="L493" t="s">
        <v>513</v>
      </c>
      <c r="M493" t="s">
        <v>512</v>
      </c>
      <c r="N493" t="s">
        <v>930</v>
      </c>
      <c r="P493" t="s">
        <v>603</v>
      </c>
      <c r="Q493" t="s">
        <v>648</v>
      </c>
      <c r="R493" t="s">
        <v>1050</v>
      </c>
      <c r="S493">
        <v>20170419</v>
      </c>
      <c r="T493" t="s">
        <v>917</v>
      </c>
      <c r="X493">
        <v>23</v>
      </c>
      <c r="Y493">
        <v>58000</v>
      </c>
      <c r="AA493" t="s">
        <v>605</v>
      </c>
      <c r="AB493">
        <v>20190215</v>
      </c>
      <c r="AE493">
        <f t="shared" si="7"/>
        <v>0</v>
      </c>
      <c r="AF493">
        <v>0</v>
      </c>
      <c r="AG493">
        <v>0</v>
      </c>
      <c r="AH493">
        <v>0</v>
      </c>
      <c r="AI493" s="121">
        <v>290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290</v>
      </c>
    </row>
    <row r="494" spans="1:41">
      <c r="A494">
        <v>201903</v>
      </c>
      <c r="B494">
        <v>25</v>
      </c>
      <c r="C494" t="s">
        <v>526</v>
      </c>
      <c r="D494">
        <v>3190079275871</v>
      </c>
      <c r="E494" t="s">
        <v>53</v>
      </c>
      <c r="F494" t="s">
        <v>597</v>
      </c>
      <c r="G494" t="s">
        <v>598</v>
      </c>
      <c r="H494" t="s">
        <v>599</v>
      </c>
      <c r="I494" t="s">
        <v>661</v>
      </c>
      <c r="J494" t="s">
        <v>661</v>
      </c>
      <c r="K494" t="s">
        <v>662</v>
      </c>
      <c r="L494" t="s">
        <v>665</v>
      </c>
      <c r="M494" t="s">
        <v>666</v>
      </c>
      <c r="N494" t="s">
        <v>1000</v>
      </c>
      <c r="P494" t="s">
        <v>603</v>
      </c>
      <c r="Q494" t="s">
        <v>648</v>
      </c>
      <c r="R494" t="s">
        <v>1050</v>
      </c>
      <c r="S494">
        <v>20170427</v>
      </c>
      <c r="T494" t="s">
        <v>822</v>
      </c>
      <c r="X494">
        <v>23</v>
      </c>
      <c r="Y494">
        <v>38000</v>
      </c>
      <c r="AA494" t="s">
        <v>605</v>
      </c>
      <c r="AB494">
        <v>20190228</v>
      </c>
      <c r="AE494">
        <f t="shared" si="7"/>
        <v>0</v>
      </c>
      <c r="AF494">
        <v>0</v>
      </c>
      <c r="AG494">
        <v>0</v>
      </c>
      <c r="AH494">
        <v>0</v>
      </c>
      <c r="AI494" s="121">
        <v>190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190</v>
      </c>
    </row>
    <row r="495" spans="1:41">
      <c r="A495">
        <v>201903</v>
      </c>
      <c r="B495">
        <v>25</v>
      </c>
      <c r="C495" t="s">
        <v>526</v>
      </c>
      <c r="D495">
        <v>3190080651981</v>
      </c>
      <c r="E495" t="s">
        <v>53</v>
      </c>
      <c r="F495" t="s">
        <v>597</v>
      </c>
      <c r="G495" t="s">
        <v>598</v>
      </c>
      <c r="H495" t="s">
        <v>599</v>
      </c>
      <c r="I495" t="s">
        <v>606</v>
      </c>
      <c r="J495" t="s">
        <v>606</v>
      </c>
      <c r="K495" t="s">
        <v>607</v>
      </c>
      <c r="L495" t="s">
        <v>625</v>
      </c>
      <c r="M495" t="s">
        <v>626</v>
      </c>
      <c r="N495" t="s">
        <v>941</v>
      </c>
      <c r="P495" t="s">
        <v>603</v>
      </c>
      <c r="Q495" t="s">
        <v>648</v>
      </c>
      <c r="R495" t="s">
        <v>1041</v>
      </c>
      <c r="S495">
        <v>20170511</v>
      </c>
      <c r="T495" t="s">
        <v>885</v>
      </c>
      <c r="X495">
        <v>22</v>
      </c>
      <c r="Y495">
        <v>34000</v>
      </c>
      <c r="AA495" t="s">
        <v>605</v>
      </c>
      <c r="AB495">
        <v>20190225</v>
      </c>
      <c r="AE495">
        <f t="shared" si="7"/>
        <v>0</v>
      </c>
      <c r="AF495">
        <v>0</v>
      </c>
      <c r="AG495">
        <v>0</v>
      </c>
      <c r="AH495">
        <v>0</v>
      </c>
      <c r="AI495" s="121">
        <v>255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255</v>
      </c>
    </row>
    <row r="496" spans="1:41">
      <c r="A496">
        <v>201903</v>
      </c>
      <c r="B496">
        <v>25</v>
      </c>
      <c r="C496" t="s">
        <v>526</v>
      </c>
      <c r="D496">
        <v>3190077701741</v>
      </c>
      <c r="E496" t="s">
        <v>53</v>
      </c>
      <c r="F496" t="s">
        <v>597</v>
      </c>
      <c r="G496" t="s">
        <v>598</v>
      </c>
      <c r="H496" t="s">
        <v>599</v>
      </c>
      <c r="I496" t="s">
        <v>606</v>
      </c>
      <c r="J496" t="s">
        <v>606</v>
      </c>
      <c r="K496" t="s">
        <v>607</v>
      </c>
      <c r="L496" t="s">
        <v>639</v>
      </c>
      <c r="M496" t="s">
        <v>640</v>
      </c>
      <c r="N496" t="s">
        <v>1007</v>
      </c>
      <c r="P496" t="s">
        <v>603</v>
      </c>
      <c r="Q496" t="s">
        <v>648</v>
      </c>
      <c r="R496" t="s">
        <v>1079</v>
      </c>
      <c r="S496">
        <v>20170414</v>
      </c>
      <c r="T496" t="s">
        <v>868</v>
      </c>
      <c r="X496">
        <v>22</v>
      </c>
      <c r="Y496">
        <v>43988</v>
      </c>
      <c r="AA496" t="s">
        <v>605</v>
      </c>
      <c r="AB496">
        <v>20190228</v>
      </c>
      <c r="AE496">
        <f t="shared" si="7"/>
        <v>0</v>
      </c>
      <c r="AF496">
        <v>0</v>
      </c>
      <c r="AG496">
        <v>0</v>
      </c>
      <c r="AH496">
        <v>0</v>
      </c>
      <c r="AI496" s="121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</row>
    <row r="497" spans="1:41">
      <c r="A497">
        <v>201903</v>
      </c>
      <c r="B497">
        <v>25</v>
      </c>
      <c r="C497" t="s">
        <v>526</v>
      </c>
      <c r="D497">
        <v>3190427026871</v>
      </c>
      <c r="E497" t="s">
        <v>53</v>
      </c>
      <c r="F497" t="s">
        <v>597</v>
      </c>
      <c r="G497" t="s">
        <v>598</v>
      </c>
      <c r="H497" t="s">
        <v>599</v>
      </c>
      <c r="I497" t="s">
        <v>702</v>
      </c>
      <c r="L497" t="s">
        <v>515</v>
      </c>
      <c r="M497" t="s">
        <v>514</v>
      </c>
      <c r="N497" t="s">
        <v>935</v>
      </c>
      <c r="P497" t="s">
        <v>603</v>
      </c>
      <c r="Q497" t="s">
        <v>648</v>
      </c>
      <c r="R497" t="s">
        <v>1035</v>
      </c>
      <c r="S497">
        <v>20180529</v>
      </c>
      <c r="T497" t="s">
        <v>1163</v>
      </c>
      <c r="X497">
        <v>10</v>
      </c>
      <c r="Y497">
        <v>26480</v>
      </c>
      <c r="AA497" t="s">
        <v>605</v>
      </c>
      <c r="AB497">
        <v>20190225</v>
      </c>
      <c r="AE497">
        <f t="shared" si="7"/>
        <v>0</v>
      </c>
      <c r="AF497">
        <v>0</v>
      </c>
      <c r="AG497">
        <v>0</v>
      </c>
      <c r="AH497">
        <v>0</v>
      </c>
      <c r="AI497" s="121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</row>
    <row r="498" spans="1:41">
      <c r="A498">
        <v>201903</v>
      </c>
      <c r="B498">
        <v>25</v>
      </c>
      <c r="C498" t="s">
        <v>526</v>
      </c>
      <c r="D498">
        <v>3190034926251</v>
      </c>
      <c r="E498" t="s">
        <v>53</v>
      </c>
      <c r="F498" t="s">
        <v>597</v>
      </c>
      <c r="G498" t="s">
        <v>598</v>
      </c>
      <c r="H498" t="s">
        <v>599</v>
      </c>
      <c r="I498" t="s">
        <v>646</v>
      </c>
      <c r="J498" t="s">
        <v>646</v>
      </c>
      <c r="K498" t="s">
        <v>647</v>
      </c>
      <c r="L498" t="s">
        <v>717</v>
      </c>
      <c r="M498" t="s">
        <v>718</v>
      </c>
      <c r="N498" t="s">
        <v>1016</v>
      </c>
      <c r="P498" t="s">
        <v>603</v>
      </c>
      <c r="Q498" t="s">
        <v>648</v>
      </c>
      <c r="R498" t="s">
        <v>933</v>
      </c>
      <c r="S498">
        <v>20160318</v>
      </c>
      <c r="T498" t="s">
        <v>850</v>
      </c>
      <c r="X498">
        <v>35</v>
      </c>
      <c r="Y498">
        <v>75000</v>
      </c>
      <c r="AA498" t="s">
        <v>605</v>
      </c>
      <c r="AB498">
        <v>20190216</v>
      </c>
      <c r="AE498">
        <f t="shared" si="7"/>
        <v>0</v>
      </c>
      <c r="AF498">
        <v>0</v>
      </c>
      <c r="AG498">
        <v>0</v>
      </c>
      <c r="AH498">
        <v>0</v>
      </c>
      <c r="AI498" s="121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</row>
    <row r="499" spans="1:41">
      <c r="A499">
        <v>201903</v>
      </c>
      <c r="B499">
        <v>25</v>
      </c>
      <c r="C499" t="s">
        <v>526</v>
      </c>
      <c r="D499">
        <v>3190048917641</v>
      </c>
      <c r="E499" t="s">
        <v>53</v>
      </c>
      <c r="F499" t="s">
        <v>597</v>
      </c>
      <c r="G499" t="s">
        <v>598</v>
      </c>
      <c r="H499" t="s">
        <v>599</v>
      </c>
      <c r="I499" t="s">
        <v>702</v>
      </c>
      <c r="J499" t="s">
        <v>702</v>
      </c>
      <c r="K499" t="s">
        <v>703</v>
      </c>
      <c r="L499" t="s">
        <v>513</v>
      </c>
      <c r="M499" t="s">
        <v>512</v>
      </c>
      <c r="N499" t="s">
        <v>930</v>
      </c>
      <c r="P499" t="s">
        <v>603</v>
      </c>
      <c r="Q499" t="s">
        <v>648</v>
      </c>
      <c r="R499" t="s">
        <v>1047</v>
      </c>
      <c r="S499">
        <v>20160725</v>
      </c>
      <c r="T499" t="s">
        <v>1058</v>
      </c>
      <c r="X499">
        <v>31</v>
      </c>
      <c r="Y499">
        <v>23000</v>
      </c>
      <c r="AA499" t="s">
        <v>605</v>
      </c>
      <c r="AB499">
        <v>20190228</v>
      </c>
      <c r="AE499">
        <f t="shared" si="7"/>
        <v>0</v>
      </c>
      <c r="AF499">
        <v>0</v>
      </c>
      <c r="AG499">
        <v>0</v>
      </c>
      <c r="AH499">
        <v>0</v>
      </c>
      <c r="AI499" s="121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</row>
    <row r="500" spans="1:41">
      <c r="A500">
        <v>201903</v>
      </c>
      <c r="B500">
        <v>25</v>
      </c>
      <c r="C500" t="s">
        <v>526</v>
      </c>
      <c r="D500">
        <v>3190051684031</v>
      </c>
      <c r="E500" t="s">
        <v>53</v>
      </c>
      <c r="F500" t="s">
        <v>597</v>
      </c>
      <c r="G500" t="s">
        <v>598</v>
      </c>
      <c r="H500" t="s">
        <v>599</v>
      </c>
      <c r="I500" t="s">
        <v>606</v>
      </c>
      <c r="J500" t="s">
        <v>606</v>
      </c>
      <c r="K500" t="s">
        <v>607</v>
      </c>
      <c r="L500" t="s">
        <v>639</v>
      </c>
      <c r="M500" t="s">
        <v>640</v>
      </c>
      <c r="N500" t="s">
        <v>1007</v>
      </c>
      <c r="P500" t="s">
        <v>603</v>
      </c>
      <c r="Q500" t="s">
        <v>648</v>
      </c>
      <c r="R500" t="s">
        <v>1037</v>
      </c>
      <c r="S500">
        <v>20160830</v>
      </c>
      <c r="T500" t="s">
        <v>1178</v>
      </c>
      <c r="X500">
        <v>29</v>
      </c>
      <c r="Y500">
        <v>36104</v>
      </c>
      <c r="AA500" t="s">
        <v>605</v>
      </c>
      <c r="AB500">
        <v>20190228</v>
      </c>
      <c r="AE500">
        <f t="shared" si="7"/>
        <v>0</v>
      </c>
      <c r="AF500">
        <v>0</v>
      </c>
      <c r="AG500">
        <v>0</v>
      </c>
      <c r="AH500">
        <v>0</v>
      </c>
      <c r="AI500" s="121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</row>
    <row r="501" spans="1:41">
      <c r="A501">
        <v>201903</v>
      </c>
      <c r="B501">
        <v>25</v>
      </c>
      <c r="C501" t="s">
        <v>526</v>
      </c>
      <c r="D501">
        <v>3190053678451</v>
      </c>
      <c r="E501" t="s">
        <v>53</v>
      </c>
      <c r="F501" t="s">
        <v>597</v>
      </c>
      <c r="G501" t="s">
        <v>598</v>
      </c>
      <c r="H501" t="s">
        <v>599</v>
      </c>
      <c r="I501" t="s">
        <v>606</v>
      </c>
      <c r="J501" t="s">
        <v>606</v>
      </c>
      <c r="K501" t="s">
        <v>607</v>
      </c>
      <c r="L501" t="s">
        <v>643</v>
      </c>
      <c r="M501" t="s">
        <v>644</v>
      </c>
      <c r="N501" t="s">
        <v>947</v>
      </c>
      <c r="P501" t="s">
        <v>603</v>
      </c>
      <c r="Q501" t="s">
        <v>727</v>
      </c>
      <c r="R501" t="s">
        <v>1040</v>
      </c>
      <c r="S501">
        <v>20160928</v>
      </c>
      <c r="T501" t="s">
        <v>946</v>
      </c>
      <c r="X501">
        <v>29</v>
      </c>
      <c r="Y501">
        <v>30000</v>
      </c>
      <c r="AA501" t="s">
        <v>605</v>
      </c>
      <c r="AB501">
        <v>20190228</v>
      </c>
      <c r="AE501">
        <f t="shared" si="7"/>
        <v>0</v>
      </c>
      <c r="AF501">
        <v>0</v>
      </c>
      <c r="AG501">
        <v>0</v>
      </c>
      <c r="AH501">
        <v>0</v>
      </c>
      <c r="AI501" s="12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</row>
    <row r="502" spans="1:41">
      <c r="A502">
        <v>201903</v>
      </c>
      <c r="B502">
        <v>25</v>
      </c>
      <c r="C502" t="s">
        <v>526</v>
      </c>
      <c r="D502">
        <v>3190062970021</v>
      </c>
      <c r="E502" t="s">
        <v>53</v>
      </c>
      <c r="F502" t="s">
        <v>597</v>
      </c>
      <c r="G502" t="s">
        <v>598</v>
      </c>
      <c r="H502" t="s">
        <v>599</v>
      </c>
      <c r="I502" t="s">
        <v>719</v>
      </c>
      <c r="J502" t="s">
        <v>720</v>
      </c>
      <c r="K502" t="s">
        <v>728</v>
      </c>
      <c r="L502" t="s">
        <v>733</v>
      </c>
      <c r="M502" t="s">
        <v>715</v>
      </c>
      <c r="N502" t="s">
        <v>1255</v>
      </c>
      <c r="P502" t="s">
        <v>603</v>
      </c>
      <c r="Q502" t="s">
        <v>648</v>
      </c>
      <c r="R502" t="s">
        <v>1038</v>
      </c>
      <c r="S502">
        <v>20170117</v>
      </c>
      <c r="T502" t="s">
        <v>850</v>
      </c>
      <c r="X502">
        <v>24</v>
      </c>
      <c r="Y502">
        <v>80400</v>
      </c>
      <c r="AA502" t="s">
        <v>605</v>
      </c>
      <c r="AB502">
        <v>20190228</v>
      </c>
      <c r="AE502">
        <f t="shared" si="7"/>
        <v>0</v>
      </c>
      <c r="AF502">
        <v>0</v>
      </c>
      <c r="AG502">
        <v>0</v>
      </c>
      <c r="AH502">
        <v>0</v>
      </c>
      <c r="AI502" s="121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</row>
    <row r="503" spans="1:41">
      <c r="A503">
        <v>201903</v>
      </c>
      <c r="B503">
        <v>25</v>
      </c>
      <c r="C503" t="s">
        <v>526</v>
      </c>
      <c r="D503">
        <v>3190105595891</v>
      </c>
      <c r="E503" t="s">
        <v>53</v>
      </c>
      <c r="F503" t="s">
        <v>597</v>
      </c>
      <c r="G503" t="s">
        <v>598</v>
      </c>
      <c r="H503" t="s">
        <v>599</v>
      </c>
      <c r="I503" t="s">
        <v>1167</v>
      </c>
      <c r="J503" t="s">
        <v>734</v>
      </c>
      <c r="K503" t="s">
        <v>735</v>
      </c>
      <c r="L503" t="s">
        <v>736</v>
      </c>
      <c r="M503" t="s">
        <v>737</v>
      </c>
      <c r="N503" t="s">
        <v>1052</v>
      </c>
      <c r="P503" t="s">
        <v>603</v>
      </c>
      <c r="Q503" t="s">
        <v>648</v>
      </c>
      <c r="R503" t="s">
        <v>1238</v>
      </c>
      <c r="S503">
        <v>20171107</v>
      </c>
      <c r="T503" t="s">
        <v>1261</v>
      </c>
      <c r="V503">
        <v>0</v>
      </c>
      <c r="W503">
        <v>0</v>
      </c>
      <c r="X503">
        <v>14</v>
      </c>
      <c r="Y503">
        <v>43272</v>
      </c>
      <c r="AA503" t="s">
        <v>605</v>
      </c>
      <c r="AB503">
        <v>20190228</v>
      </c>
      <c r="AE503">
        <f t="shared" si="7"/>
        <v>0</v>
      </c>
      <c r="AF503">
        <v>0</v>
      </c>
      <c r="AG503">
        <v>0</v>
      </c>
      <c r="AH503">
        <v>0</v>
      </c>
      <c r="AI503" s="121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</row>
    <row r="504" spans="1:41">
      <c r="A504">
        <v>201903</v>
      </c>
      <c r="B504">
        <v>25</v>
      </c>
      <c r="C504" t="s">
        <v>526</v>
      </c>
      <c r="D504">
        <v>3190105598791</v>
      </c>
      <c r="E504" t="s">
        <v>53</v>
      </c>
      <c r="F504" t="s">
        <v>597</v>
      </c>
      <c r="G504" t="s">
        <v>598</v>
      </c>
      <c r="H504" t="s">
        <v>599</v>
      </c>
      <c r="I504" t="s">
        <v>1167</v>
      </c>
      <c r="J504" t="s">
        <v>734</v>
      </c>
      <c r="K504" t="s">
        <v>735</v>
      </c>
      <c r="L504" t="s">
        <v>736</v>
      </c>
      <c r="M504" t="s">
        <v>737</v>
      </c>
      <c r="N504" t="s">
        <v>1052</v>
      </c>
      <c r="P504" t="s">
        <v>603</v>
      </c>
      <c r="Q504" t="s">
        <v>648</v>
      </c>
      <c r="R504" t="s">
        <v>1238</v>
      </c>
      <c r="S504">
        <v>20171107</v>
      </c>
      <c r="T504" t="s">
        <v>1261</v>
      </c>
      <c r="V504">
        <v>0</v>
      </c>
      <c r="W504">
        <v>0</v>
      </c>
      <c r="X504">
        <v>14</v>
      </c>
      <c r="Y504">
        <v>52381</v>
      </c>
      <c r="AA504" t="s">
        <v>605</v>
      </c>
      <c r="AB504">
        <v>20190228</v>
      </c>
      <c r="AE504">
        <f t="shared" si="7"/>
        <v>0</v>
      </c>
      <c r="AF504">
        <v>0</v>
      </c>
      <c r="AG504">
        <v>0</v>
      </c>
      <c r="AH504">
        <v>0</v>
      </c>
      <c r="AI504" s="121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</row>
    <row r="505" spans="1:41">
      <c r="A505">
        <v>201903</v>
      </c>
      <c r="B505">
        <v>25</v>
      </c>
      <c r="C505" t="s">
        <v>526</v>
      </c>
      <c r="D505">
        <v>3190105599601</v>
      </c>
      <c r="E505" t="s">
        <v>53</v>
      </c>
      <c r="F505" t="s">
        <v>597</v>
      </c>
      <c r="G505" t="s">
        <v>598</v>
      </c>
      <c r="H505" t="s">
        <v>599</v>
      </c>
      <c r="I505" t="s">
        <v>1167</v>
      </c>
      <c r="J505" t="s">
        <v>734</v>
      </c>
      <c r="K505" t="s">
        <v>735</v>
      </c>
      <c r="L505" t="s">
        <v>736</v>
      </c>
      <c r="M505" t="s">
        <v>737</v>
      </c>
      <c r="N505" t="s">
        <v>1052</v>
      </c>
      <c r="P505" t="s">
        <v>603</v>
      </c>
      <c r="Q505" t="s">
        <v>648</v>
      </c>
      <c r="R505" t="s">
        <v>1041</v>
      </c>
      <c r="S505">
        <v>20171107</v>
      </c>
      <c r="T505" t="s">
        <v>1261</v>
      </c>
      <c r="V505">
        <v>0</v>
      </c>
      <c r="W505">
        <v>0</v>
      </c>
      <c r="X505">
        <v>14</v>
      </c>
      <c r="Y505">
        <v>53710</v>
      </c>
      <c r="AA505" t="s">
        <v>605</v>
      </c>
      <c r="AB505">
        <v>20190228</v>
      </c>
      <c r="AE505">
        <f t="shared" si="7"/>
        <v>0</v>
      </c>
      <c r="AF505">
        <v>0</v>
      </c>
      <c r="AG505">
        <v>0</v>
      </c>
      <c r="AH505">
        <v>0</v>
      </c>
      <c r="AI505" s="121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</row>
    <row r="506" spans="1:41">
      <c r="A506">
        <v>201903</v>
      </c>
      <c r="B506">
        <v>25</v>
      </c>
      <c r="C506" t="s">
        <v>526</v>
      </c>
      <c r="D506">
        <v>3190106087261</v>
      </c>
      <c r="E506" t="s">
        <v>53</v>
      </c>
      <c r="F506" t="s">
        <v>597</v>
      </c>
      <c r="G506" t="s">
        <v>598</v>
      </c>
      <c r="H506" t="s">
        <v>599</v>
      </c>
      <c r="I506" t="s">
        <v>606</v>
      </c>
      <c r="J506" t="s">
        <v>606</v>
      </c>
      <c r="K506" t="s">
        <v>607</v>
      </c>
      <c r="L506" t="s">
        <v>643</v>
      </c>
      <c r="M506" t="s">
        <v>644</v>
      </c>
      <c r="N506" t="s">
        <v>947</v>
      </c>
      <c r="P506" t="s">
        <v>603</v>
      </c>
      <c r="Q506" t="s">
        <v>648</v>
      </c>
      <c r="R506" t="s">
        <v>1042</v>
      </c>
      <c r="S506">
        <v>20171117</v>
      </c>
      <c r="T506" t="s">
        <v>1135</v>
      </c>
      <c r="X506">
        <v>15</v>
      </c>
      <c r="Y506">
        <v>34000</v>
      </c>
      <c r="AA506" t="s">
        <v>605</v>
      </c>
      <c r="AB506">
        <v>20190225</v>
      </c>
      <c r="AE506">
        <f t="shared" si="7"/>
        <v>0</v>
      </c>
      <c r="AF506">
        <v>0</v>
      </c>
      <c r="AG506">
        <v>0</v>
      </c>
      <c r="AH506">
        <v>0</v>
      </c>
      <c r="AI506" s="121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</row>
    <row r="507" spans="1:41">
      <c r="A507">
        <v>201903</v>
      </c>
      <c r="B507">
        <v>25</v>
      </c>
      <c r="C507" t="s">
        <v>526</v>
      </c>
      <c r="D507">
        <v>3190420939031</v>
      </c>
      <c r="E507" t="s">
        <v>53</v>
      </c>
      <c r="F507" t="s">
        <v>597</v>
      </c>
      <c r="G507" t="s">
        <v>598</v>
      </c>
      <c r="H507" t="s">
        <v>599</v>
      </c>
      <c r="I507" t="s">
        <v>606</v>
      </c>
      <c r="J507" t="s">
        <v>606</v>
      </c>
      <c r="K507" t="s">
        <v>607</v>
      </c>
      <c r="L507" t="s">
        <v>611</v>
      </c>
      <c r="M507" t="s">
        <v>612</v>
      </c>
      <c r="N507" t="s">
        <v>1070</v>
      </c>
      <c r="P507" t="s">
        <v>603</v>
      </c>
      <c r="Q507" t="s">
        <v>648</v>
      </c>
      <c r="R507" t="s">
        <v>979</v>
      </c>
      <c r="S507">
        <v>20180424</v>
      </c>
      <c r="T507" t="s">
        <v>874</v>
      </c>
      <c r="X507">
        <v>9</v>
      </c>
      <c r="Y507">
        <v>68000</v>
      </c>
      <c r="AA507" t="s">
        <v>605</v>
      </c>
      <c r="AB507">
        <v>20190211</v>
      </c>
      <c r="AE507">
        <f t="shared" si="7"/>
        <v>0</v>
      </c>
      <c r="AF507">
        <v>0</v>
      </c>
      <c r="AG507">
        <v>0</v>
      </c>
      <c r="AH507">
        <v>0</v>
      </c>
      <c r="AI507" s="121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</row>
    <row r="508" spans="1:41">
      <c r="A508">
        <v>201903</v>
      </c>
      <c r="B508">
        <v>25</v>
      </c>
      <c r="C508" t="s">
        <v>526</v>
      </c>
      <c r="D508">
        <v>3190425392021</v>
      </c>
      <c r="E508" t="s">
        <v>53</v>
      </c>
      <c r="F508" t="s">
        <v>597</v>
      </c>
      <c r="G508" t="s">
        <v>598</v>
      </c>
      <c r="H508" t="s">
        <v>599</v>
      </c>
      <c r="I508" t="s">
        <v>606</v>
      </c>
      <c r="J508" t="s">
        <v>606</v>
      </c>
      <c r="K508" t="s">
        <v>607</v>
      </c>
      <c r="L508" t="s">
        <v>614</v>
      </c>
      <c r="M508" t="s">
        <v>615</v>
      </c>
      <c r="N508" t="s">
        <v>1226</v>
      </c>
      <c r="P508" t="s">
        <v>603</v>
      </c>
      <c r="Q508" t="s">
        <v>648</v>
      </c>
      <c r="R508" t="s">
        <v>989</v>
      </c>
      <c r="S508">
        <v>20180529</v>
      </c>
      <c r="T508" t="s">
        <v>1055</v>
      </c>
      <c r="X508">
        <v>9</v>
      </c>
      <c r="Y508">
        <v>17000</v>
      </c>
      <c r="AA508" t="s">
        <v>605</v>
      </c>
      <c r="AB508">
        <v>20190226</v>
      </c>
      <c r="AE508">
        <f t="shared" si="7"/>
        <v>0</v>
      </c>
      <c r="AF508">
        <v>0</v>
      </c>
      <c r="AG508">
        <v>0</v>
      </c>
      <c r="AH508">
        <v>0</v>
      </c>
      <c r="AI508" s="121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</row>
    <row r="509" spans="1:41">
      <c r="A509">
        <v>201903</v>
      </c>
      <c r="B509">
        <v>25</v>
      </c>
      <c r="C509" t="s">
        <v>526</v>
      </c>
      <c r="D509">
        <v>3190433777151</v>
      </c>
      <c r="E509" t="s">
        <v>53</v>
      </c>
      <c r="F509" t="s">
        <v>597</v>
      </c>
      <c r="G509" t="s">
        <v>598</v>
      </c>
      <c r="H509" t="s">
        <v>599</v>
      </c>
      <c r="I509" t="s">
        <v>606</v>
      </c>
      <c r="J509" t="s">
        <v>606</v>
      </c>
      <c r="K509" t="s">
        <v>607</v>
      </c>
      <c r="L509" t="s">
        <v>614</v>
      </c>
      <c r="M509" t="s">
        <v>615</v>
      </c>
      <c r="N509" t="s">
        <v>1226</v>
      </c>
      <c r="P509" t="s">
        <v>603</v>
      </c>
      <c r="Q509" t="s">
        <v>648</v>
      </c>
      <c r="R509" t="s">
        <v>989</v>
      </c>
      <c r="S509">
        <v>20180703</v>
      </c>
      <c r="T509" t="s">
        <v>1137</v>
      </c>
      <c r="X509">
        <v>7</v>
      </c>
      <c r="Y509">
        <v>24000</v>
      </c>
      <c r="AA509" t="s">
        <v>605</v>
      </c>
      <c r="AB509">
        <v>20190227</v>
      </c>
      <c r="AE509">
        <f t="shared" si="7"/>
        <v>0</v>
      </c>
      <c r="AF509">
        <v>0</v>
      </c>
      <c r="AG509">
        <v>0</v>
      </c>
      <c r="AH509">
        <v>0</v>
      </c>
      <c r="AI509" s="121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</row>
    <row r="510" spans="1:41">
      <c r="A510">
        <v>201903</v>
      </c>
      <c r="B510">
        <v>25</v>
      </c>
      <c r="C510" t="s">
        <v>526</v>
      </c>
      <c r="D510">
        <v>3190444561001</v>
      </c>
      <c r="E510" t="s">
        <v>53</v>
      </c>
      <c r="F510" t="s">
        <v>597</v>
      </c>
      <c r="G510" t="s">
        <v>598</v>
      </c>
      <c r="H510" t="s">
        <v>599</v>
      </c>
      <c r="I510" t="s">
        <v>702</v>
      </c>
      <c r="J510" t="s">
        <v>702</v>
      </c>
      <c r="K510" t="s">
        <v>703</v>
      </c>
      <c r="L510" t="s">
        <v>513</v>
      </c>
      <c r="M510" t="s">
        <v>512</v>
      </c>
      <c r="N510" t="s">
        <v>930</v>
      </c>
      <c r="P510" t="s">
        <v>603</v>
      </c>
      <c r="Q510" t="s">
        <v>648</v>
      </c>
      <c r="R510" t="s">
        <v>989</v>
      </c>
      <c r="S510">
        <v>20180824</v>
      </c>
      <c r="T510" t="s">
        <v>832</v>
      </c>
      <c r="X510">
        <v>6</v>
      </c>
      <c r="Y510">
        <v>27000</v>
      </c>
      <c r="AA510" t="s">
        <v>605</v>
      </c>
      <c r="AB510">
        <v>20190228</v>
      </c>
      <c r="AE510">
        <f t="shared" si="7"/>
        <v>0</v>
      </c>
      <c r="AF510">
        <v>0</v>
      </c>
      <c r="AG510">
        <v>0</v>
      </c>
      <c r="AH510">
        <v>0</v>
      </c>
      <c r="AI510" s="121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</row>
    <row r="511" spans="1:41">
      <c r="A511">
        <v>201903</v>
      </c>
      <c r="B511">
        <v>25</v>
      </c>
      <c r="C511" t="s">
        <v>526</v>
      </c>
      <c r="D511">
        <v>3190445922981</v>
      </c>
      <c r="E511" t="s">
        <v>53</v>
      </c>
      <c r="F511" t="s">
        <v>597</v>
      </c>
      <c r="G511" t="s">
        <v>598</v>
      </c>
      <c r="H511" t="s">
        <v>599</v>
      </c>
      <c r="I511" t="s">
        <v>649</v>
      </c>
      <c r="J511" t="s">
        <v>649</v>
      </c>
      <c r="K511" t="s">
        <v>650</v>
      </c>
      <c r="L511" t="s">
        <v>657</v>
      </c>
      <c r="M511" t="s">
        <v>658</v>
      </c>
      <c r="N511" t="s">
        <v>932</v>
      </c>
      <c r="P511" t="s">
        <v>603</v>
      </c>
      <c r="Q511" t="s">
        <v>648</v>
      </c>
      <c r="R511" t="s">
        <v>980</v>
      </c>
      <c r="S511">
        <v>20180831</v>
      </c>
      <c r="T511" t="s">
        <v>884</v>
      </c>
      <c r="X511">
        <v>6</v>
      </c>
      <c r="Y511">
        <v>36705</v>
      </c>
      <c r="AA511" t="s">
        <v>605</v>
      </c>
      <c r="AB511">
        <v>20190220</v>
      </c>
      <c r="AE511">
        <f t="shared" si="7"/>
        <v>0</v>
      </c>
      <c r="AF511">
        <v>0</v>
      </c>
      <c r="AG511">
        <v>0</v>
      </c>
      <c r="AH511">
        <v>0</v>
      </c>
      <c r="AI511" s="12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</row>
    <row r="512" spans="1:41">
      <c r="A512">
        <v>201903</v>
      </c>
      <c r="B512">
        <v>25</v>
      </c>
      <c r="C512" t="s">
        <v>526</v>
      </c>
      <c r="D512">
        <v>3190448024881</v>
      </c>
      <c r="E512" t="s">
        <v>53</v>
      </c>
      <c r="F512" t="s">
        <v>597</v>
      </c>
      <c r="G512" t="s">
        <v>598</v>
      </c>
      <c r="H512" t="s">
        <v>599</v>
      </c>
      <c r="I512" t="s">
        <v>702</v>
      </c>
      <c r="L512" t="s">
        <v>515</v>
      </c>
      <c r="M512" t="s">
        <v>514</v>
      </c>
      <c r="N512" t="s">
        <v>935</v>
      </c>
      <c r="P512" t="s">
        <v>603</v>
      </c>
      <c r="Q512" t="s">
        <v>648</v>
      </c>
      <c r="R512" t="s">
        <v>996</v>
      </c>
      <c r="S512">
        <v>20180910</v>
      </c>
      <c r="T512" t="s">
        <v>822</v>
      </c>
      <c r="X512">
        <v>5</v>
      </c>
      <c r="Y512">
        <v>114000</v>
      </c>
      <c r="AA512" t="s">
        <v>605</v>
      </c>
      <c r="AB512">
        <v>20190228</v>
      </c>
      <c r="AE512">
        <f t="shared" si="7"/>
        <v>0</v>
      </c>
      <c r="AF512">
        <v>0</v>
      </c>
      <c r="AG512">
        <v>0</v>
      </c>
      <c r="AH512">
        <v>0</v>
      </c>
      <c r="AI512" s="121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</row>
    <row r="513" spans="1:41">
      <c r="A513">
        <v>201903</v>
      </c>
      <c r="B513">
        <v>25</v>
      </c>
      <c r="C513" t="s">
        <v>526</v>
      </c>
      <c r="D513">
        <v>3190466946701</v>
      </c>
      <c r="E513" t="s">
        <v>53</v>
      </c>
      <c r="F513" t="s">
        <v>597</v>
      </c>
      <c r="G513" t="s">
        <v>598</v>
      </c>
      <c r="H513" t="s">
        <v>599</v>
      </c>
      <c r="I513" t="s">
        <v>702</v>
      </c>
      <c r="J513" t="s">
        <v>702</v>
      </c>
      <c r="K513" t="s">
        <v>703</v>
      </c>
      <c r="L513" t="s">
        <v>506</v>
      </c>
      <c r="M513" t="s">
        <v>505</v>
      </c>
      <c r="N513" t="s">
        <v>995</v>
      </c>
      <c r="P513" t="s">
        <v>603</v>
      </c>
      <c r="Q513" t="s">
        <v>648</v>
      </c>
      <c r="R513" t="s">
        <v>980</v>
      </c>
      <c r="S513">
        <v>20181116</v>
      </c>
      <c r="T513" t="s">
        <v>871</v>
      </c>
      <c r="X513">
        <v>3</v>
      </c>
      <c r="Y513">
        <v>154755</v>
      </c>
      <c r="AA513" t="s">
        <v>605</v>
      </c>
      <c r="AB513">
        <v>20190225</v>
      </c>
      <c r="AE513">
        <f t="shared" si="7"/>
        <v>0</v>
      </c>
      <c r="AF513">
        <v>0</v>
      </c>
      <c r="AG513">
        <v>0</v>
      </c>
      <c r="AH513">
        <v>0</v>
      </c>
      <c r="AI513" s="121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</row>
    <row r="514" spans="1:41">
      <c r="A514">
        <v>201903</v>
      </c>
      <c r="B514">
        <v>25</v>
      </c>
      <c r="C514" t="s">
        <v>526</v>
      </c>
      <c r="D514">
        <v>3190470165811</v>
      </c>
      <c r="E514" t="s">
        <v>53</v>
      </c>
      <c r="F514" t="s">
        <v>597</v>
      </c>
      <c r="G514" t="s">
        <v>598</v>
      </c>
      <c r="H514" t="s">
        <v>599</v>
      </c>
      <c r="I514" t="s">
        <v>661</v>
      </c>
      <c r="J514" t="s">
        <v>661</v>
      </c>
      <c r="K514" t="s">
        <v>662</v>
      </c>
      <c r="L514" t="s">
        <v>700</v>
      </c>
      <c r="M514" t="s">
        <v>701</v>
      </c>
      <c r="N514" t="s">
        <v>962</v>
      </c>
      <c r="P514" t="s">
        <v>603</v>
      </c>
      <c r="Q514" t="s">
        <v>648</v>
      </c>
      <c r="R514" t="s">
        <v>1228</v>
      </c>
      <c r="S514">
        <v>20181127</v>
      </c>
      <c r="T514" t="s">
        <v>870</v>
      </c>
      <c r="X514">
        <v>3</v>
      </c>
      <c r="Y514">
        <v>31000</v>
      </c>
      <c r="AA514" t="s">
        <v>605</v>
      </c>
      <c r="AB514">
        <v>20190225</v>
      </c>
      <c r="AE514">
        <f t="shared" si="7"/>
        <v>0</v>
      </c>
      <c r="AF514">
        <v>0</v>
      </c>
      <c r="AG514">
        <v>0</v>
      </c>
      <c r="AH514">
        <v>0</v>
      </c>
      <c r="AI514" s="121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</row>
    <row r="515" spans="1:41">
      <c r="A515">
        <v>201903</v>
      </c>
      <c r="B515">
        <v>25</v>
      </c>
      <c r="C515" t="s">
        <v>526</v>
      </c>
      <c r="D515">
        <v>3190424372181</v>
      </c>
      <c r="E515" t="s">
        <v>53</v>
      </c>
      <c r="F515" t="s">
        <v>597</v>
      </c>
      <c r="G515" t="s">
        <v>598</v>
      </c>
      <c r="H515" t="s">
        <v>599</v>
      </c>
      <c r="I515" t="s">
        <v>606</v>
      </c>
      <c r="J515" t="s">
        <v>606</v>
      </c>
      <c r="K515" t="s">
        <v>607</v>
      </c>
      <c r="L515" t="s">
        <v>752</v>
      </c>
      <c r="M515" t="s">
        <v>753</v>
      </c>
      <c r="N515" t="s">
        <v>1045</v>
      </c>
      <c r="P515" t="s">
        <v>603</v>
      </c>
      <c r="Q515" t="s">
        <v>648</v>
      </c>
      <c r="R515" t="s">
        <v>1035</v>
      </c>
      <c r="S515">
        <v>20180514</v>
      </c>
      <c r="T515" t="s">
        <v>1046</v>
      </c>
      <c r="X515">
        <v>10</v>
      </c>
      <c r="Y515">
        <v>33000</v>
      </c>
      <c r="AA515" t="s">
        <v>605</v>
      </c>
      <c r="AB515">
        <v>20190220</v>
      </c>
      <c r="AE515">
        <f t="shared" ref="AE515:AE525" si="8">AO515-AI515</f>
        <v>19173</v>
      </c>
      <c r="AF515">
        <v>0</v>
      </c>
      <c r="AG515">
        <v>19173</v>
      </c>
      <c r="AH515">
        <v>0</v>
      </c>
      <c r="AI515" s="121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19173</v>
      </c>
    </row>
    <row r="516" spans="1:41">
      <c r="A516">
        <v>201903</v>
      </c>
      <c r="B516">
        <v>25</v>
      </c>
      <c r="C516" t="s">
        <v>526</v>
      </c>
      <c r="D516">
        <v>3190410798511</v>
      </c>
      <c r="E516" t="s">
        <v>53</v>
      </c>
      <c r="F516" t="s">
        <v>597</v>
      </c>
      <c r="G516" t="s">
        <v>598</v>
      </c>
      <c r="H516" t="s">
        <v>599</v>
      </c>
      <c r="I516" t="s">
        <v>606</v>
      </c>
      <c r="J516" t="s">
        <v>606</v>
      </c>
      <c r="K516" t="s">
        <v>607</v>
      </c>
      <c r="L516" t="s">
        <v>625</v>
      </c>
      <c r="M516" t="s">
        <v>626</v>
      </c>
      <c r="N516" t="s">
        <v>941</v>
      </c>
      <c r="P516" t="s">
        <v>603</v>
      </c>
      <c r="Q516" t="s">
        <v>648</v>
      </c>
      <c r="R516" t="s">
        <v>1079</v>
      </c>
      <c r="S516">
        <v>20180307</v>
      </c>
      <c r="T516" t="s">
        <v>1005</v>
      </c>
      <c r="X516">
        <v>12</v>
      </c>
      <c r="Y516">
        <v>22683</v>
      </c>
      <c r="AA516" t="s">
        <v>605</v>
      </c>
      <c r="AB516">
        <v>20190225</v>
      </c>
      <c r="AE516">
        <f t="shared" si="8"/>
        <v>15560</v>
      </c>
      <c r="AF516">
        <v>0</v>
      </c>
      <c r="AG516">
        <v>15560</v>
      </c>
      <c r="AH516">
        <v>0</v>
      </c>
      <c r="AI516" s="121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15560</v>
      </c>
    </row>
    <row r="517" spans="1:41">
      <c r="A517">
        <v>201903</v>
      </c>
      <c r="B517">
        <v>25</v>
      </c>
      <c r="C517" t="s">
        <v>526</v>
      </c>
      <c r="D517">
        <v>3190411969451</v>
      </c>
      <c r="E517" t="s">
        <v>53</v>
      </c>
      <c r="F517" t="s">
        <v>597</v>
      </c>
      <c r="G517" t="s">
        <v>598</v>
      </c>
      <c r="H517" t="s">
        <v>599</v>
      </c>
      <c r="I517" t="s">
        <v>646</v>
      </c>
      <c r="J517" t="s">
        <v>646</v>
      </c>
      <c r="K517" t="s">
        <v>647</v>
      </c>
      <c r="L517" t="s">
        <v>672</v>
      </c>
      <c r="M517" t="s">
        <v>673</v>
      </c>
      <c r="N517" t="s">
        <v>1155</v>
      </c>
      <c r="P517" t="s">
        <v>603</v>
      </c>
      <c r="Q517" t="s">
        <v>727</v>
      </c>
      <c r="R517" t="s">
        <v>1156</v>
      </c>
      <c r="S517">
        <v>20180313</v>
      </c>
      <c r="T517" t="s">
        <v>1157</v>
      </c>
      <c r="X517">
        <v>12</v>
      </c>
      <c r="Y517">
        <v>30000</v>
      </c>
      <c r="AA517" t="s">
        <v>605</v>
      </c>
      <c r="AB517">
        <v>20190225</v>
      </c>
      <c r="AE517">
        <f t="shared" si="8"/>
        <v>17336</v>
      </c>
      <c r="AF517">
        <v>0</v>
      </c>
      <c r="AG517">
        <v>17336</v>
      </c>
      <c r="AH517">
        <v>0</v>
      </c>
      <c r="AI517" s="121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17336</v>
      </c>
    </row>
    <row r="518" spans="1:41">
      <c r="A518">
        <v>201903</v>
      </c>
      <c r="B518">
        <v>25</v>
      </c>
      <c r="C518" t="s">
        <v>526</v>
      </c>
      <c r="D518">
        <v>3190414000771</v>
      </c>
      <c r="E518" t="s">
        <v>53</v>
      </c>
      <c r="F518" t="s">
        <v>597</v>
      </c>
      <c r="G518" t="s">
        <v>598</v>
      </c>
      <c r="H518" t="s">
        <v>599</v>
      </c>
      <c r="I518" t="s">
        <v>674</v>
      </c>
      <c r="L518" t="s">
        <v>705</v>
      </c>
      <c r="M518" t="s">
        <v>706</v>
      </c>
      <c r="N518" t="s">
        <v>966</v>
      </c>
      <c r="P518" t="s">
        <v>603</v>
      </c>
      <c r="Q518" t="s">
        <v>648</v>
      </c>
      <c r="R518" t="s">
        <v>1162</v>
      </c>
      <c r="S518">
        <v>20180326</v>
      </c>
      <c r="T518" t="s">
        <v>1005</v>
      </c>
      <c r="X518">
        <v>12</v>
      </c>
      <c r="Y518">
        <v>23000</v>
      </c>
      <c r="AA518" t="s">
        <v>605</v>
      </c>
      <c r="AB518">
        <v>20190215</v>
      </c>
      <c r="AE518">
        <f t="shared" si="8"/>
        <v>18515</v>
      </c>
      <c r="AF518">
        <v>0</v>
      </c>
      <c r="AG518">
        <v>18515</v>
      </c>
      <c r="AH518">
        <v>0</v>
      </c>
      <c r="AI518" s="121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18515</v>
      </c>
    </row>
    <row r="519" spans="1:41">
      <c r="A519">
        <v>201903</v>
      </c>
      <c r="B519">
        <v>25</v>
      </c>
      <c r="C519" t="s">
        <v>526</v>
      </c>
      <c r="D519">
        <v>3190419621291</v>
      </c>
      <c r="E519" t="s">
        <v>53</v>
      </c>
      <c r="F519" t="s">
        <v>597</v>
      </c>
      <c r="G519" t="s">
        <v>598</v>
      </c>
      <c r="H519" t="s">
        <v>599</v>
      </c>
      <c r="I519" t="s">
        <v>606</v>
      </c>
      <c r="J519" t="s">
        <v>606</v>
      </c>
      <c r="K519" t="s">
        <v>607</v>
      </c>
      <c r="L519" t="s">
        <v>614</v>
      </c>
      <c r="M519" t="s">
        <v>615</v>
      </c>
      <c r="N519" t="s">
        <v>1226</v>
      </c>
      <c r="P519" t="s">
        <v>603</v>
      </c>
      <c r="Q519" t="s">
        <v>648</v>
      </c>
      <c r="R519" t="s">
        <v>989</v>
      </c>
      <c r="S519">
        <v>20180424</v>
      </c>
      <c r="T519" t="s">
        <v>849</v>
      </c>
      <c r="X519">
        <v>11</v>
      </c>
      <c r="Y519">
        <v>11000</v>
      </c>
      <c r="AA519" t="s">
        <v>605</v>
      </c>
      <c r="AB519">
        <v>20190225</v>
      </c>
      <c r="AE519">
        <f t="shared" si="8"/>
        <v>8932</v>
      </c>
      <c r="AF519">
        <v>0</v>
      </c>
      <c r="AG519">
        <v>8932</v>
      </c>
      <c r="AH519">
        <v>0</v>
      </c>
      <c r="AI519" s="121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8932</v>
      </c>
    </row>
    <row r="520" spans="1:41">
      <c r="A520">
        <v>201903</v>
      </c>
      <c r="B520">
        <v>25</v>
      </c>
      <c r="C520" t="s">
        <v>526</v>
      </c>
      <c r="D520">
        <v>3190422642781</v>
      </c>
      <c r="E520" t="s">
        <v>53</v>
      </c>
      <c r="F520" t="s">
        <v>597</v>
      </c>
      <c r="G520" t="s">
        <v>598</v>
      </c>
      <c r="H520" t="s">
        <v>599</v>
      </c>
      <c r="I520" t="s">
        <v>606</v>
      </c>
      <c r="J520" t="s">
        <v>606</v>
      </c>
      <c r="K520" t="s">
        <v>607</v>
      </c>
      <c r="L520" t="s">
        <v>614</v>
      </c>
      <c r="M520" t="s">
        <v>615</v>
      </c>
      <c r="N520" t="s">
        <v>1226</v>
      </c>
      <c r="P520" t="s">
        <v>603</v>
      </c>
      <c r="Q520" t="s">
        <v>648</v>
      </c>
      <c r="R520" t="s">
        <v>989</v>
      </c>
      <c r="S520">
        <v>20180510</v>
      </c>
      <c r="T520" t="s">
        <v>1136</v>
      </c>
      <c r="X520">
        <v>10</v>
      </c>
      <c r="Y520">
        <v>18000</v>
      </c>
      <c r="AA520" t="s">
        <v>605</v>
      </c>
      <c r="AB520">
        <v>20190215</v>
      </c>
      <c r="AE520">
        <f t="shared" si="8"/>
        <v>14616</v>
      </c>
      <c r="AF520">
        <v>0</v>
      </c>
      <c r="AG520">
        <v>14616</v>
      </c>
      <c r="AH520">
        <v>0</v>
      </c>
      <c r="AI520" s="121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14616</v>
      </c>
    </row>
    <row r="521" spans="1:41">
      <c r="A521">
        <v>201903</v>
      </c>
      <c r="B521">
        <v>25</v>
      </c>
      <c r="C521" t="s">
        <v>526</v>
      </c>
      <c r="D521">
        <v>3190424380931</v>
      </c>
      <c r="E521" t="s">
        <v>53</v>
      </c>
      <c r="F521" t="s">
        <v>597</v>
      </c>
      <c r="G521" t="s">
        <v>598</v>
      </c>
      <c r="H521" t="s">
        <v>599</v>
      </c>
      <c r="I521" t="s">
        <v>606</v>
      </c>
      <c r="J521" t="s">
        <v>606</v>
      </c>
      <c r="K521" t="s">
        <v>607</v>
      </c>
      <c r="L521" t="s">
        <v>637</v>
      </c>
      <c r="M521" t="s">
        <v>638</v>
      </c>
      <c r="N521" t="s">
        <v>973</v>
      </c>
      <c r="P521" t="s">
        <v>603</v>
      </c>
      <c r="Q521" t="s">
        <v>648</v>
      </c>
      <c r="R521" t="s">
        <v>1035</v>
      </c>
      <c r="S521">
        <v>20180511</v>
      </c>
      <c r="T521" t="s">
        <v>865</v>
      </c>
      <c r="X521">
        <v>9</v>
      </c>
      <c r="Y521">
        <v>50000</v>
      </c>
      <c r="AA521" t="s">
        <v>605</v>
      </c>
      <c r="AB521">
        <v>20190228</v>
      </c>
      <c r="AE521">
        <f t="shared" si="8"/>
        <v>29050</v>
      </c>
      <c r="AF521">
        <v>0</v>
      </c>
      <c r="AG521">
        <v>29050</v>
      </c>
      <c r="AH521">
        <v>0</v>
      </c>
      <c r="AI521" s="1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29050</v>
      </c>
    </row>
    <row r="522" spans="1:41">
      <c r="A522">
        <v>201903</v>
      </c>
      <c r="B522">
        <v>25</v>
      </c>
      <c r="C522" t="s">
        <v>526</v>
      </c>
      <c r="D522">
        <v>3190426766411</v>
      </c>
      <c r="E522" t="s">
        <v>53</v>
      </c>
      <c r="F522" t="s">
        <v>597</v>
      </c>
      <c r="G522" t="s">
        <v>598</v>
      </c>
      <c r="H522" t="s">
        <v>599</v>
      </c>
      <c r="I522" t="s">
        <v>661</v>
      </c>
      <c r="L522" t="s">
        <v>669</v>
      </c>
      <c r="M522" t="s">
        <v>670</v>
      </c>
      <c r="N522" t="s">
        <v>949</v>
      </c>
      <c r="P522" t="s">
        <v>603</v>
      </c>
      <c r="Q522" t="s">
        <v>727</v>
      </c>
      <c r="R522" t="s">
        <v>1002</v>
      </c>
      <c r="S522">
        <v>20180528</v>
      </c>
      <c r="T522" t="s">
        <v>1027</v>
      </c>
      <c r="X522">
        <v>8</v>
      </c>
      <c r="Y522">
        <v>20000</v>
      </c>
      <c r="AA522" t="s">
        <v>605</v>
      </c>
      <c r="AB522">
        <v>20190228</v>
      </c>
      <c r="AE522">
        <f t="shared" si="8"/>
        <v>11620</v>
      </c>
      <c r="AF522">
        <v>0</v>
      </c>
      <c r="AG522">
        <v>11620</v>
      </c>
      <c r="AH522">
        <v>0</v>
      </c>
      <c r="AI522" s="121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11620</v>
      </c>
    </row>
    <row r="523" spans="1:41">
      <c r="A523">
        <v>201903</v>
      </c>
      <c r="B523">
        <v>25</v>
      </c>
      <c r="C523" t="s">
        <v>526</v>
      </c>
      <c r="D523">
        <v>3190429859821</v>
      </c>
      <c r="E523" t="s">
        <v>53</v>
      </c>
      <c r="F523" t="s">
        <v>597</v>
      </c>
      <c r="G523" t="s">
        <v>598</v>
      </c>
      <c r="H523" t="s">
        <v>599</v>
      </c>
      <c r="I523" t="s">
        <v>606</v>
      </c>
      <c r="J523" t="s">
        <v>606</v>
      </c>
      <c r="K523" t="s">
        <v>607</v>
      </c>
      <c r="L523" t="s">
        <v>625</v>
      </c>
      <c r="M523" t="s">
        <v>626</v>
      </c>
      <c r="N523" t="s">
        <v>941</v>
      </c>
      <c r="P523" t="s">
        <v>603</v>
      </c>
      <c r="Q523" t="s">
        <v>648</v>
      </c>
      <c r="R523" t="s">
        <v>1102</v>
      </c>
      <c r="S523">
        <v>20180612</v>
      </c>
      <c r="T523" t="s">
        <v>1103</v>
      </c>
      <c r="X523">
        <v>9</v>
      </c>
      <c r="Y523">
        <v>52000</v>
      </c>
      <c r="AA523" t="s">
        <v>605</v>
      </c>
      <c r="AB523">
        <v>20190225</v>
      </c>
      <c r="AE523">
        <f t="shared" si="8"/>
        <v>39793</v>
      </c>
      <c r="AF523">
        <v>0</v>
      </c>
      <c r="AG523">
        <v>39793</v>
      </c>
      <c r="AH523">
        <v>0</v>
      </c>
      <c r="AI523" s="121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39793</v>
      </c>
    </row>
    <row r="524" spans="1:41">
      <c r="A524">
        <v>201903</v>
      </c>
      <c r="B524">
        <v>25</v>
      </c>
      <c r="C524" t="s">
        <v>526</v>
      </c>
      <c r="D524">
        <v>3190487718701</v>
      </c>
      <c r="E524" t="s">
        <v>53</v>
      </c>
      <c r="F524" t="s">
        <v>690</v>
      </c>
      <c r="G524" t="s">
        <v>598</v>
      </c>
      <c r="H524" t="s">
        <v>599</v>
      </c>
      <c r="I524" t="s">
        <v>661</v>
      </c>
      <c r="L524" t="s">
        <v>669</v>
      </c>
      <c r="M524" t="s">
        <v>670</v>
      </c>
      <c r="N524" t="s">
        <v>949</v>
      </c>
      <c r="P524" t="s">
        <v>691</v>
      </c>
      <c r="Q524" t="s">
        <v>648</v>
      </c>
      <c r="R524" t="s">
        <v>985</v>
      </c>
      <c r="S524">
        <v>20190201</v>
      </c>
      <c r="T524" t="s">
        <v>912</v>
      </c>
      <c r="X524">
        <v>1</v>
      </c>
      <c r="Y524">
        <v>47999</v>
      </c>
      <c r="Z524">
        <v>113278</v>
      </c>
      <c r="AA524" t="s">
        <v>605</v>
      </c>
      <c r="AB524">
        <v>20190201</v>
      </c>
      <c r="AE524">
        <f t="shared" si="8"/>
        <v>243547</v>
      </c>
      <c r="AF524">
        <v>243547</v>
      </c>
      <c r="AG524">
        <v>0</v>
      </c>
      <c r="AH524">
        <v>0</v>
      </c>
      <c r="AI524" s="121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243547</v>
      </c>
    </row>
    <row r="525" spans="1:41">
      <c r="A525">
        <v>201903</v>
      </c>
      <c r="B525">
        <v>25</v>
      </c>
      <c r="C525" t="s">
        <v>526</v>
      </c>
      <c r="D525">
        <v>3190489092591</v>
      </c>
      <c r="E525" t="s">
        <v>53</v>
      </c>
      <c r="F525" t="s">
        <v>690</v>
      </c>
      <c r="G525" t="s">
        <v>598</v>
      </c>
      <c r="H525" t="s">
        <v>599</v>
      </c>
      <c r="I525" t="s">
        <v>661</v>
      </c>
      <c r="L525" t="s">
        <v>669</v>
      </c>
      <c r="M525" t="s">
        <v>670</v>
      </c>
      <c r="N525" t="s">
        <v>949</v>
      </c>
      <c r="P525" t="s">
        <v>691</v>
      </c>
      <c r="Q525" t="s">
        <v>648</v>
      </c>
      <c r="R525" t="s">
        <v>985</v>
      </c>
      <c r="S525">
        <v>20190208</v>
      </c>
      <c r="T525" t="s">
        <v>861</v>
      </c>
      <c r="X525">
        <v>1</v>
      </c>
      <c r="Y525">
        <v>113209</v>
      </c>
      <c r="Z525">
        <v>267173</v>
      </c>
      <c r="AA525" t="s">
        <v>605</v>
      </c>
      <c r="AB525">
        <v>20190208</v>
      </c>
      <c r="AE525">
        <f t="shared" si="8"/>
        <v>574421</v>
      </c>
      <c r="AF525">
        <v>574421</v>
      </c>
      <c r="AG525">
        <v>0</v>
      </c>
      <c r="AH525">
        <v>0</v>
      </c>
      <c r="AI525" s="121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574421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30</vt:i4>
      </vt:variant>
    </vt:vector>
  </HeadingPairs>
  <TitlesOfParts>
    <vt:vector size="37" baseType="lpstr">
      <vt:lpstr>Guide</vt:lpstr>
      <vt:lpstr>수수료작업</vt:lpstr>
      <vt:lpstr>파일정보</vt:lpstr>
      <vt:lpstr>시트명변경</vt:lpstr>
      <vt:lpstr>데이터가져오기</vt:lpstr>
      <vt:lpstr>TEMP</vt:lpstr>
      <vt:lpstr>TempSht</vt:lpstr>
      <vt:lpstr>TEMP!Extract</vt:lpstr>
      <vt:lpstr>가온_피스토스_필터</vt:lpstr>
      <vt:lpstr>글래드피스토스2팀_필터</vt:lpstr>
      <vt:lpstr>대상2</vt:lpstr>
      <vt:lpstr>대상년월</vt:lpstr>
      <vt:lpstr>대상작업</vt:lpstr>
      <vt:lpstr>박종철지급율</vt:lpstr>
      <vt:lpstr>박종철필터</vt:lpstr>
      <vt:lpstr>사원수수료컬럼명</vt:lpstr>
      <vt:lpstr>시작점</vt:lpstr>
      <vt:lpstr>실손필터</vt:lpstr>
      <vt:lpstr>씨티엠필터</vt:lpstr>
      <vt:lpstr>여주레전드초회필터</vt:lpstr>
      <vt:lpstr>여주레전드필터</vt:lpstr>
      <vt:lpstr>원장작업시트</vt:lpstr>
      <vt:lpstr>원장정산율</vt:lpstr>
      <vt:lpstr>원장지점필터</vt:lpstr>
      <vt:lpstr>원장필터</vt:lpstr>
      <vt:lpstr>자동차일반</vt:lpstr>
      <vt:lpstr>작업정보</vt:lpstr>
      <vt:lpstr>재물필터</vt:lpstr>
      <vt:lpstr>지점초회필터</vt:lpstr>
      <vt:lpstr>지점필터</vt:lpstr>
      <vt:lpstr>팀필터</vt:lpstr>
      <vt:lpstr>피스토스환수</vt:lpstr>
      <vt:lpstr>피스토스환수율</vt:lpstr>
      <vt:lpstr>필터조건명</vt:lpstr>
      <vt:lpstr>환수결과파일명</vt:lpstr>
      <vt:lpstr>환수대상컬럼</vt:lpstr>
      <vt:lpstr>환수대상필터</vt:lpstr>
    </vt:vector>
  </TitlesOfParts>
  <Company>win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HK</dc:creator>
  <cp:lastModifiedBy>hkc cloud01</cp:lastModifiedBy>
  <cp:lastPrinted>2020-05-24T00:23:38Z</cp:lastPrinted>
  <dcterms:created xsi:type="dcterms:W3CDTF">2017-12-14T07:46:07Z</dcterms:created>
  <dcterms:modified xsi:type="dcterms:W3CDTF">2021-12-24T07:40:15Z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b05cd796-7621-4b38-9e22-6a1d4a2ff226</vt:lpwstr>
  </property>
</Properties>
</file>