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글로벌백업(180329)\77.EXCEL\My VBA\"/>
    </mc:Choice>
  </mc:AlternateContent>
  <xr:revisionPtr revIDLastSave="0" documentId="13_ncr:1_{64749193-9CBB-4781-8788-1B6BC4FC65A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uide" sheetId="11" r:id="rId1"/>
    <sheet name="수수료작업" sheetId="10" r:id="rId2"/>
    <sheet name="파일정보" sheetId="7" r:id="rId3"/>
    <sheet name="시트명변경" sheetId="14" r:id="rId4"/>
    <sheet name="데이터가져오기" sheetId="4" r:id="rId5"/>
    <sheet name="TEMP" sheetId="6" r:id="rId6"/>
    <sheet name="TempSht" sheetId="12" r:id="rId7"/>
  </sheets>
  <functionGroups builtInGroupCount="19"/>
  <definedNames>
    <definedName name="_xlnm._FilterDatabase" localSheetId="5" hidden="1">TEMP!#REF!</definedName>
    <definedName name="_xlnm._FilterDatabase" localSheetId="6" hidden="1">TempSht!$A$1:$AO$525</definedName>
    <definedName name="_xlnm.Extract" localSheetId="5">TEMP!$A$1:$AE$1</definedName>
    <definedName name="가온_피스토스_필터">수수료작업!$Z$69:$AC$83</definedName>
    <definedName name="검색조건">OFFSET(데이터가져오기!$J$2,0,0,데이터가져오기!$O$1,COUNTA(데이터가져오기!$J$2:$O$2))</definedName>
    <definedName name="경기지점원장필터">OFFSET(수수료작업!$X$52,0,0,COUNTA(수수료작업!$X$52:$X$58),4)</definedName>
    <definedName name="대상2">수수료작업!$J$6</definedName>
    <definedName name="대상년월">수수료작업!$K$5</definedName>
    <definedName name="대상작업">수수료작업!$K$6</definedName>
    <definedName name="대상파일">OFFSET(수수료작업!$B$5,0,0,COUNTA(수수료작업!$B$5:$B$44),7)</definedName>
    <definedName name="박종철지급율">수수료작업!$BA$5:$BJ$9</definedName>
    <definedName name="박종철필터">수수료작업!$AU$5:$AY$21</definedName>
    <definedName name="복사할컬럼">OFFSET(데이터가져오기!$Q$2,0,0,COUNTA(데이터가져오기!$Q$2:$R$14),2)</definedName>
    <definedName name="사원수수료컬럼명">수수료작업!$AG$53</definedName>
    <definedName name="삭제컬럼">OFFSET(데이터가져오기!$T$2,0,0,COUNTA(데이터가져오기!$T$2:$T$14),2)</definedName>
    <definedName name="송내_성공_GOMS">OFFSET(수수료작업!$X$87,0,0,COUNTA(수수료작업!$X$87:$X$95),2)</definedName>
    <definedName name="송내_성공_필터">OFFSET(수수료작업!$S$13,0,0,COUNTA(수수료작업!$S$13:$S$27),2)</definedName>
    <definedName name="시작점">데이터가져오기!$A$18</definedName>
    <definedName name="실손필터">수수료작업!$AP$41:$AR$42</definedName>
    <definedName name="씨티엠필터">수수료작업!$R$69:$T$81</definedName>
    <definedName name="여주레전드초회필터">수수료작업!$S$32:$U$42</definedName>
    <definedName name="여주레전드필터">수수료작업!$S$54:$S$56</definedName>
    <definedName name="원장작업시트">수수료작업!$AE$69:$AE$81</definedName>
    <definedName name="원장정산율">수수료작업!$L$21</definedName>
    <definedName name="원장지점필터">수수료작업!$V$17:$V$18</definedName>
    <definedName name="원장파일정보">OFFSET(파일정보!$B$198,0,0,COUNTA(파일정보!$B$201:$B$217),4)</definedName>
    <definedName name="원장필터">수수료작업!$V$12:$V$13</definedName>
    <definedName name="자동차일반">수수료작업!$S$59</definedName>
    <definedName name="작업정보">수수료작업!$O$5:$Q$18</definedName>
    <definedName name="재물필터">수수료작업!$AP$5:$AR$10</definedName>
    <definedName name="지급율필터">OFFSET(수수료작업!$X$5,0,0,COUNTA(수수료작업!$X$5:$X$42),2)</definedName>
    <definedName name="지점초회필터">수수료작업!$S$5:$T$8</definedName>
    <definedName name="지점필터">수수료작업!$V$5:$V$6</definedName>
    <definedName name="팀필터">수수료작업!$V$23:$V$24</definedName>
    <definedName name="파일1년월">OFFSET(파일정보!$A$3,0,0,COUNTA(파일정보!$A$3:$A$100),1)</definedName>
    <definedName name="파일1정보">OFFSET(파일정보!$A$3,0,0,COUNTA(파일정보!$A$3:$A$100),6)</definedName>
    <definedName name="피스토스환수">수수료작업!$AG$6</definedName>
    <definedName name="피스토스환수율">수수료작업!$AH$27:$AI$39</definedName>
    <definedName name="필터조건명">수수료작업!$K$7</definedName>
    <definedName name="환수결과파일명">수수료작업!$AF$24</definedName>
    <definedName name="환수대상컬럼">수수료작업!$AG$47:$AK$50</definedName>
    <definedName name="환수대상필터">수수료작업!$AG$41:$AK$44</definedName>
    <definedName name="환수필터">OFFSET(수수료작업!$AA$5,0,0,COUNTA(수수료작업!$AA$5:$AA$104),3)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6" i="7" l="1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V8" i="10" l="1"/>
  <c r="V6" i="10" s="1"/>
  <c r="V5" i="10" s="1"/>
  <c r="S26" i="10" l="1"/>
  <c r="S25" i="10"/>
  <c r="S24" i="10"/>
  <c r="V17" i="10" l="1"/>
  <c r="AE525" i="12" l="1"/>
  <c r="AE524" i="12"/>
  <c r="AE523" i="12"/>
  <c r="AE522" i="12"/>
  <c r="AE521" i="12"/>
  <c r="AE520" i="12"/>
  <c r="AE519" i="12"/>
  <c r="AE518" i="12"/>
  <c r="AE517" i="12"/>
  <c r="AE516" i="12"/>
  <c r="AE515" i="12"/>
  <c r="AE514" i="12"/>
  <c r="AE513" i="12"/>
  <c r="AE512" i="12"/>
  <c r="AE511" i="12"/>
  <c r="AE510" i="12"/>
  <c r="AE509" i="12"/>
  <c r="AE508" i="12"/>
  <c r="AE507" i="12"/>
  <c r="AE506" i="12"/>
  <c r="AE505" i="12"/>
  <c r="AE504" i="12"/>
  <c r="AE503" i="12"/>
  <c r="AE502" i="12"/>
  <c r="AE501" i="12"/>
  <c r="AE500" i="12"/>
  <c r="AE499" i="12"/>
  <c r="AE498" i="12"/>
  <c r="AE497" i="12"/>
  <c r="AE496" i="12"/>
  <c r="AE495" i="12"/>
  <c r="AE494" i="12"/>
  <c r="AE493" i="12"/>
  <c r="AE492" i="12"/>
  <c r="AE491" i="12"/>
  <c r="AE490" i="12"/>
  <c r="AE489" i="12"/>
  <c r="AE488" i="12"/>
  <c r="AE487" i="12"/>
  <c r="AE486" i="12"/>
  <c r="AE485" i="12"/>
  <c r="AE484" i="12"/>
  <c r="AE483" i="12"/>
  <c r="AE482" i="12"/>
  <c r="AE481" i="12"/>
  <c r="AE480" i="12"/>
  <c r="AE479" i="12"/>
  <c r="AE478" i="12"/>
  <c r="AE477" i="12"/>
  <c r="AE476" i="12"/>
  <c r="AE475" i="12"/>
  <c r="AE474" i="12"/>
  <c r="AE473" i="12"/>
  <c r="AE472" i="12"/>
  <c r="AE471" i="12"/>
  <c r="AE470" i="12"/>
  <c r="AE469" i="12"/>
  <c r="AE468" i="12"/>
  <c r="AE467" i="12"/>
  <c r="AE466" i="12"/>
  <c r="AE465" i="12"/>
  <c r="AE464" i="12"/>
  <c r="AE463" i="12"/>
  <c r="AE462" i="12"/>
  <c r="AE461" i="12"/>
  <c r="AE460" i="12"/>
  <c r="AE459" i="12"/>
  <c r="AE458" i="12"/>
  <c r="AE457" i="12"/>
  <c r="AE456" i="12"/>
  <c r="AE455" i="12"/>
  <c r="AE454" i="12"/>
  <c r="AE453" i="12"/>
  <c r="AE452" i="12"/>
  <c r="AE451" i="12"/>
  <c r="AE450" i="12"/>
  <c r="AE449" i="12"/>
  <c r="AE448" i="12"/>
  <c r="AE447" i="12"/>
  <c r="AE446" i="12"/>
  <c r="AE445" i="12"/>
  <c r="AE444" i="12"/>
  <c r="AE443" i="12"/>
  <c r="AE442" i="12"/>
  <c r="AE441" i="12"/>
  <c r="AE440" i="12"/>
  <c r="AE439" i="12"/>
  <c r="AE438" i="12"/>
  <c r="AE437" i="12"/>
  <c r="AE436" i="12"/>
  <c r="AE435" i="12"/>
  <c r="AE434" i="12"/>
  <c r="AE433" i="12"/>
  <c r="AE432" i="12"/>
  <c r="AE431" i="12"/>
  <c r="AE430" i="12"/>
  <c r="AE429" i="12"/>
  <c r="AE428" i="12"/>
  <c r="AE427" i="12"/>
  <c r="AE426" i="12"/>
  <c r="AE425" i="12"/>
  <c r="AE424" i="12"/>
  <c r="AE423" i="12"/>
  <c r="AE422" i="12"/>
  <c r="AE421" i="12"/>
  <c r="AE420" i="12"/>
  <c r="AE419" i="12"/>
  <c r="AE418" i="12"/>
  <c r="AE417" i="12"/>
  <c r="AE416" i="12"/>
  <c r="AE415" i="12"/>
  <c r="AE414" i="12"/>
  <c r="AE413" i="12"/>
  <c r="AE412" i="12"/>
  <c r="AE411" i="12"/>
  <c r="AE410" i="12"/>
  <c r="AE409" i="12"/>
  <c r="AE408" i="12"/>
  <c r="AE407" i="12"/>
  <c r="AE406" i="12"/>
  <c r="AE405" i="12"/>
  <c r="AE404" i="12"/>
  <c r="AE403" i="12"/>
  <c r="AE402" i="12"/>
  <c r="AE401" i="12"/>
  <c r="AE400" i="12"/>
  <c r="AE399" i="12"/>
  <c r="AE398" i="12"/>
  <c r="AE397" i="12"/>
  <c r="AE396" i="12"/>
  <c r="AE395" i="12"/>
  <c r="AE394" i="12"/>
  <c r="AE393" i="12"/>
  <c r="AE392" i="12"/>
  <c r="AE391" i="12"/>
  <c r="AE390" i="12"/>
  <c r="AE389" i="12"/>
  <c r="AE388" i="12"/>
  <c r="AE387" i="12"/>
  <c r="AE386" i="12"/>
  <c r="AE385" i="12"/>
  <c r="AE384" i="12"/>
  <c r="AE383" i="12"/>
  <c r="AE382" i="12"/>
  <c r="AE381" i="12"/>
  <c r="AE380" i="12"/>
  <c r="AE379" i="12"/>
  <c r="AE378" i="12"/>
  <c r="AE377" i="12"/>
  <c r="AE376" i="12"/>
  <c r="AE375" i="12"/>
  <c r="AE374" i="12"/>
  <c r="AE373" i="12"/>
  <c r="AE372" i="12"/>
  <c r="AE371" i="12"/>
  <c r="AE370" i="12"/>
  <c r="AE369" i="12"/>
  <c r="AE368" i="12"/>
  <c r="AE367" i="12"/>
  <c r="AE366" i="12"/>
  <c r="AE365" i="12"/>
  <c r="AE364" i="12"/>
  <c r="AE363" i="12"/>
  <c r="AE362" i="12"/>
  <c r="AE361" i="12"/>
  <c r="AE360" i="12"/>
  <c r="AE359" i="12"/>
  <c r="AE358" i="12"/>
  <c r="AE357" i="12"/>
  <c r="AE356" i="12"/>
  <c r="AE355" i="12"/>
  <c r="AE354" i="12"/>
  <c r="AE353" i="12"/>
  <c r="AE352" i="12"/>
  <c r="AE351" i="12"/>
  <c r="AE350" i="12"/>
  <c r="AE349" i="12"/>
  <c r="AE348" i="12"/>
  <c r="AE347" i="12"/>
  <c r="AE346" i="12"/>
  <c r="AE345" i="12"/>
  <c r="AE344" i="12"/>
  <c r="AE343" i="12"/>
  <c r="AE342" i="12"/>
  <c r="AE341" i="12"/>
  <c r="AE340" i="12"/>
  <c r="AE339" i="12"/>
  <c r="AE338" i="12"/>
  <c r="AE337" i="12"/>
  <c r="AE336" i="12"/>
  <c r="AE335" i="12"/>
  <c r="AE334" i="12"/>
  <c r="AE333" i="12"/>
  <c r="AE332" i="12"/>
  <c r="AE331" i="12"/>
  <c r="AE330" i="12"/>
  <c r="AE329" i="12"/>
  <c r="AE328" i="12"/>
  <c r="AE327" i="12"/>
  <c r="AE326" i="12"/>
  <c r="AE325" i="12"/>
  <c r="AE324" i="12"/>
  <c r="AE323" i="12"/>
  <c r="AE322" i="12"/>
  <c r="AE321" i="12"/>
  <c r="AE320" i="12"/>
  <c r="AE319" i="12"/>
  <c r="AE318" i="12"/>
  <c r="AE317" i="12"/>
  <c r="AE316" i="12"/>
  <c r="AE315" i="12"/>
  <c r="AE314" i="12"/>
  <c r="AE313" i="12"/>
  <c r="AE312" i="12"/>
  <c r="AE311" i="12"/>
  <c r="AE310" i="12"/>
  <c r="AE309" i="12"/>
  <c r="AE308" i="12"/>
  <c r="AE307" i="12"/>
  <c r="AE306" i="12"/>
  <c r="AE305" i="12"/>
  <c r="AE304" i="12"/>
  <c r="AE303" i="12"/>
  <c r="AE302" i="12"/>
  <c r="AE301" i="12"/>
  <c r="AE300" i="12"/>
  <c r="AE299" i="12"/>
  <c r="AE298" i="12"/>
  <c r="AE297" i="12"/>
  <c r="AE296" i="12"/>
  <c r="AE295" i="12"/>
  <c r="AE294" i="12"/>
  <c r="AE293" i="12"/>
  <c r="AE292" i="12"/>
  <c r="AE291" i="12"/>
  <c r="AE290" i="12"/>
  <c r="AE289" i="12"/>
  <c r="AE288" i="12"/>
  <c r="AE287" i="12"/>
  <c r="AE286" i="12"/>
  <c r="AE285" i="12"/>
  <c r="AE284" i="12"/>
  <c r="AE283" i="12"/>
  <c r="AE282" i="12"/>
  <c r="AE281" i="12"/>
  <c r="AE280" i="12"/>
  <c r="AE279" i="12"/>
  <c r="AE278" i="12"/>
  <c r="AE277" i="12"/>
  <c r="AE276" i="12"/>
  <c r="AE275" i="12"/>
  <c r="AE274" i="12"/>
  <c r="AE273" i="12"/>
  <c r="AE272" i="12"/>
  <c r="AE271" i="12"/>
  <c r="AE270" i="12"/>
  <c r="AE269" i="12"/>
  <c r="AE268" i="12"/>
  <c r="AE267" i="12"/>
  <c r="AE266" i="12"/>
  <c r="AE265" i="12"/>
  <c r="AE264" i="12"/>
  <c r="AE263" i="12"/>
  <c r="AE262" i="12"/>
  <c r="AE261" i="12"/>
  <c r="AE260" i="12"/>
  <c r="AE259" i="12"/>
  <c r="AE258" i="12"/>
  <c r="AE257" i="12"/>
  <c r="AE256" i="12"/>
  <c r="AE255" i="12"/>
  <c r="AE254" i="12"/>
  <c r="AE253" i="12"/>
  <c r="AE252" i="12"/>
  <c r="AE251" i="12"/>
  <c r="AE250" i="12"/>
  <c r="AE249" i="12"/>
  <c r="AE248" i="12"/>
  <c r="AE247" i="12"/>
  <c r="AE246" i="12"/>
  <c r="AE245" i="12"/>
  <c r="AE244" i="12"/>
  <c r="AE243" i="12"/>
  <c r="AE242" i="12"/>
  <c r="AE241" i="12"/>
  <c r="AE240" i="12"/>
  <c r="AE239" i="12"/>
  <c r="AE238" i="12"/>
  <c r="AE237" i="12"/>
  <c r="AE236" i="12"/>
  <c r="AE235" i="12"/>
  <c r="AE234" i="12"/>
  <c r="AE233" i="12"/>
  <c r="AE232" i="12"/>
  <c r="AE231" i="12"/>
  <c r="AE230" i="12"/>
  <c r="AE229" i="12"/>
  <c r="AE228" i="12"/>
  <c r="AE227" i="12"/>
  <c r="AE226" i="12"/>
  <c r="AE225" i="12"/>
  <c r="AE224" i="12"/>
  <c r="AE223" i="12"/>
  <c r="AE222" i="12"/>
  <c r="AE221" i="12"/>
  <c r="AE220" i="12"/>
  <c r="AE219" i="12"/>
  <c r="AE218" i="12"/>
  <c r="AE217" i="12"/>
  <c r="AE216" i="12"/>
  <c r="AE215" i="12"/>
  <c r="AE214" i="12"/>
  <c r="AE213" i="12"/>
  <c r="AE212" i="12"/>
  <c r="AE211" i="12"/>
  <c r="AE210" i="12"/>
  <c r="AE209" i="12"/>
  <c r="AE208" i="12"/>
  <c r="AE207" i="12"/>
  <c r="AE206" i="12"/>
  <c r="AE205" i="12"/>
  <c r="AE204" i="12"/>
  <c r="AE203" i="12"/>
  <c r="AE202" i="12"/>
  <c r="AE201" i="12"/>
  <c r="AE200" i="12"/>
  <c r="AE199" i="12"/>
  <c r="AE198" i="12"/>
  <c r="AE197" i="12"/>
  <c r="AE196" i="12"/>
  <c r="AE195" i="12"/>
  <c r="AE194" i="12"/>
  <c r="AE193" i="12"/>
  <c r="AE192" i="12"/>
  <c r="AE191" i="12"/>
  <c r="AE190" i="12"/>
  <c r="AE189" i="12"/>
  <c r="AE188" i="12"/>
  <c r="AE187" i="12"/>
  <c r="AE186" i="12"/>
  <c r="AE185" i="12"/>
  <c r="AE184" i="12"/>
  <c r="AE183" i="12"/>
  <c r="AE182" i="12"/>
  <c r="AE181" i="12"/>
  <c r="AE180" i="12"/>
  <c r="AE179" i="12"/>
  <c r="AE178" i="12"/>
  <c r="AE177" i="12"/>
  <c r="AE176" i="12"/>
  <c r="AE175" i="12"/>
  <c r="AE174" i="12"/>
  <c r="AE173" i="12"/>
  <c r="AE172" i="12"/>
  <c r="AE171" i="12"/>
  <c r="AE170" i="12"/>
  <c r="AE169" i="12"/>
  <c r="AE168" i="12"/>
  <c r="AE167" i="12"/>
  <c r="AE166" i="12"/>
  <c r="AE165" i="12"/>
  <c r="AE164" i="12"/>
  <c r="AE163" i="12"/>
  <c r="AE162" i="12"/>
  <c r="AE161" i="12"/>
  <c r="AE160" i="12"/>
  <c r="AE159" i="12"/>
  <c r="AE158" i="12"/>
  <c r="AE157" i="12"/>
  <c r="AE156" i="12"/>
  <c r="AE155" i="12"/>
  <c r="AE154" i="12"/>
  <c r="AE153" i="12"/>
  <c r="AE152" i="12"/>
  <c r="AE151" i="12"/>
  <c r="AE150" i="12"/>
  <c r="AE149" i="12"/>
  <c r="AE148" i="12"/>
  <c r="AE147" i="12"/>
  <c r="AE146" i="12"/>
  <c r="AE145" i="12"/>
  <c r="AE144" i="12"/>
  <c r="AE143" i="12"/>
  <c r="AE142" i="12"/>
  <c r="AE141" i="12"/>
  <c r="AE140" i="12"/>
  <c r="AE139" i="12"/>
  <c r="AE138" i="12"/>
  <c r="AE137" i="12"/>
  <c r="AE136" i="12"/>
  <c r="AE135" i="12"/>
  <c r="AE134" i="12"/>
  <c r="AE133" i="12"/>
  <c r="AE132" i="12"/>
  <c r="AE131" i="12"/>
  <c r="AE130" i="12"/>
  <c r="AE129" i="12"/>
  <c r="AE128" i="12"/>
  <c r="AE127" i="12"/>
  <c r="AE126" i="12"/>
  <c r="AE125" i="12"/>
  <c r="AE124" i="12"/>
  <c r="AE123" i="12"/>
  <c r="AE122" i="12"/>
  <c r="AE121" i="12"/>
  <c r="AE120" i="12"/>
  <c r="AE119" i="12"/>
  <c r="AE118" i="12"/>
  <c r="AE117" i="12"/>
  <c r="AE116" i="12"/>
  <c r="AE115" i="12"/>
  <c r="AE114" i="12"/>
  <c r="AE113" i="12"/>
  <c r="AE112" i="12"/>
  <c r="AE111" i="12"/>
  <c r="AE110" i="12"/>
  <c r="AE109" i="12"/>
  <c r="AE108" i="12"/>
  <c r="AE107" i="12"/>
  <c r="AE106" i="12"/>
  <c r="AE105" i="12"/>
  <c r="AE104" i="12"/>
  <c r="AE103" i="12"/>
  <c r="AE102" i="12"/>
  <c r="AE101" i="12"/>
  <c r="AE100" i="12"/>
  <c r="AE99" i="12"/>
  <c r="AE98" i="12"/>
  <c r="AE97" i="12"/>
  <c r="AE96" i="12"/>
  <c r="AE95" i="12"/>
  <c r="AE94" i="12"/>
  <c r="AE93" i="12"/>
  <c r="AE92" i="12"/>
  <c r="AE91" i="12"/>
  <c r="AE90" i="12"/>
  <c r="AE89" i="12"/>
  <c r="AE88" i="12"/>
  <c r="AE87" i="12"/>
  <c r="AE86" i="12"/>
  <c r="AE85" i="12"/>
  <c r="AE84" i="12"/>
  <c r="AE83" i="12"/>
  <c r="AE82" i="12"/>
  <c r="AE81" i="12"/>
  <c r="AE80" i="12"/>
  <c r="AE79" i="12"/>
  <c r="AE78" i="12"/>
  <c r="AE77" i="12"/>
  <c r="AE76" i="12"/>
  <c r="AE75" i="12"/>
  <c r="AE74" i="12"/>
  <c r="AE73" i="12"/>
  <c r="AE72" i="12"/>
  <c r="AE71" i="12"/>
  <c r="AE70" i="12"/>
  <c r="AE69" i="12"/>
  <c r="AE68" i="12"/>
  <c r="AE67" i="12"/>
  <c r="AE66" i="12"/>
  <c r="AE65" i="12"/>
  <c r="AE64" i="12"/>
  <c r="AE63" i="12"/>
  <c r="AE62" i="12"/>
  <c r="AE61" i="12"/>
  <c r="AE60" i="12"/>
  <c r="AE59" i="12"/>
  <c r="AE58" i="12"/>
  <c r="AE57" i="12"/>
  <c r="AE56" i="12"/>
  <c r="AE55" i="12"/>
  <c r="AE54" i="12"/>
  <c r="AE53" i="12"/>
  <c r="AE52" i="12"/>
  <c r="AE51" i="12"/>
  <c r="AE50" i="12"/>
  <c r="AE49" i="12"/>
  <c r="AE48" i="12"/>
  <c r="AE47" i="12"/>
  <c r="AE46" i="12"/>
  <c r="AE45" i="12"/>
  <c r="AE44" i="12"/>
  <c r="AE43" i="12"/>
  <c r="AE42" i="12"/>
  <c r="AE41" i="12"/>
  <c r="AE40" i="12"/>
  <c r="AE39" i="12"/>
  <c r="AE38" i="12"/>
  <c r="AE37" i="12"/>
  <c r="AE36" i="12"/>
  <c r="AE35" i="12"/>
  <c r="AE34" i="12"/>
  <c r="AE33" i="12"/>
  <c r="AE32" i="12"/>
  <c r="AE31" i="12"/>
  <c r="AE30" i="12"/>
  <c r="AE29" i="12"/>
  <c r="AE28" i="12"/>
  <c r="AE27" i="12"/>
  <c r="AE26" i="12"/>
  <c r="AE25" i="12"/>
  <c r="AE24" i="12"/>
  <c r="AE23" i="12"/>
  <c r="AE22" i="12"/>
  <c r="AE21" i="12"/>
  <c r="AE20" i="12"/>
  <c r="AE19" i="12"/>
  <c r="AE18" i="12"/>
  <c r="AE17" i="12"/>
  <c r="AE16" i="12"/>
  <c r="AE15" i="12"/>
  <c r="AE14" i="12"/>
  <c r="AE13" i="12"/>
  <c r="AE12" i="12"/>
  <c r="AE11" i="12"/>
  <c r="AE10" i="12"/>
  <c r="AE9" i="12"/>
  <c r="AE8" i="12"/>
  <c r="AE7" i="12"/>
  <c r="AE6" i="12"/>
  <c r="AE5" i="12"/>
  <c r="AE4" i="12"/>
  <c r="AE3" i="12"/>
  <c r="AE2" i="12"/>
  <c r="D216" i="7" l="1"/>
  <c r="D198" i="7" l="1"/>
  <c r="D199" i="7"/>
  <c r="D200" i="7"/>
  <c r="D215" i="7" l="1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C43" i="10" l="1"/>
  <c r="E43" i="10" s="1"/>
  <c r="B28" i="10" l="1"/>
  <c r="C28" i="10" s="1"/>
  <c r="E28" i="10" s="1"/>
  <c r="B29" i="10" l="1"/>
  <c r="C29" i="10" l="1"/>
  <c r="B30" i="10"/>
  <c r="L21" i="10"/>
  <c r="C30" i="10" l="1"/>
  <c r="B31" i="10"/>
  <c r="C31" i="10" s="1"/>
  <c r="B20" i="10"/>
  <c r="C20" i="10" s="1"/>
  <c r="E20" i="10" s="1"/>
  <c r="B21" i="10" l="1"/>
  <c r="C21" i="10" s="1"/>
  <c r="J19" i="10"/>
  <c r="D44" i="10" l="1"/>
  <c r="AA87" i="10"/>
  <c r="B22" i="10"/>
  <c r="B23" i="10" s="1"/>
  <c r="C23" i="10" s="1"/>
  <c r="D42" i="10"/>
  <c r="D43" i="10"/>
  <c r="AA66" i="10"/>
  <c r="Z66" i="10"/>
  <c r="C22" i="10" l="1"/>
  <c r="AB66" i="10"/>
  <c r="AC78" i="10" s="1"/>
  <c r="C44" i="10"/>
  <c r="E44" i="10" s="1"/>
  <c r="C42" i="10"/>
  <c r="E42" i="10" s="1"/>
  <c r="AC83" i="10" l="1"/>
  <c r="AC79" i="10"/>
  <c r="AC82" i="10"/>
  <c r="AC77" i="10"/>
  <c r="AC81" i="10"/>
  <c r="AC80" i="10"/>
  <c r="AA56" i="10"/>
  <c r="AA55" i="10"/>
  <c r="AA62" i="10" l="1"/>
  <c r="Z62" i="10"/>
  <c r="AB62" i="10" l="1"/>
  <c r="Z58" i="10" l="1"/>
  <c r="Z57" i="10"/>
  <c r="B24" i="10"/>
  <c r="C24" i="10" s="1"/>
  <c r="E24" i="10" s="1"/>
  <c r="B25" i="10" l="1"/>
  <c r="C25" i="10" l="1"/>
  <c r="B26" i="10"/>
  <c r="B27" i="10" l="1"/>
  <c r="C27" i="10" s="1"/>
  <c r="C26" i="10"/>
  <c r="S59" i="10" l="1"/>
  <c r="V24" i="10" l="1"/>
  <c r="O15" i="4" l="1"/>
  <c r="N15" i="4"/>
  <c r="M15" i="4"/>
  <c r="L15" i="4"/>
  <c r="K15" i="4"/>
  <c r="J15" i="4"/>
  <c r="C4" i="4"/>
  <c r="C2" i="4"/>
  <c r="C3" i="4"/>
  <c r="AC38" i="10"/>
  <c r="AC36" i="10"/>
  <c r="AC33" i="10"/>
  <c r="AC30" i="10"/>
  <c r="AC28" i="10"/>
  <c r="B40" i="10"/>
  <c r="C40" i="10" s="1"/>
  <c r="E40" i="10" s="1"/>
  <c r="AC27" i="10"/>
  <c r="B39" i="10"/>
  <c r="C39" i="10" s="1"/>
  <c r="E39" i="10" s="1"/>
  <c r="AC26" i="10"/>
  <c r="B38" i="10"/>
  <c r="C38" i="10" s="1"/>
  <c r="E38" i="10" s="1"/>
  <c r="AC25" i="10"/>
  <c r="AC24" i="10"/>
  <c r="AC23" i="10"/>
  <c r="AC22" i="10"/>
  <c r="B34" i="10"/>
  <c r="C34" i="10" s="1"/>
  <c r="E34" i="10" s="1"/>
  <c r="AC21" i="10"/>
  <c r="B33" i="10"/>
  <c r="C33" i="10" s="1"/>
  <c r="E33" i="10" s="1"/>
  <c r="AC20" i="10"/>
  <c r="B32" i="10"/>
  <c r="C32" i="10" s="1"/>
  <c r="E32" i="10" s="1"/>
  <c r="AC19" i="10"/>
  <c r="AC18" i="10"/>
  <c r="AC17" i="10"/>
  <c r="B17" i="10"/>
  <c r="C17" i="10" s="1"/>
  <c r="E17" i="10" s="1"/>
  <c r="AC16" i="10"/>
  <c r="AC15" i="10"/>
  <c r="AC14" i="10"/>
  <c r="AC13" i="10"/>
  <c r="B13" i="10"/>
  <c r="B14" i="10" s="1"/>
  <c r="AC12" i="10"/>
  <c r="AC11" i="10"/>
  <c r="AC10" i="10"/>
  <c r="AC9" i="10"/>
  <c r="C9" i="10"/>
  <c r="E9" i="10" s="1"/>
  <c r="B9" i="10"/>
  <c r="B10" i="10" s="1"/>
  <c r="AC8" i="10"/>
  <c r="S8" i="10"/>
  <c r="AC7" i="10"/>
  <c r="S7" i="10"/>
  <c r="K7" i="10"/>
  <c r="AC6" i="10"/>
  <c r="V18" i="10"/>
  <c r="S6" i="10"/>
  <c r="C5" i="10"/>
  <c r="E5" i="10" s="1"/>
  <c r="B5" i="10"/>
  <c r="B6" i="10" s="1"/>
  <c r="O1" i="4" l="1"/>
  <c r="B35" i="10"/>
  <c r="B41" i="10"/>
  <c r="C41" i="10" s="1"/>
  <c r="B7" i="10"/>
  <c r="C6" i="10"/>
  <c r="C14" i="10"/>
  <c r="B15" i="10"/>
  <c r="C10" i="10"/>
  <c r="B11" i="10"/>
  <c r="C13" i="10"/>
  <c r="E13" i="10" s="1"/>
  <c r="B18" i="10"/>
  <c r="AF24" i="10"/>
  <c r="AF23" i="10"/>
  <c r="C35" i="10" l="1"/>
  <c r="B36" i="10"/>
  <c r="C11" i="10"/>
  <c r="B12" i="10"/>
  <c r="C12" i="10" s="1"/>
  <c r="C7" i="10"/>
  <c r="B8" i="10"/>
  <c r="C8" i="10" s="1"/>
  <c r="C18" i="10"/>
  <c r="B19" i="10"/>
  <c r="C19" i="10" s="1"/>
  <c r="C15" i="10"/>
  <c r="B16" i="10"/>
  <c r="C16" i="10" s="1"/>
  <c r="C36" i="10" l="1"/>
  <c r="B37" i="10"/>
  <c r="C37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문홍주</t>
        </r>
        <r>
          <rPr>
            <sz val="9"/>
            <color indexed="81"/>
            <rFont val="Tahoma"/>
            <family val="2"/>
          </rPr>
          <t xml:space="preserve"> MP</t>
        </r>
        <r>
          <rPr>
            <sz val="9"/>
            <color indexed="81"/>
            <rFont val="돋움"/>
            <family val="3"/>
            <charset val="129"/>
          </rPr>
          <t>재직시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
삭제기능</t>
        </r>
      </text>
    </comment>
    <comment ref="Q15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김묘정</t>
        </r>
        <r>
          <rPr>
            <b/>
            <sz val="9"/>
            <color indexed="81"/>
            <rFont val="Tahoma"/>
            <family val="2"/>
          </rPr>
          <t xml:space="preserve"> 2020.7.1</t>
        </r>
        <r>
          <rPr>
            <b/>
            <sz val="9"/>
            <color indexed="81"/>
            <rFont val="돋움"/>
            <family val="3"/>
            <charset val="129"/>
          </rPr>
          <t>이전계약을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송내로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</text>
    </comment>
    <comment ref="K16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원장</t>
        </r>
      </text>
    </comment>
    <comment ref="K22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신조정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95% [</t>
        </r>
        <r>
          <rPr>
            <sz val="9"/>
            <color indexed="81"/>
            <rFont val="돋움"/>
            <family val="3"/>
            <charset val="129"/>
          </rPr>
          <t>생보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장기만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17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 97%
 12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 96%
[20.7</t>
        </r>
        <r>
          <rPr>
            <sz val="9"/>
            <color indexed="81"/>
            <rFont val="돋움"/>
            <family val="3"/>
            <charset val="129"/>
          </rPr>
          <t>월실적부터</t>
        </r>
        <r>
          <rPr>
            <sz val="9"/>
            <color indexed="81"/>
            <rFont val="Tahoma"/>
            <family val="2"/>
          </rPr>
          <t>]
16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:97%
13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:96.5%
12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>:96.5%
10</t>
        </r>
        <r>
          <rPr>
            <sz val="9"/>
            <color indexed="81"/>
            <rFont val="돋움"/>
            <family val="3"/>
            <charset val="129"/>
          </rPr>
          <t>백이상</t>
        </r>
        <r>
          <rPr>
            <sz val="9"/>
            <color indexed="81"/>
            <rFont val="Tahoma"/>
            <family val="2"/>
          </rPr>
          <t xml:space="preserve">:96%
</t>
        </r>
      </text>
    </comment>
    <comment ref="K23" authorId="0" shapeId="0" xr:uid="{00000000-0006-0000-0100-000005000000}">
      <text>
        <r>
          <rPr>
            <b/>
            <sz val="9"/>
            <color indexed="81"/>
            <rFont val="돋움"/>
            <family val="3"/>
            <charset val="129"/>
          </rPr>
          <t>신조정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기본</t>
        </r>
        <r>
          <rPr>
            <b/>
            <sz val="9"/>
            <color indexed="81"/>
            <rFont val="Tahoma"/>
            <family val="2"/>
          </rPr>
          <t xml:space="preserve"> 95%
9</t>
        </r>
        <r>
          <rPr>
            <b/>
            <sz val="9"/>
            <color indexed="81"/>
            <rFont val="돋움"/>
            <family val="3"/>
            <charset val="129"/>
          </rPr>
          <t>백이상</t>
        </r>
        <r>
          <rPr>
            <b/>
            <sz val="9"/>
            <color indexed="81"/>
            <rFont val="Tahoma"/>
            <family val="2"/>
          </rPr>
          <t>: 97%
5</t>
        </r>
        <r>
          <rPr>
            <b/>
            <sz val="9"/>
            <color indexed="81"/>
            <rFont val="돋움"/>
            <family val="3"/>
            <charset val="129"/>
          </rPr>
          <t>백이상</t>
        </r>
        <r>
          <rPr>
            <b/>
            <sz val="9"/>
            <color indexed="81"/>
            <rFont val="Tahoma"/>
            <family val="2"/>
          </rPr>
          <t xml:space="preserve">: 96%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<sst xmlns="http://schemas.openxmlformats.org/spreadsheetml/2006/main" count="11019" uniqueCount="1527">
  <si>
    <t>증권번호</t>
  </si>
  <si>
    <t>파일명</t>
    <phoneticPr fontId="1" type="noConversion"/>
  </si>
  <si>
    <t>시트명</t>
    <phoneticPr fontId="1" type="noConversion"/>
  </si>
  <si>
    <t>경로명</t>
    <phoneticPr fontId="1" type="noConversion"/>
  </si>
  <si>
    <t>지점</t>
  </si>
  <si>
    <t>보험회사</t>
  </si>
  <si>
    <t>구분</t>
  </si>
  <si>
    <t>WORKSHEET</t>
    <phoneticPr fontId="1" type="noConversion"/>
  </si>
  <si>
    <t>작업선택</t>
    <phoneticPr fontId="1" type="noConversion"/>
  </si>
  <si>
    <t>작업선택 및 우측의 가져올 조건을 입력 후 클릭</t>
    <phoneticPr fontId="1" type="noConversion"/>
  </si>
  <si>
    <t>가져올 조건 (헤더명은 반드시 일치해야)</t>
    <phoneticPr fontId="1" type="noConversion"/>
  </si>
  <si>
    <t>아래는 데이터가 복사되어오는 영역임</t>
    <phoneticPr fontId="1" type="noConversion"/>
  </si>
  <si>
    <t>보험회사</t>
    <phoneticPr fontId="1" type="noConversion"/>
  </si>
  <si>
    <t>월납보험료</t>
    <phoneticPr fontId="1" type="noConversion"/>
  </si>
  <si>
    <t>실손월납보</t>
  </si>
  <si>
    <t>실손수정보</t>
  </si>
  <si>
    <t>수수료T</t>
  </si>
  <si>
    <t>수수료H</t>
  </si>
  <si>
    <t>수수료M</t>
  </si>
  <si>
    <t>수수료S</t>
  </si>
  <si>
    <t>보종</t>
    <phoneticPr fontId="1" type="noConversion"/>
  </si>
  <si>
    <t>삭제할 컬럼</t>
    <phoneticPr fontId="1" type="noConversion"/>
  </si>
  <si>
    <t>전담당</t>
    <phoneticPr fontId="1" type="noConversion"/>
  </si>
  <si>
    <t>경로</t>
    <phoneticPr fontId="1" type="noConversion"/>
  </si>
  <si>
    <t>기타1</t>
    <phoneticPr fontId="1" type="noConversion"/>
  </si>
  <si>
    <t>가져올컬럼</t>
    <phoneticPr fontId="1" type="noConversion"/>
  </si>
  <si>
    <t>계약일</t>
    <phoneticPr fontId="1" type="noConversion"/>
  </si>
  <si>
    <t>증권번호</t>
    <phoneticPr fontId="1" type="noConversion"/>
  </si>
  <si>
    <t>지점</t>
    <phoneticPr fontId="1" type="noConversion"/>
  </si>
  <si>
    <t>담당</t>
    <phoneticPr fontId="1" type="noConversion"/>
  </si>
  <si>
    <t>생보</t>
    <phoneticPr fontId="1" type="noConversion"/>
  </si>
  <si>
    <t xml:space="preserve">    조건에 맞는 데이터 가져오는 기능</t>
    <phoneticPr fontId="1" type="noConversion"/>
  </si>
  <si>
    <t>가져온 데이터 불필요컬럼 삭제</t>
    <phoneticPr fontId="1" type="noConversion"/>
  </si>
  <si>
    <t>가져온 데이터중 필요컬럼만 복사</t>
    <phoneticPr fontId="1" type="noConversion"/>
  </si>
  <si>
    <t>마감실적 리스트(장기)-지급정정후.xlsx</t>
    <phoneticPr fontId="1" type="noConversion"/>
  </si>
  <si>
    <t>마감실적 리스트(장기)-201706261128.xlsx</t>
    <phoneticPr fontId="1" type="noConversion"/>
  </si>
  <si>
    <t>마감실적 리스트(장기)-201707311747(피스토스지급율정정).xlsx</t>
    <phoneticPr fontId="1" type="noConversion"/>
  </si>
  <si>
    <t>마감실적 리스트(장기)-201708251018.xlsx</t>
    <phoneticPr fontId="1" type="noConversion"/>
  </si>
  <si>
    <t>마감실적 리스트(장기)-201709271015.xlsx</t>
    <phoneticPr fontId="1" type="noConversion"/>
  </si>
  <si>
    <t>마감실적 리스트(장기)-201710261159.xlsx</t>
    <phoneticPr fontId="1" type="noConversion"/>
  </si>
  <si>
    <t>마감실적 리스트(장기)-201711251115.xlsx</t>
    <phoneticPr fontId="1" type="noConversion"/>
  </si>
  <si>
    <t>마감실적 리스트(장기)-201712261750.xlsx</t>
    <phoneticPr fontId="1" type="noConversion"/>
  </si>
  <si>
    <t>마감실적 리스트(장기)-201801261142.xlsx</t>
    <phoneticPr fontId="1" type="noConversion"/>
  </si>
  <si>
    <t>마감실적 리스트(장기)-201802271539.xlsx</t>
    <phoneticPr fontId="1" type="noConversion"/>
  </si>
  <si>
    <t>파일1</t>
  </si>
  <si>
    <t>구분</t>
    <phoneticPr fontId="1" type="noConversion"/>
  </si>
  <si>
    <t>마감실적 리스트(장기)-201701.xlsx</t>
    <phoneticPr fontId="1" type="noConversion"/>
  </si>
  <si>
    <t xml:space="preserve">    → 파일1 또는 파일2 목록 중 일괄작업구분 "y"인 목록들에서 가져옴</t>
    <phoneticPr fontId="1" type="noConversion"/>
  </si>
  <si>
    <t>수수료S</t>
    <phoneticPr fontId="1" type="noConversion"/>
  </si>
  <si>
    <t>&lt;&gt;0</t>
    <phoneticPr fontId="1" type="noConversion"/>
  </si>
  <si>
    <t>피스토스</t>
    <phoneticPr fontId="1" type="noConversion"/>
  </si>
  <si>
    <t>마감실적 리스트(장기)-201703281101.xlsx</t>
    <phoneticPr fontId="1" type="noConversion"/>
  </si>
  <si>
    <t>&lt;&lt;파일1목록&gt;&gt;</t>
    <phoneticPr fontId="1" type="noConversion"/>
  </si>
  <si>
    <t>장기</t>
  </si>
  <si>
    <t>장기</t>
    <phoneticPr fontId="1" type="noConversion"/>
  </si>
  <si>
    <t>저장파일명</t>
    <phoneticPr fontId="1" type="noConversion"/>
  </si>
  <si>
    <t>년월</t>
    <phoneticPr fontId="1" type="noConversion"/>
  </si>
  <si>
    <t>종목</t>
    <phoneticPr fontId="1" type="noConversion"/>
  </si>
  <si>
    <t>ALL</t>
    <phoneticPr fontId="1" type="noConversion"/>
  </si>
  <si>
    <t>자동차</t>
    <phoneticPr fontId="1" type="noConversion"/>
  </si>
  <si>
    <t>일반</t>
    <phoneticPr fontId="1" type="noConversion"/>
  </si>
  <si>
    <t>IBSS장기</t>
    <phoneticPr fontId="1" type="noConversion"/>
  </si>
  <si>
    <t>IBSS생보</t>
    <phoneticPr fontId="1" type="noConversion"/>
  </si>
  <si>
    <t>IBSS자동차</t>
    <phoneticPr fontId="1" type="noConversion"/>
  </si>
  <si>
    <t>IBSS일반</t>
    <phoneticPr fontId="1" type="noConversion"/>
  </si>
  <si>
    <t>피스토스&amp;신중동&amp;프라임&amp;경기지급율</t>
  </si>
  <si>
    <t>피스토스&amp;신중동&amp;프라임&amp;경기지급율</t>
    <phoneticPr fontId="1" type="noConversion"/>
  </si>
  <si>
    <t>마감</t>
  </si>
  <si>
    <t>마감</t>
    <phoneticPr fontId="1" type="noConversion"/>
  </si>
  <si>
    <t>초회</t>
    <phoneticPr fontId="1" type="noConversion"/>
  </si>
  <si>
    <t>철회</t>
    <phoneticPr fontId="1" type="noConversion"/>
  </si>
  <si>
    <t>취소</t>
    <phoneticPr fontId="1" type="noConversion"/>
  </si>
  <si>
    <t>작업구분</t>
    <phoneticPr fontId="1" type="noConversion"/>
  </si>
  <si>
    <t>출력파일</t>
    <phoneticPr fontId="1" type="noConversion"/>
  </si>
  <si>
    <t>입력파일</t>
    <phoneticPr fontId="1" type="noConversion"/>
  </si>
  <si>
    <t>종목</t>
    <phoneticPr fontId="1" type="noConversion"/>
  </si>
  <si>
    <t>장기</t>
    <phoneticPr fontId="1" type="noConversion"/>
  </si>
  <si>
    <t>업무구분KEY</t>
    <phoneticPr fontId="1" type="noConversion"/>
  </si>
  <si>
    <t>피스토스환수</t>
  </si>
  <si>
    <t>피스토스환수</t>
    <phoneticPr fontId="1" type="noConversion"/>
  </si>
  <si>
    <t>대상작업명</t>
    <phoneticPr fontId="1" type="noConversion"/>
  </si>
  <si>
    <t>생보</t>
    <phoneticPr fontId="1" type="noConversion"/>
  </si>
  <si>
    <t>자동차</t>
    <phoneticPr fontId="1" type="noConversion"/>
  </si>
  <si>
    <t>일반</t>
    <phoneticPr fontId="1" type="noConversion"/>
  </si>
  <si>
    <t>마감실적 리스트(생명)-201802271619.XLSX</t>
    <phoneticPr fontId="1" type="noConversion"/>
  </si>
  <si>
    <t>마감실적 리스트(자동차)-201802260917.XLSX</t>
    <phoneticPr fontId="1" type="noConversion"/>
  </si>
  <si>
    <t>마감실적 리스트(일반)-201802260918.XLSX</t>
    <phoneticPr fontId="1" type="noConversion"/>
  </si>
  <si>
    <t>지점필터</t>
    <phoneticPr fontId="1" type="noConversion"/>
  </si>
  <si>
    <t>환수필터</t>
    <phoneticPr fontId="1" type="noConversion"/>
  </si>
  <si>
    <t>지급율필터</t>
    <phoneticPr fontId="1" type="noConversion"/>
  </si>
  <si>
    <t>지점초회필터</t>
    <phoneticPr fontId="1" type="noConversion"/>
  </si>
  <si>
    <t>[작업기초정보]</t>
    <phoneticPr fontId="1" type="noConversion"/>
  </si>
  <si>
    <t xml:space="preserve">각 작업별로 사용할 필터 </t>
    <phoneticPr fontId="1" type="noConversion"/>
  </si>
  <si>
    <t>대상지점</t>
    <phoneticPr fontId="1" type="noConversion"/>
  </si>
  <si>
    <t>대상년월</t>
    <phoneticPr fontId="1" type="noConversion"/>
  </si>
  <si>
    <t>대상작업</t>
    <phoneticPr fontId="1" type="noConversion"/>
  </si>
  <si>
    <t>필터명</t>
    <phoneticPr fontId="1" type="noConversion"/>
  </si>
  <si>
    <t>아래 작업에 필요한 파일을 한번에 가져오는 기능</t>
    <phoneticPr fontId="1" type="noConversion"/>
  </si>
  <si>
    <t>[작업요령]</t>
    <phoneticPr fontId="1" type="noConversion"/>
  </si>
  <si>
    <t>1.대상년월 및 대상작업 선택</t>
    <phoneticPr fontId="1" type="noConversion"/>
  </si>
  <si>
    <t>2.버튼 클릭</t>
    <phoneticPr fontId="1" type="noConversion"/>
  </si>
  <si>
    <t>좌측 필터명 검색 및 우측 지점/초회필터에서 LOOKUP</t>
    <phoneticPr fontId="1" type="noConversion"/>
  </si>
  <si>
    <t>[각 작업에 관한 정보 설정]</t>
    <phoneticPr fontId="1" type="noConversion"/>
  </si>
  <si>
    <t>필터별로 헤더와 데이터 조건 변경할 수 있음</t>
    <phoneticPr fontId="1" type="noConversion"/>
  </si>
  <si>
    <t>고정값임(13개)</t>
    <phoneticPr fontId="1" type="noConversion"/>
  </si>
  <si>
    <t>C:\Users\Administrator\Documents\04.수수료작업\</t>
    <phoneticPr fontId="1" type="noConversion"/>
  </si>
  <si>
    <t>기준폴더</t>
    <phoneticPr fontId="1" type="noConversion"/>
  </si>
  <si>
    <t>해당월폴더</t>
    <phoneticPr fontId="1" type="noConversion"/>
  </si>
  <si>
    <t>폴더명-피스토스환수에서 사용함</t>
    <phoneticPr fontId="1" type="noConversion"/>
  </si>
  <si>
    <t>작업설명</t>
    <phoneticPr fontId="1" type="noConversion"/>
  </si>
  <si>
    <t>강동OR수수료</t>
    <phoneticPr fontId="1" type="noConversion"/>
  </si>
  <si>
    <t>작업목적</t>
    <phoneticPr fontId="1" type="noConversion"/>
  </si>
  <si>
    <t>후속작업</t>
    <phoneticPr fontId="1" type="noConversion"/>
  </si>
  <si>
    <t>원장필터</t>
    <phoneticPr fontId="1" type="noConversion"/>
  </si>
  <si>
    <t>영수구분</t>
    <phoneticPr fontId="1" type="noConversion"/>
  </si>
  <si>
    <t>당월</t>
    <phoneticPr fontId="1" type="noConversion"/>
  </si>
  <si>
    <t>선행작업</t>
    <phoneticPr fontId="1" type="noConversion"/>
  </si>
  <si>
    <t>당월 수입원장 복사</t>
    <phoneticPr fontId="1" type="noConversion"/>
  </si>
  <si>
    <t>MP상동_수입원장정산</t>
    <phoneticPr fontId="1" type="noConversion"/>
  </si>
  <si>
    <t>MP조은_수입원장정산</t>
    <phoneticPr fontId="1" type="noConversion"/>
  </si>
  <si>
    <t>초회</t>
    <phoneticPr fontId="1" type="noConversion"/>
  </si>
  <si>
    <t>철회</t>
    <phoneticPr fontId="1" type="noConversion"/>
  </si>
  <si>
    <t>실효</t>
    <phoneticPr fontId="1" type="noConversion"/>
  </si>
  <si>
    <t>해지</t>
    <phoneticPr fontId="1" type="noConversion"/>
  </si>
  <si>
    <t>&lt;13</t>
    <phoneticPr fontId="1" type="noConversion"/>
  </si>
  <si>
    <t>&lt;'2018-02-01'</t>
    <phoneticPr fontId="1" type="noConversion"/>
  </si>
  <si>
    <t>&gt;'2016-12-31'</t>
    <phoneticPr fontId="1" type="noConversion"/>
  </si>
  <si>
    <t>납입회차</t>
    <phoneticPr fontId="1" type="noConversion"/>
  </si>
  <si>
    <t>기지급건</t>
    <phoneticPr fontId="1" type="noConversion"/>
  </si>
  <si>
    <t>결과 검증</t>
    <phoneticPr fontId="1" type="noConversion"/>
  </si>
  <si>
    <r>
      <t xml:space="preserve">환수필터 - </t>
    </r>
    <r>
      <rPr>
        <b/>
        <sz val="11"/>
        <color rgb="FFFF0000"/>
        <rFont val="맑은 고딕"/>
        <family val="3"/>
        <charset val="129"/>
        <scheme val="minor"/>
      </rPr>
      <t>증권번호는 자동생성</t>
    </r>
    <phoneticPr fontId="1" type="noConversion"/>
  </si>
  <si>
    <t>피스토스 환수대상년월</t>
    <phoneticPr fontId="1" type="noConversion"/>
  </si>
  <si>
    <t>*수수료작업 시트에는 작업에 관한 설정 정보가 있으니 행,열의 삭제,삽입을 함부로 하지 말것</t>
    <phoneticPr fontId="1" type="noConversion"/>
  </si>
  <si>
    <t>2018년2월에 사원환수율을 변경함. 과거계약도 소급 적용요청이 있어 본 계산시트로 산출 후 수수료 지급시 기타수수료로 추가환수해야 함</t>
    <phoneticPr fontId="1" type="noConversion"/>
  </si>
  <si>
    <t>당월 손보 정산초회 목록 추출 및 전월 파일로 부터 수식복사</t>
    <phoneticPr fontId="1" type="noConversion"/>
  </si>
  <si>
    <t>강동 지점장,팀장 OR수수료 산출</t>
    <phoneticPr fontId="1" type="noConversion"/>
  </si>
  <si>
    <t>프로그램흐름</t>
    <phoneticPr fontId="1" type="noConversion"/>
  </si>
  <si>
    <t>① IBSS수수료 산출 목록 추출, ② 당월원장 가져오기,  ③ 전월원장에서 이월분 및 정산시트 가져오기</t>
    <phoneticPr fontId="1" type="noConversion"/>
  </si>
  <si>
    <t>수입원장 정산 (수입원장의 95%값과 당월 지사 수수료 지급액의 차액을 정산), 대상보종-전 보종</t>
    <phoneticPr fontId="1" type="noConversion"/>
  </si>
  <si>
    <t>수입원장 정산 (수입원장의 95%값과 당월 지사 수수료 지급액의 차액을 정산), 대상보종-자동차 제외</t>
    <phoneticPr fontId="1" type="noConversion"/>
  </si>
  <si>
    <t>정산초회 실적에 따라 인보장 수수료 지급율이 달라지는 지점들의 사원별 인보장 지급율 산출</t>
    <phoneticPr fontId="1" type="noConversion"/>
  </si>
  <si>
    <t>설명</t>
    <phoneticPr fontId="1" type="noConversion"/>
  </si>
  <si>
    <t>*대상작업을 선택하면 필터정보에 따라</t>
    <phoneticPr fontId="1" type="noConversion"/>
  </si>
  <si>
    <t xml:space="preserve"> 지정한 파일에서 데이터를 가져옴</t>
    <phoneticPr fontId="1" type="noConversion"/>
  </si>
  <si>
    <t>글꼴색이 이 색이면 손대지 말것</t>
    <phoneticPr fontId="1" type="noConversion"/>
  </si>
  <si>
    <t xml:space="preserve">  특히, 글꼴색이 이 색이면 손대지 말것</t>
    <phoneticPr fontId="1" type="noConversion"/>
  </si>
  <si>
    <t>담당</t>
  </si>
  <si>
    <t>담당ID</t>
  </si>
  <si>
    <t>계약일</t>
  </si>
  <si>
    <t>보종</t>
  </si>
  <si>
    <t>정산월구분</t>
  </si>
  <si>
    <t>월납보험료</t>
  </si>
  <si>
    <t>수정보험료</t>
  </si>
  <si>
    <t>수수료S</t>
    <phoneticPr fontId="22" type="noConversion"/>
  </si>
  <si>
    <t>수정율</t>
  </si>
  <si>
    <t>납입회차</t>
  </si>
  <si>
    <t>환수대상필터</t>
    <phoneticPr fontId="1" type="noConversion"/>
  </si>
  <si>
    <t>환수대상컬럼- 수수료파일에서 가져올 컬럼만 입력!!</t>
    <phoneticPr fontId="1" type="noConversion"/>
  </si>
  <si>
    <t>마감실적 리스트(장기)-201705251807.xlsx</t>
    <phoneticPr fontId="1" type="noConversion"/>
  </si>
  <si>
    <t>수수료S</t>
    <phoneticPr fontId="1" type="noConversion"/>
  </si>
  <si>
    <t>사원수수료컬럼명 - 수수료파일의 사원수수료 컬럼명(변경시 아래 수정)</t>
    <phoneticPr fontId="1" type="noConversion"/>
  </si>
  <si>
    <t>←6자리 입력</t>
    <phoneticPr fontId="1" type="noConversion"/>
  </si>
  <si>
    <t>←목록 선택</t>
    <phoneticPr fontId="1" type="noConversion"/>
  </si>
  <si>
    <t>장기</t>
    <phoneticPr fontId="1" type="noConversion"/>
  </si>
  <si>
    <t>강동지점</t>
    <phoneticPr fontId="1" type="noConversion"/>
  </si>
  <si>
    <t>↑ 대상지점을 변경하여 사용가능</t>
    <phoneticPr fontId="1" type="noConversion"/>
  </si>
  <si>
    <t>↑ 추가하려면 행 삽입 복사하고 수정할 것</t>
    <phoneticPr fontId="1" type="noConversion"/>
  </si>
  <si>
    <t>수수료명세</t>
    <phoneticPr fontId="1" type="noConversion"/>
  </si>
  <si>
    <t>지점 수수료 명세를 가져오고, 요약시트를 만드는 작업</t>
    <phoneticPr fontId="1" type="noConversion"/>
  </si>
  <si>
    <t>당월 해당 지점 수수료 명세(전종목) 가져오기 및 전월 파일에서 요약시트 복사(신규 사원 있으면 자동추가)</t>
    <phoneticPr fontId="1" type="noConversion"/>
  </si>
  <si>
    <t>?</t>
    <phoneticPr fontId="1" type="noConversion"/>
  </si>
  <si>
    <t>파일을 선택하면</t>
    <phoneticPr fontId="1" type="noConversion"/>
  </si>
  <si>
    <t>파일목록의 맨위에 경로와 파일명을 추가함</t>
    <phoneticPr fontId="1" type="noConversion"/>
  </si>
  <si>
    <t>강동지점OR수수료</t>
    <phoneticPr fontId="1" type="noConversion"/>
  </si>
  <si>
    <t>장기</t>
    <phoneticPr fontId="1" type="noConversion"/>
  </si>
  <si>
    <t>피스토스 재물정산</t>
    <phoneticPr fontId="1" type="noConversion"/>
  </si>
  <si>
    <t>재물필터</t>
    <phoneticPr fontId="1" type="noConversion"/>
  </si>
  <si>
    <t>3190087979781</t>
  </si>
  <si>
    <t>3190086611901</t>
  </si>
  <si>
    <t>3190092328951</t>
  </si>
  <si>
    <t>3190092334271</t>
  </si>
  <si>
    <t>3190096933811</t>
  </si>
  <si>
    <t>증권번호</t>
    <phoneticPr fontId="1" type="noConversion"/>
  </si>
  <si>
    <t>&lt;&gt;0</t>
    <phoneticPr fontId="1" type="noConversion"/>
  </si>
  <si>
    <t>재물필터</t>
    <phoneticPr fontId="1" type="noConversion"/>
  </si>
  <si>
    <t>L01721907739</t>
  </si>
  <si>
    <t>L01721909462</t>
  </si>
  <si>
    <t>L01721884383</t>
  </si>
  <si>
    <t>L01720398164</t>
  </si>
  <si>
    <t>&lt;14</t>
    <phoneticPr fontId="1" type="noConversion"/>
  </si>
  <si>
    <t>라온지점</t>
  </si>
  <si>
    <t>지점</t>
    <phoneticPr fontId="1" type="noConversion"/>
  </si>
  <si>
    <t>증권번호</t>
    <phoneticPr fontId="1" type="noConversion"/>
  </si>
  <si>
    <t>납입회차</t>
    <phoneticPr fontId="1" type="noConversion"/>
  </si>
  <si>
    <t>라온지점 박종철정산</t>
    <phoneticPr fontId="1" type="noConversion"/>
  </si>
  <si>
    <t>박종철필터</t>
    <phoneticPr fontId="1" type="noConversion"/>
  </si>
  <si>
    <t>KB손보</t>
  </si>
  <si>
    <t>현대해상</t>
  </si>
  <si>
    <t>메리츠화재</t>
  </si>
  <si>
    <t>회차별 지급율(박종철 계속분)</t>
    <phoneticPr fontId="1" type="noConversion"/>
  </si>
  <si>
    <t>DB손보</t>
  </si>
  <si>
    <t>&lt;15</t>
    <phoneticPr fontId="1" type="noConversion"/>
  </si>
  <si>
    <t>보험회사</t>
    <phoneticPr fontId="1" type="noConversion"/>
  </si>
  <si>
    <t>납입회차</t>
    <phoneticPr fontId="1" type="noConversion"/>
  </si>
  <si>
    <t>&gt;1</t>
    <phoneticPr fontId="1" type="noConversion"/>
  </si>
  <si>
    <t>라온지점</t>
    <phoneticPr fontId="1" type="noConversion"/>
  </si>
  <si>
    <t>회차</t>
    <phoneticPr fontId="1" type="noConversion"/>
  </si>
  <si>
    <t>회차별환수율-피스토스(2018.2변경)</t>
    <phoneticPr fontId="1" type="noConversion"/>
  </si>
  <si>
    <t>일반</t>
  </si>
  <si>
    <t>자동차</t>
  </si>
  <si>
    <t>피스토스 재물정산</t>
    <phoneticPr fontId="1" type="noConversion"/>
  </si>
  <si>
    <t>작업목적</t>
    <phoneticPr fontId="1" type="noConversion"/>
  </si>
  <si>
    <t>95%로 지급된 재물 계약(지정증번)을 97%로 재계산하여 차액 정산용</t>
    <phoneticPr fontId="1" type="noConversion"/>
  </si>
  <si>
    <t>17.8월 계약 중 박종철계약(지정증번)의 계속분 수수료를 계산하여 차액 정산용</t>
    <phoneticPr fontId="1" type="noConversion"/>
  </si>
  <si>
    <t>결과 검증 [팀 신설 또는 정착지원금 지급 사유발생시 수식 수정해야함] ※ 지점장/팀장or합계액은 kj정산시 사용하도록 메모text 유지할것</t>
    <phoneticPr fontId="1" type="noConversion"/>
  </si>
  <si>
    <r>
      <t>당월 장기 실적 추출 및 전월 파일로부터 수식복사,전월 지급율 가져오기</t>
    </r>
    <r>
      <rPr>
        <sz val="11"/>
        <color rgb="FFFF0000"/>
        <rFont val="맑은 고딕"/>
        <family val="3"/>
        <charset val="129"/>
        <scheme val="minor"/>
      </rPr>
      <t>(신규 사원있으면 자동 추가)</t>
    </r>
    <phoneticPr fontId="1" type="noConversion"/>
  </si>
  <si>
    <r>
      <t xml:space="preserve">결과 검증 </t>
    </r>
    <r>
      <rPr>
        <sz val="11"/>
        <color rgb="FFFF0000"/>
        <rFont val="맑은 고딕"/>
        <family val="3"/>
        <charset val="129"/>
        <scheme val="minor"/>
      </rPr>
      <t>(특히, 신규지점 추가하는 경우는 지급율시트에 수식을 넣을 것)</t>
    </r>
    <phoneticPr fontId="1" type="noConversion"/>
  </si>
  <si>
    <t>②재정산 계약별로 환수금 재계산 (환수율은 수수료작업 시트에 있는 것을 참조)</t>
    <phoneticPr fontId="1" type="noConversion"/>
  </si>
  <si>
    <t>③추가환수금을 사원별로 집계</t>
    <phoneticPr fontId="1" type="noConversion"/>
  </si>
  <si>
    <t>ⓘ당월 피스토스 환수금 재정산 대상계약[대상계약시트] 및 해당건의 기 지급수수료 목록 추출 - 당월 실효,해지건 중 2017.01~2018.1월 계약건 증번을 핕터에 넣고 실행</t>
    <phoneticPr fontId="1" type="noConversion"/>
  </si>
  <si>
    <t>원장지점</t>
    <phoneticPr fontId="1" type="noConversion"/>
  </si>
  <si>
    <t>방이</t>
    <phoneticPr fontId="1" type="noConversion"/>
  </si>
  <si>
    <t>아이리치</t>
    <phoneticPr fontId="1" type="noConversion"/>
  </si>
  <si>
    <t>신중동지점</t>
    <phoneticPr fontId="1" type="noConversion"/>
  </si>
  <si>
    <t>ibss지점-&gt;원장지점</t>
    <phoneticPr fontId="1" type="noConversion"/>
  </si>
  <si>
    <t>원장지점필터</t>
    <phoneticPr fontId="1" type="noConversion"/>
  </si>
  <si>
    <r>
      <t>① IBSS수수료 산출 목록 추출, ② 당월원장 가져오기,  ③ 전월원장에서 이월분 및 정산시트 가져오기[</t>
    </r>
    <r>
      <rPr>
        <sz val="11"/>
        <color rgb="FFFF0000"/>
        <rFont val="맑은 고딕"/>
        <family val="3"/>
        <charset val="129"/>
        <scheme val="minor"/>
      </rPr>
      <t>해당지점 전월 정산파일</t>
    </r>
    <r>
      <rPr>
        <sz val="11"/>
        <color theme="1"/>
        <rFont val="맑은 고딕"/>
        <family val="2"/>
        <charset val="129"/>
        <scheme val="minor"/>
      </rPr>
      <t>]</t>
    </r>
    <phoneticPr fontId="1" type="noConversion"/>
  </si>
  <si>
    <t>&lt;19</t>
    <phoneticPr fontId="1" type="noConversion"/>
  </si>
  <si>
    <t>라온지점 박종철정산</t>
  </si>
  <si>
    <t>지점 수수료명세</t>
  </si>
  <si>
    <t>강동지점OR수수료</t>
  </si>
  <si>
    <t>MP상동_수입원장정산</t>
  </si>
  <si>
    <t>MP조은_수입원장정산</t>
  </si>
  <si>
    <t>피스토스 재물정산</t>
  </si>
  <si>
    <t>작업완료후에 할일</t>
    <phoneticPr fontId="1" type="noConversion"/>
  </si>
  <si>
    <t>1번</t>
    <phoneticPr fontId="1" type="noConversion"/>
  </si>
  <si>
    <t>2번</t>
    <phoneticPr fontId="1" type="noConversion"/>
  </si>
  <si>
    <t>지사 송부</t>
    <phoneticPr fontId="1" type="noConversion"/>
  </si>
  <si>
    <t>장순동 전달</t>
    <phoneticPr fontId="1" type="noConversion"/>
  </si>
  <si>
    <t>지점 송부</t>
    <phoneticPr fontId="1" type="noConversion"/>
  </si>
  <si>
    <t>수수료 산출결과와 비교</t>
    <phoneticPr fontId="1" type="noConversion"/>
  </si>
  <si>
    <t>마감실적 리스트(생명)-201803270838.xlsx</t>
  </si>
  <si>
    <t>마감실적 리스트(일반)-201803270839.xlsx</t>
  </si>
  <si>
    <t>마감실적 리스트(자동차)-201803270839.xlsx</t>
  </si>
  <si>
    <t>마감실적 리스트(장기)-201803270836.xlsx</t>
  </si>
  <si>
    <t>생보</t>
    <phoneticPr fontId="1" type="noConversion"/>
  </si>
  <si>
    <t>o</t>
    <phoneticPr fontId="1" type="noConversion"/>
  </si>
  <si>
    <t>oo</t>
    <phoneticPr fontId="1" type="noConversion"/>
  </si>
  <si>
    <t>라온지점 박종철정산</t>
    <phoneticPr fontId="1" type="noConversion"/>
  </si>
  <si>
    <t>C:\Users\Administrator\Documents\04.수수료작업\201802수수료\201802_라온지점 박종철정산.xlsx</t>
    <phoneticPr fontId="1" type="noConversion"/>
  </si>
  <si>
    <t>Y</t>
    <phoneticPr fontId="1" type="noConversion"/>
  </si>
  <si>
    <t>구분</t>
    <phoneticPr fontId="1" type="noConversion"/>
  </si>
  <si>
    <t>기타수수료  지급의뢰 파일작성 
및 전달</t>
    <phoneticPr fontId="1" type="noConversion"/>
  </si>
  <si>
    <t>생보</t>
    <phoneticPr fontId="1" type="noConversion"/>
  </si>
  <si>
    <t>마감실적 리스트(일반)-201804251312.xlsx</t>
  </si>
  <si>
    <t>마감실적 리스트(자동차)-201804251311.xlsx</t>
  </si>
  <si>
    <t>마감실적 리스트(생명)-201804251424.xlsx</t>
    <phoneticPr fontId="1" type="noConversion"/>
  </si>
  <si>
    <t>마감실적 리스트(장기)-201804251426.xlsx</t>
    <phoneticPr fontId="1" type="noConversion"/>
  </si>
  <si>
    <t>생보</t>
    <phoneticPr fontId="1" type="noConversion"/>
  </si>
  <si>
    <t>마감실적 리스트(일반)-201805241311.xlsx</t>
  </si>
  <si>
    <t>마감실적 리스트(자동차)-201805241311.xlsx</t>
  </si>
  <si>
    <t>41728498900000</t>
  </si>
  <si>
    <t>3190082055751</t>
  </si>
  <si>
    <t>6089311838</t>
  </si>
  <si>
    <t>6093417075</t>
  </si>
  <si>
    <t>20170135985</t>
  </si>
  <si>
    <t>LA20178903269000</t>
  </si>
  <si>
    <t>3190069608781</t>
  </si>
  <si>
    <t>마감실적 리스트(생명)-201805241347.xlsx</t>
    <phoneticPr fontId="1" type="noConversion"/>
  </si>
  <si>
    <t>마감실적 리스트(장기)-201805241349.xlsx</t>
    <phoneticPr fontId="1" type="noConversion"/>
  </si>
  <si>
    <t>마감실적 리스트(생명)-201806260623.xlsx</t>
  </si>
  <si>
    <t>생보</t>
    <phoneticPr fontId="1" type="noConversion"/>
  </si>
  <si>
    <t>마감실적 리스트(일반)-201806260624.xlsx</t>
  </si>
  <si>
    <t>마감실적 리스트(자동차)-201806260624.xlsx</t>
  </si>
  <si>
    <t>마감실적 리스트(장기)-201806260626.xlsx</t>
  </si>
  <si>
    <t>WORKSHEET</t>
  </si>
  <si>
    <t>마감실적리스트(장기)-201807251320.xlsx</t>
    <phoneticPr fontId="1" type="noConversion"/>
  </si>
  <si>
    <t>마감실적리스트(생명)-201807251240.xlsx</t>
  </si>
  <si>
    <t>생보</t>
    <phoneticPr fontId="1" type="noConversion"/>
  </si>
  <si>
    <t>마감실적리스트(자동차)-201807251242.xlsx</t>
  </si>
  <si>
    <t>마감실적리스트(일반)-201807251242.xlsx</t>
  </si>
  <si>
    <t>e:\글로벌백업(180329)\04.수수료작업\201801수수료\마감실적 리스트(장기)-201802271539.xlsx</t>
  </si>
  <si>
    <t>e:\글로벌백업(180329)\04.수수료작업\201712수수료\마감실적 리스트(장기)-201801261142.xlsx</t>
  </si>
  <si>
    <t>e:\글로벌백업(180329)\04.수수료작업\201711수수료\마감실적 리스트(장기)-201712261750.xlsx</t>
  </si>
  <si>
    <t>e:\글로벌백업(180329)\04.수수료작업\201710수수료\마감실적 리스트(장기)-201711251115.xlsx</t>
  </si>
  <si>
    <t>e:\글로벌백업(180329)\04.수수료작업\201709수수료\마감실적 리스트(장기)-201710261159.xlsx</t>
  </si>
  <si>
    <t>e:\글로벌백업(180329)\04.수수료작업\201708수수료\마감실적 리스트(장기)-201709271015.xlsx</t>
  </si>
  <si>
    <t>e:\글로벌백업(180329)\04.수수료작업\201707수수료\마감실적 리스트(장기)-201708251018.xlsx</t>
  </si>
  <si>
    <t>e:\글로벌백업(180329)\04.수수료작업\2016~2017\201706수수료\마감실적 리스트(장기)-201707311747(피스토스지급율정정).xlsx</t>
  </si>
  <si>
    <t>e:\글로벌백업(180329)\04.수수료작업\2016~2017\201705수수료\마감실적 리스트(장기)-201706261128.xlsx</t>
  </si>
  <si>
    <t>e:\글로벌백업(180329)\04.수수료작업\2016~2017\201704수수료\마감실적 리스트(장기)-201705251807.xlsx</t>
  </si>
  <si>
    <t>e:\글로벌백업(180329)\04.수수료작업\2016~2017\201703수수료\마감실적 리스트(장기)-지급정정후.xlsx</t>
  </si>
  <si>
    <t>e:\글로벌백업(180329)\04.수수료작업\2016~2017\201702수수료\마감실적 리스트(장기)-201703281101.xlsx</t>
  </si>
  <si>
    <t>e:\글로벌백업(180329)\04.수수료작업\2016~2017\201701수수료\마감실적 리스트(장기)-201701.xlsx</t>
  </si>
  <si>
    <t>마감실적리스트(장기)-201808242307.xlsx</t>
    <phoneticPr fontId="1" type="noConversion"/>
  </si>
  <si>
    <t>마감실적리스트(생명)-201808242304.xlsx</t>
  </si>
  <si>
    <t>생보</t>
    <phoneticPr fontId="1" type="noConversion"/>
  </si>
  <si>
    <t>마감실적리스트(일반)-201808242305.xlsx</t>
  </si>
  <si>
    <t>마감실적리스트(자동차)-201808242305.xlsx</t>
  </si>
  <si>
    <t>218A20170077190</t>
  </si>
  <si>
    <t>41729606830000</t>
  </si>
  <si>
    <t>609734991</t>
  </si>
  <si>
    <t>3190099237601</t>
  </si>
  <si>
    <t>41736061750000</t>
  </si>
  <si>
    <t>41736062710000</t>
  </si>
  <si>
    <t>320171118016</t>
  </si>
  <si>
    <t>20170282337</t>
  </si>
  <si>
    <t>320171074045</t>
  </si>
  <si>
    <t>217A20170127766</t>
  </si>
  <si>
    <t>60956898</t>
  </si>
  <si>
    <t>20173281400</t>
  </si>
  <si>
    <t>LA20179602388000</t>
  </si>
  <si>
    <t>마감실적리스트(생명)-201809211145.xlsx</t>
  </si>
  <si>
    <t>생보</t>
    <phoneticPr fontId="1" type="noConversion"/>
  </si>
  <si>
    <t>마감실적리스트(일반)-201809211138.xlsx</t>
  </si>
  <si>
    <t>마감실적리스트(자동차)-201809211138.xlsx</t>
  </si>
  <si>
    <t>생보</t>
    <phoneticPr fontId="1" type="noConversion"/>
  </si>
  <si>
    <t>송내_성공_필터</t>
    <phoneticPr fontId="1" type="noConversion"/>
  </si>
  <si>
    <t>송내_성공_필터</t>
    <phoneticPr fontId="1" type="noConversion"/>
  </si>
  <si>
    <t>송내_성공_관리수수료</t>
    <phoneticPr fontId="1" type="noConversion"/>
  </si>
  <si>
    <t xml:space="preserve">지점수수료명세 작업은 </t>
    <phoneticPr fontId="1" type="noConversion"/>
  </si>
  <si>
    <t>변경전 환수율</t>
    <phoneticPr fontId="1" type="noConversion"/>
  </si>
  <si>
    <t>마감실적리스트(장기)-201809230755.xlsx</t>
    <phoneticPr fontId="1" type="noConversion"/>
  </si>
  <si>
    <t>-</t>
    <phoneticPr fontId="1" type="noConversion"/>
  </si>
  <si>
    <t>[선급이므로 중간에 실효,부활이 없으면 정확함.. 실효부활건은 결과파일에서 수정 필요]</t>
    <phoneticPr fontId="1" type="noConversion"/>
  </si>
  <si>
    <t>마감실적리스트(생명)-201810242242.xlsx</t>
  </si>
  <si>
    <t>생보</t>
    <phoneticPr fontId="1" type="noConversion"/>
  </si>
  <si>
    <t>마감실적리스트(일반)-201810242246.xlsx</t>
  </si>
  <si>
    <t>마감실적리스트(자동차)-201810242246.xlsx</t>
  </si>
  <si>
    <t>마감실적리스트(장기)-201810242245.xlsx</t>
  </si>
  <si>
    <t>마감실적리스트(생명)-201811232325.xlsx</t>
  </si>
  <si>
    <t>생보</t>
    <phoneticPr fontId="1" type="noConversion"/>
  </si>
  <si>
    <t>마감실적리스트(일반)-201811232329.xlsx</t>
  </si>
  <si>
    <t>마감실적리스트(자동차)-201811232329.xlsx</t>
  </si>
  <si>
    <t>마감실적리스트(장기)-201811232327.xlsx</t>
  </si>
  <si>
    <t>3190400958111</t>
  </si>
  <si>
    <t>51800806520000</t>
  </si>
  <si>
    <t>20175690994</t>
  </si>
  <si>
    <t>LA20172699241000</t>
  </si>
  <si>
    <t>6099834445</t>
  </si>
  <si>
    <t>6099831163</t>
  </si>
  <si>
    <t>LA20172506381000</t>
  </si>
  <si>
    <t>6099828872</t>
  </si>
  <si>
    <t>6095223895</t>
  </si>
  <si>
    <t>마감실적리스트(생명)-201812251601.xlsx</t>
  </si>
  <si>
    <t>생보</t>
    <phoneticPr fontId="1" type="noConversion"/>
  </si>
  <si>
    <t>마감실적리스트(일반)-201812251604.xlsx</t>
  </si>
  <si>
    <t>마감실적리스트(자동차)-201812251604.xlsx</t>
  </si>
  <si>
    <t>마감실적리스트(장기)-201812251603.xlsx</t>
  </si>
  <si>
    <t>마감실적리스트(생명)-201901240925.xlsx</t>
  </si>
  <si>
    <t>생보</t>
    <phoneticPr fontId="1" type="noConversion"/>
  </si>
  <si>
    <t>마감실적리스트(일반)-201901240926.xlsx</t>
  </si>
  <si>
    <t>E:\글로벌백업(180329)\04.수수료작업\201812수수료\마감실적리스트(장기)-201901240932.xlsx</t>
    <phoneticPr fontId="1" type="noConversion"/>
  </si>
  <si>
    <t>LA20172685650000</t>
  </si>
  <si>
    <t>41730146200000</t>
  </si>
  <si>
    <t>LA20172667419000</t>
  </si>
  <si>
    <t>3190389359181</t>
  </si>
  <si>
    <t>LA20172346952000</t>
  </si>
  <si>
    <t>WORKSHEET</t>
    <phoneticPr fontId="1" type="noConversion"/>
  </si>
  <si>
    <t>E:\글로벌백업(180329)\04.수수료작업\201812수수료\마감실적리스트(생명)-201901240925.xlsx</t>
    <phoneticPr fontId="1" type="noConversion"/>
  </si>
  <si>
    <t>E:\글로벌백업(180329)\04.수수료작업\201812수수료\마감실적리스트(자동차)-201901240925.xlsx</t>
    <phoneticPr fontId="1" type="noConversion"/>
  </si>
  <si>
    <t>E:\글로벌백업(180329)\04.수수료작업\201812수수료\마감실적리스트(일반)-201901240926.xlsx</t>
    <phoneticPr fontId="1" type="noConversion"/>
  </si>
  <si>
    <t>마감실적리스트(장기)-201901241842.xlsx</t>
    <phoneticPr fontId="1" type="noConversion"/>
  </si>
  <si>
    <t>마감실적리스트(자동차)-201901241840.xlsx</t>
    <phoneticPr fontId="1" type="noConversion"/>
  </si>
  <si>
    <t>20180064739</t>
  </si>
  <si>
    <t>51755642380000</t>
  </si>
  <si>
    <t>3190395604311</t>
  </si>
  <si>
    <t>3190394522431</t>
  </si>
  <si>
    <t>마감실적리스트(생명)-201902261057.xlsx</t>
  </si>
  <si>
    <t>생보</t>
    <phoneticPr fontId="1" type="noConversion"/>
  </si>
  <si>
    <t>마감실적리스트(일반)-201902261058.xlsx</t>
  </si>
  <si>
    <t>마감실적리스트(자동차)-201902261058.xlsx</t>
  </si>
  <si>
    <t>마감실적리스트(장기)-201902261101.xlsx</t>
  </si>
  <si>
    <t>마감실적리스트(장기)-201903261059.xlsx</t>
  </si>
  <si>
    <t>마감실적리스트(일반)-201903261057.xlsx</t>
  </si>
  <si>
    <t>마감실적리스트(자동차)-201903261057.xlsx</t>
  </si>
  <si>
    <t>마감실적리스트(생명)-201903261056.xlsx</t>
  </si>
  <si>
    <t>생보</t>
    <phoneticPr fontId="1" type="noConversion"/>
  </si>
  <si>
    <t>51802402760000</t>
  </si>
  <si>
    <t>51800321040000</t>
  </si>
  <si>
    <t>팀필터</t>
    <phoneticPr fontId="1" type="noConversion"/>
  </si>
  <si>
    <t>팀</t>
    <phoneticPr fontId="1" type="noConversion"/>
  </si>
  <si>
    <t>마감실적리스트(장기)-201904251049.xlsx</t>
    <phoneticPr fontId="1" type="noConversion"/>
  </si>
  <si>
    <t>마감실적리스트(생명)-201904251046.xlsx</t>
  </si>
  <si>
    <t>생보</t>
    <phoneticPr fontId="1" type="noConversion"/>
  </si>
  <si>
    <t>마감실적리스트(일반)-201904251046.xlsx</t>
  </si>
  <si>
    <t>마감실적리스트(자동차)-201904251046.xlsx</t>
  </si>
  <si>
    <t>19.3월부터 대상없음</t>
    <phoneticPr fontId="1" type="noConversion"/>
  </si>
  <si>
    <t>지점필터</t>
  </si>
  <si>
    <t>수수료명세</t>
    <phoneticPr fontId="1" type="noConversion"/>
  </si>
  <si>
    <t>여주레전드지점OR수수료</t>
    <phoneticPr fontId="1" type="noConversion"/>
  </si>
  <si>
    <t>여주레전드필터</t>
    <phoneticPr fontId="1" type="noConversion"/>
  </si>
  <si>
    <t>여주레전드초회필터</t>
    <phoneticPr fontId="1" type="noConversion"/>
  </si>
  <si>
    <t>사용할 필터</t>
    <phoneticPr fontId="1" type="noConversion"/>
  </si>
  <si>
    <t>자동차,일반에 사용할 필터명</t>
    <phoneticPr fontId="1" type="noConversion"/>
  </si>
  <si>
    <t>여주레전드</t>
    <phoneticPr fontId="1" type="noConversion"/>
  </si>
  <si>
    <t>납입회차</t>
    <phoneticPr fontId="1" type="noConversion"/>
  </si>
  <si>
    <t>&lt;=7</t>
    <phoneticPr fontId="1" type="noConversion"/>
  </si>
  <si>
    <t>201904_피스토스환수</t>
  </si>
  <si>
    <t>F:\글로벌백업(180329)\04.수수료작업\201904수수료\</t>
  </si>
  <si>
    <t>마감실적리스트(생명)-201905261102.xlsx</t>
  </si>
  <si>
    <t>생보</t>
    <phoneticPr fontId="1" type="noConversion"/>
  </si>
  <si>
    <t>마감실적리스트(자동차)-201905261102.xlsx</t>
  </si>
  <si>
    <t>마감실적리스트(일반)-201905261102.xlsx</t>
  </si>
  <si>
    <t>마감실적리스트(장기)-201905261446.xlsx</t>
    <phoneticPr fontId="1" type="noConversion"/>
  </si>
  <si>
    <t>피스토스&amp;직영지점사원지급율</t>
    <phoneticPr fontId="1" type="noConversion"/>
  </si>
  <si>
    <t>송내_성공_의정부_관리수수료</t>
    <phoneticPr fontId="1" type="noConversion"/>
  </si>
  <si>
    <t>송내,성공,의정부</t>
    <phoneticPr fontId="1" type="noConversion"/>
  </si>
  <si>
    <t>마감실적리스트(생명)-201906261318.xlsx</t>
  </si>
  <si>
    <t>생보</t>
    <phoneticPr fontId="1" type="noConversion"/>
  </si>
  <si>
    <t>마감실적리스트(일반)-201906261319.xlsx</t>
  </si>
  <si>
    <t>마감실적리스트(자동차)-201906261318.xlsx</t>
  </si>
  <si>
    <t>마감실적리스트(장기)-201906261250.xlsx</t>
  </si>
  <si>
    <t>WORKSHEET</t>
    <phoneticPr fontId="1" type="noConversion"/>
  </si>
  <si>
    <t>E:\글로벌백업(180329)\04.수수료작업\201905수수료\마감실적리스트(일반)-201906261319.xlsx</t>
    <phoneticPr fontId="1" type="noConversion"/>
  </si>
  <si>
    <t>지점</t>
    <phoneticPr fontId="1" type="noConversion"/>
  </si>
  <si>
    <t>계약일자</t>
    <phoneticPr fontId="1" type="noConversion"/>
  </si>
  <si>
    <t>납입회차</t>
    <phoneticPr fontId="1" type="noConversion"/>
  </si>
  <si>
    <t>경기지점원장정산필터</t>
    <phoneticPr fontId="1" type="noConversion"/>
  </si>
  <si>
    <t>분리기준월</t>
    <phoneticPr fontId="1" type="noConversion"/>
  </si>
  <si>
    <t>년도차이</t>
    <phoneticPr fontId="1" type="noConversion"/>
  </si>
  <si>
    <t>월차이</t>
    <phoneticPr fontId="1" type="noConversion"/>
  </si>
  <si>
    <t>대상년월까지 경과회차</t>
    <phoneticPr fontId="1" type="noConversion"/>
  </si>
  <si>
    <r>
      <rPr>
        <sz val="11"/>
        <color theme="1"/>
        <rFont val="맑은 고딕"/>
        <family val="3"/>
        <charset val="129"/>
      </rPr>
      <t>**</t>
    </r>
    <r>
      <rPr>
        <sz val="11"/>
        <color theme="1"/>
        <rFont val="맑은 고딕"/>
        <family val="2"/>
        <charset val="129"/>
        <scheme val="minor"/>
      </rPr>
      <t>원장에 계약일자가 없는 경우 납입회차로 추출하기 위해서</t>
    </r>
    <phoneticPr fontId="1" type="noConversion"/>
  </si>
  <si>
    <t>경기분리년월</t>
    <phoneticPr fontId="1" type="noConversion"/>
  </si>
  <si>
    <t>계약종류</t>
    <phoneticPr fontId="1" type="noConversion"/>
  </si>
  <si>
    <t>계약일구분없이 정산</t>
    <phoneticPr fontId="1" type="noConversion"/>
  </si>
  <si>
    <t xml:space="preserve"> "</t>
    <phoneticPr fontId="1" type="noConversion"/>
  </si>
  <si>
    <t>마감실적리스트(일반)-201907250803.xlsx</t>
  </si>
  <si>
    <t>마감실적리스트(자동차)-201907250803.xlsx</t>
  </si>
  <si>
    <t>실효</t>
    <phoneticPr fontId="1" type="noConversion"/>
  </si>
  <si>
    <t>마감실적리스트(생명)-201907251244.xlsx</t>
  </si>
  <si>
    <t>생보</t>
    <phoneticPr fontId="1" type="noConversion"/>
  </si>
  <si>
    <t>마감실적리스트(장기)-201907251247.xlsx</t>
  </si>
  <si>
    <t>계약일자 오류데이터는 회차로 판단(계약일이 190601이전건은 수동 삭제 필요)</t>
    <phoneticPr fontId="1" type="noConversion"/>
  </si>
  <si>
    <t>지사분리일(20190601)이후 계약원장만 추출 =&gt;19.7월 지사분리일이전건도 원장정산으로 변경</t>
    <phoneticPr fontId="1" type="noConversion"/>
  </si>
  <si>
    <t>HL지점</t>
    <phoneticPr fontId="1" type="noConversion"/>
  </si>
  <si>
    <t>마감실적리스트(생명)-201908261222.xlsx</t>
  </si>
  <si>
    <t>생보</t>
    <phoneticPr fontId="1" type="noConversion"/>
  </si>
  <si>
    <t>마감실적리스트(일반)-201908261223.xlsx</t>
  </si>
  <si>
    <t>마감실적리스트(자동차)-201908261223.xlsx</t>
  </si>
  <si>
    <t>마감실적리스트(장기)-201908261226.xlsx</t>
  </si>
  <si>
    <t>마감실적리스트(생명)-201909260838.xlsx</t>
  </si>
  <si>
    <t>생보</t>
    <phoneticPr fontId="1" type="noConversion"/>
  </si>
  <si>
    <t>마감실적리스트(일반)-201909260838.xlsx</t>
  </si>
  <si>
    <t>마감실적리스트(자동차)-201909260838.xlsx</t>
  </si>
  <si>
    <t>마감실적리스트(장기)-201909260841.xlsx</t>
  </si>
  <si>
    <t>피스토스 재물정산</t>
    <phoneticPr fontId="1" type="noConversion"/>
  </si>
  <si>
    <t>라온지점 박종철정산</t>
    <phoneticPr fontId="1" type="noConversion"/>
  </si>
  <si>
    <t xml:space="preserve"> </t>
    <phoneticPr fontId="1" type="noConversion"/>
  </si>
  <si>
    <t>마감실적리스트(생명)-201910241447.xlsx</t>
  </si>
  <si>
    <t>생보</t>
    <phoneticPr fontId="1" type="noConversion"/>
  </si>
  <si>
    <t>마감실적리스트(일반)-201910241447.xlsx</t>
  </si>
  <si>
    <t>마감실적리스트(자동차)-201910241447.xlsx</t>
  </si>
  <si>
    <t>마감실적리스트(장기)-201910241524.xlsx</t>
  </si>
  <si>
    <t>마감실적리스트(일반)-201911261401.xlsx</t>
  </si>
  <si>
    <t>마감실적리스트(자동차)-201911261401.xlsx</t>
  </si>
  <si>
    <t>생보</t>
    <phoneticPr fontId="1" type="noConversion"/>
  </si>
  <si>
    <t>마감실적리스트(장기)-201911261525.xlsx</t>
  </si>
  <si>
    <t>마감실적리스트(생명)-201911261726.xlsx</t>
    <phoneticPr fontId="1" type="noConversion"/>
  </si>
  <si>
    <t>마감실적리스트(생명)-201912260926.xlsx</t>
  </si>
  <si>
    <t>생보</t>
    <phoneticPr fontId="1" type="noConversion"/>
  </si>
  <si>
    <t>마감실적리스트(일반)-201912260931.xlsx</t>
  </si>
  <si>
    <t>마감실적리스트(자동차)-201912260930.xlsx</t>
  </si>
  <si>
    <t>마감실적리스트(장기)-201912260929.xlsx</t>
  </si>
  <si>
    <t>[시행종료작업]</t>
    <phoneticPr fontId="1" type="noConversion"/>
  </si>
  <si>
    <t>수입원장검증</t>
    <phoneticPr fontId="1" type="noConversion"/>
  </si>
  <si>
    <t>NO필터</t>
    <phoneticPr fontId="1" type="noConversion"/>
  </si>
  <si>
    <t>마감실적리스트(생명)-202001221154.xlsx</t>
  </si>
  <si>
    <t>생보</t>
    <phoneticPr fontId="1" type="noConversion"/>
  </si>
  <si>
    <t>마감실적리스트(일반)-202001221154.xlsx</t>
  </si>
  <si>
    <t>마감실적리스트(자동차)-202001221154.xlsx</t>
  </si>
  <si>
    <t>마감실적리스트(장기)-202001221158.xlsx</t>
  </si>
  <si>
    <t>분리기준월</t>
    <phoneticPr fontId="1" type="noConversion"/>
  </si>
  <si>
    <t>년도차이</t>
    <phoneticPr fontId="1" type="noConversion"/>
  </si>
  <si>
    <t>월차이</t>
    <phoneticPr fontId="1" type="noConversion"/>
  </si>
  <si>
    <t>대상년월까지 경과회차</t>
    <phoneticPr fontId="1" type="noConversion"/>
  </si>
  <si>
    <t>가온분리년월</t>
    <phoneticPr fontId="1" type="noConversion"/>
  </si>
  <si>
    <t>이름</t>
  </si>
  <si>
    <t>사원번호</t>
  </si>
  <si>
    <t>계약일자</t>
  </si>
  <si>
    <t>노희경</t>
  </si>
  <si>
    <t>MPK803173002</t>
  </si>
  <si>
    <t>&lt;'20181101</t>
  </si>
  <si>
    <t>송연희</t>
  </si>
  <si>
    <t>MPK033143019</t>
  </si>
  <si>
    <t>송정희</t>
  </si>
  <si>
    <t>MPK803143004</t>
  </si>
  <si>
    <t>임명산</t>
  </si>
  <si>
    <t>MPK033143015</t>
  </si>
  <si>
    <t>임은숙</t>
  </si>
  <si>
    <t>MPK033143010</t>
  </si>
  <si>
    <t>채금희</t>
  </si>
  <si>
    <t>가온(구 피스토스) 원장필터</t>
    <phoneticPr fontId="1" type="noConversion"/>
  </si>
  <si>
    <t>가온_피스토스_필터</t>
    <phoneticPr fontId="1" type="noConversion"/>
  </si>
  <si>
    <t>E:\글로벌백업(180329)\04.수수료작업\201912수수료\2019-12 수입원장(KJ).xlsx</t>
    <phoneticPr fontId="1" type="noConversion"/>
  </si>
  <si>
    <t>손주민</t>
  </si>
  <si>
    <t>AIG손해보험</t>
  </si>
  <si>
    <t>MG손보</t>
  </si>
  <si>
    <t>흥국화재</t>
  </si>
  <si>
    <t>한화손보</t>
  </si>
  <si>
    <t>롯데손보</t>
  </si>
  <si>
    <t>농협손보</t>
  </si>
  <si>
    <t>삼성화재</t>
  </si>
  <si>
    <t>작업할 원장시트</t>
    <phoneticPr fontId="1" type="noConversion"/>
  </si>
  <si>
    <t>전체</t>
    <phoneticPr fontId="1" type="noConversion"/>
  </si>
  <si>
    <t>처브손해보험</t>
    <phoneticPr fontId="1" type="noConversion"/>
  </si>
  <si>
    <t>지사송부</t>
    <phoneticPr fontId="1" type="noConversion"/>
  </si>
  <si>
    <t>kj정산</t>
    <phoneticPr fontId="1" type="noConversion"/>
  </si>
  <si>
    <t>당월 path</t>
    <phoneticPr fontId="1" type="noConversion"/>
  </si>
  <si>
    <t>Y</t>
    <phoneticPr fontId="1" type="noConversion"/>
  </si>
  <si>
    <t>마감실적리스트(생명)-202002251821.xlsx</t>
  </si>
  <si>
    <t>생보</t>
    <phoneticPr fontId="1" type="noConversion"/>
  </si>
  <si>
    <t>마감실적리스트(일반)-202002251716.xlsx</t>
  </si>
  <si>
    <t>마감실적리스트(자동차)-202002251721.xlsx</t>
  </si>
  <si>
    <t>마감실적리스트(장기)-202002251819.xlsx</t>
  </si>
  <si>
    <t>지점필터</t>
    <phoneticPr fontId="1" type="noConversion"/>
  </si>
  <si>
    <t>원장정산율</t>
    <phoneticPr fontId="1" type="noConversion"/>
  </si>
  <si>
    <t>매월 확인</t>
    <phoneticPr fontId="1" type="noConversion"/>
  </si>
  <si>
    <t>마감실적리스트(생명)-202003261344.xlsx</t>
  </si>
  <si>
    <t>생보</t>
    <phoneticPr fontId="1" type="noConversion"/>
  </si>
  <si>
    <t>마감실적리스트(일반)-202003261345.xlsx</t>
  </si>
  <si>
    <t>마감실적리스트(자동차)-202003261345.xlsx</t>
  </si>
  <si>
    <t>마감실적리스트(장기)-202003261348.xlsx</t>
  </si>
  <si>
    <t>마감실적리스트(생명)-202004241006.xlsx</t>
  </si>
  <si>
    <t>생보</t>
    <phoneticPr fontId="1" type="noConversion"/>
  </si>
  <si>
    <t>마감실적리스트(일반)-202004240928.xlsx</t>
  </si>
  <si>
    <t>마감실적리스트(자동차)-202004240928.xlsx</t>
  </si>
  <si>
    <t>마감실적리스트(장기)-202004241000.xlsx</t>
  </si>
  <si>
    <t>마감실적리스트(생명)-202005260946.xlsx</t>
  </si>
  <si>
    <t>생보</t>
    <phoneticPr fontId="1" type="noConversion"/>
  </si>
  <si>
    <t>마감실적리스트(일반)-202005260826.xlsx</t>
  </si>
  <si>
    <t>마감실적리스트(자동차)-202005260826.xlsx</t>
  </si>
  <si>
    <t>마감실적리스트(장기)-202005260949.xlsx</t>
  </si>
  <si>
    <t>피스토스 실손정산</t>
  </si>
  <si>
    <t>피스토스 실손정산</t>
    <phoneticPr fontId="1" type="noConversion"/>
  </si>
  <si>
    <t>피스토스 실손정산</t>
    <phoneticPr fontId="1" type="noConversion"/>
  </si>
  <si>
    <t>피스토스_실손필터</t>
    <phoneticPr fontId="1" type="noConversion"/>
  </si>
  <si>
    <t>엠피피스토스</t>
  </si>
  <si>
    <t>상품군</t>
  </si>
  <si>
    <t>실손</t>
  </si>
  <si>
    <t>전체</t>
    <phoneticPr fontId="1" type="noConversion"/>
  </si>
  <si>
    <t>실손필터</t>
    <phoneticPr fontId="1" type="noConversion"/>
  </si>
  <si>
    <t>지급년월</t>
  </si>
  <si>
    <t>적용일</t>
  </si>
  <si>
    <t>보험사</t>
  </si>
  <si>
    <t>계약종류</t>
  </si>
  <si>
    <t>지급구분</t>
  </si>
  <si>
    <t>총괄</t>
  </si>
  <si>
    <t>본부</t>
  </si>
  <si>
    <t>직할지점</t>
  </si>
  <si>
    <t>팀</t>
  </si>
  <si>
    <t>사원명</t>
  </si>
  <si>
    <t>FC코드</t>
  </si>
  <si>
    <t>표준상태</t>
  </si>
  <si>
    <t>상태</t>
  </si>
  <si>
    <t>상품명</t>
  </si>
  <si>
    <t>계약자명</t>
  </si>
  <si>
    <t>납입주기</t>
  </si>
  <si>
    <t>보장기간</t>
  </si>
  <si>
    <t>납입기간</t>
  </si>
  <si>
    <t>보험료</t>
  </si>
  <si>
    <t>원수사성적</t>
  </si>
  <si>
    <t>영수구분</t>
  </si>
  <si>
    <t>영수일자</t>
  </si>
  <si>
    <t>자동차_물건구분</t>
  </si>
  <si>
    <t>자동차_보험종목</t>
  </si>
  <si>
    <t>수수료계</t>
  </si>
  <si>
    <t>25</t>
  </si>
  <si>
    <t>유지</t>
  </si>
  <si>
    <t>MP</t>
  </si>
  <si>
    <t>MPKJ</t>
  </si>
  <si>
    <t>MPK033142001</t>
  </si>
  <si>
    <t>표계순</t>
  </si>
  <si>
    <t>정상</t>
  </si>
  <si>
    <t>계속</t>
  </si>
  <si>
    <t>무배당흥국화재실손의료보험(1804)</t>
  </si>
  <si>
    <t>전월</t>
  </si>
  <si>
    <t>MP피스토스</t>
  </si>
  <si>
    <t>피스1팀</t>
  </si>
  <si>
    <t>MPK033143014</t>
  </si>
  <si>
    <t>김승희</t>
  </si>
  <si>
    <t>무배당흥국화재유병력자실손의료보험</t>
  </si>
  <si>
    <t>MPK803173003</t>
  </si>
  <si>
    <t>안옥선</t>
  </si>
  <si>
    <t>68665430</t>
  </si>
  <si>
    <t>MPK803153016</t>
  </si>
  <si>
    <t>김진이</t>
  </si>
  <si>
    <t>68705179</t>
  </si>
  <si>
    <t>MPK033143013</t>
  </si>
  <si>
    <t>홍미숙</t>
  </si>
  <si>
    <t>43577O</t>
  </si>
  <si>
    <t>무배당실손의료비보장보험(갱신형)(HI1804,1810)</t>
  </si>
  <si>
    <t>무배당한화실손의료보험(갱신형)Ⅱ1804</t>
  </si>
  <si>
    <t>MPK803143003</t>
  </si>
  <si>
    <t>고경숙</t>
  </si>
  <si>
    <t>6388164</t>
  </si>
  <si>
    <t>MPK803153010</t>
  </si>
  <si>
    <t>신현애</t>
  </si>
  <si>
    <t>715037532</t>
  </si>
  <si>
    <t>(무)메리츠유병력자실손의료비보험1804</t>
  </si>
  <si>
    <t>714035189</t>
  </si>
  <si>
    <t>(무)메리츠실손의료비보험1804</t>
  </si>
  <si>
    <t>생보</t>
    <phoneticPr fontId="1" type="noConversion"/>
  </si>
  <si>
    <t>마감실적리스트(일반)-202006251153.xlsx</t>
  </si>
  <si>
    <t>마감실적리스트(자동차)-202006251153.xlsx</t>
  </si>
  <si>
    <t>마감실적리스트(장기)-202006251151.xlsx</t>
  </si>
  <si>
    <t>마감실적리스트(생명)-202006251217.xlsx</t>
  </si>
  <si>
    <t>[수입원장 파일 정보]-실손정산에서 사용</t>
    <phoneticPr fontId="1" type="noConversion"/>
  </si>
  <si>
    <t>MPK803183004</t>
  </si>
  <si>
    <t>황지영</t>
  </si>
  <si>
    <t>MPK803143002</t>
  </si>
  <si>
    <t>김선옥</t>
  </si>
  <si>
    <t>MPK033143006</t>
  </si>
  <si>
    <t>이복자</t>
  </si>
  <si>
    <t>MPK803163001</t>
  </si>
  <si>
    <t>변영미</t>
  </si>
  <si>
    <t>수금</t>
  </si>
  <si>
    <t>MP상동</t>
  </si>
  <si>
    <t>상동1팀</t>
  </si>
  <si>
    <t>보장성</t>
  </si>
  <si>
    <t>MP송내</t>
  </si>
  <si>
    <t>송내2팀</t>
  </si>
  <si>
    <t>MPK031143010</t>
  </si>
  <si>
    <t>강미경</t>
  </si>
  <si>
    <t>MPK806143004</t>
  </si>
  <si>
    <t>김묘정</t>
  </si>
  <si>
    <t>MPK031143016</t>
  </si>
  <si>
    <t>이경옥</t>
  </si>
  <si>
    <t>MPK806143003</t>
  </si>
  <si>
    <t>이현자</t>
  </si>
  <si>
    <t>MPK806143005</t>
  </si>
  <si>
    <t>임서윤</t>
  </si>
  <si>
    <t>MP성공</t>
  </si>
  <si>
    <t>성공1팀</t>
  </si>
  <si>
    <t>MPK806163002</t>
  </si>
  <si>
    <t>채연숙</t>
  </si>
  <si>
    <t>MPK806163003</t>
  </si>
  <si>
    <t>심정임</t>
  </si>
  <si>
    <t>MPK802153001</t>
  </si>
  <si>
    <t>조성임</t>
  </si>
  <si>
    <t>MPK682163001</t>
  </si>
  <si>
    <t>전용순</t>
  </si>
  <si>
    <t>김선미</t>
  </si>
  <si>
    <t>MPK031143011</t>
  </si>
  <si>
    <t>이병식</t>
  </si>
  <si>
    <t>MP메트로</t>
  </si>
  <si>
    <t>MPK101173004</t>
  </si>
  <si>
    <t>김지연</t>
  </si>
  <si>
    <t>MPK031142001</t>
  </si>
  <si>
    <t>김종민1</t>
  </si>
  <si>
    <t>MPK806163001</t>
  </si>
  <si>
    <t>백혜경</t>
  </si>
  <si>
    <t>이금주</t>
  </si>
  <si>
    <t>김영숙</t>
  </si>
  <si>
    <t>MPK803183003</t>
  </si>
  <si>
    <t>우월랑</t>
  </si>
  <si>
    <t>송내1팀</t>
  </si>
  <si>
    <t>MPK803153004</t>
  </si>
  <si>
    <t>오은정</t>
  </si>
  <si>
    <t>MPK806183001</t>
  </si>
  <si>
    <t>정인란</t>
  </si>
  <si>
    <t>신계약</t>
  </si>
  <si>
    <t>초회</t>
  </si>
  <si>
    <t>MPK806173001</t>
  </si>
  <si>
    <t>김은숙1</t>
  </si>
  <si>
    <t>MPK803183006</t>
  </si>
  <si>
    <t>이미선2</t>
  </si>
  <si>
    <t>MPK809173019</t>
  </si>
  <si>
    <t>송승환</t>
  </si>
  <si>
    <t>MPK809183019</t>
  </si>
  <si>
    <t>홍미정</t>
  </si>
  <si>
    <t>MPK809183020</t>
  </si>
  <si>
    <t>최선희</t>
  </si>
  <si>
    <t>MP가온</t>
  </si>
  <si>
    <t>가온1팀</t>
  </si>
  <si>
    <t>김윤심</t>
  </si>
  <si>
    <t>MPK101171005</t>
  </si>
  <si>
    <t>문홍주</t>
  </si>
  <si>
    <t>MPK802163004</t>
  </si>
  <si>
    <t>김미예1</t>
  </si>
  <si>
    <t>MPK806183002</t>
  </si>
  <si>
    <t>이여진</t>
  </si>
  <si>
    <t>이주연</t>
  </si>
  <si>
    <t>이은희</t>
  </si>
  <si>
    <t>김유림</t>
  </si>
  <si>
    <t>정연숙</t>
  </si>
  <si>
    <t>이상희</t>
  </si>
  <si>
    <t>환수</t>
  </si>
  <si>
    <t>MPK031143001</t>
  </si>
  <si>
    <t>이문희</t>
  </si>
  <si>
    <t>엠피라온</t>
  </si>
  <si>
    <t>MP라온</t>
  </si>
  <si>
    <t>MPK800172001</t>
  </si>
  <si>
    <t>박종철</t>
  </si>
  <si>
    <t>최순옥</t>
  </si>
  <si>
    <t>이정순</t>
  </si>
  <si>
    <t>MPK031143007</t>
  </si>
  <si>
    <t>이윤수</t>
  </si>
  <si>
    <t>재물성</t>
  </si>
  <si>
    <t>라온1팀</t>
  </si>
  <si>
    <t>이미숙</t>
  </si>
  <si>
    <t>이정희</t>
  </si>
  <si>
    <t>이종호</t>
  </si>
  <si>
    <t>윤옥숙</t>
  </si>
  <si>
    <t>MPK806143008</t>
  </si>
  <si>
    <t>방이지점</t>
  </si>
  <si>
    <t>방이1팀</t>
  </si>
  <si>
    <t>MPK805153001</t>
  </si>
  <si>
    <t>임혁민</t>
  </si>
  <si>
    <t>김미현</t>
  </si>
  <si>
    <t>저축성</t>
  </si>
  <si>
    <t>강민지</t>
  </si>
  <si>
    <t>실효</t>
  </si>
  <si>
    <t>MPK806143006</t>
  </si>
  <si>
    <t>손정심</t>
  </si>
  <si>
    <t>MPK803153014</t>
  </si>
  <si>
    <t>노윤표</t>
  </si>
  <si>
    <t>노영재</t>
  </si>
  <si>
    <t>MPK506153003</t>
  </si>
  <si>
    <t>이현주1</t>
  </si>
  <si>
    <t>MPK033143003</t>
  </si>
  <si>
    <t>전민희</t>
  </si>
  <si>
    <t>윤제열</t>
  </si>
  <si>
    <t>MPK803183001</t>
  </si>
  <si>
    <t>김상천</t>
  </si>
  <si>
    <t>감액</t>
  </si>
  <si>
    <t>권오익</t>
  </si>
  <si>
    <t>MP강동</t>
  </si>
  <si>
    <t>강동1팀</t>
  </si>
  <si>
    <t>MPK809173022</t>
  </si>
  <si>
    <t>MPK800161001</t>
  </si>
  <si>
    <t>MPK809183025</t>
  </si>
  <si>
    <t>이선화4</t>
  </si>
  <si>
    <t>MPK809183006</t>
  </si>
  <si>
    <t>허유지</t>
  </si>
  <si>
    <t>이복영</t>
  </si>
  <si>
    <t>임수경</t>
  </si>
  <si>
    <t>신동원</t>
  </si>
  <si>
    <t>강인숙</t>
  </si>
  <si>
    <t>조윤주</t>
  </si>
  <si>
    <t>MPK033143007</t>
  </si>
  <si>
    <t>박주영</t>
  </si>
  <si>
    <t>MPK034143003</t>
  </si>
  <si>
    <t>양서진</t>
  </si>
  <si>
    <t>김*</t>
  </si>
  <si>
    <t>장기계약관리</t>
  </si>
  <si>
    <t>일반모집</t>
  </si>
  <si>
    <t>손별</t>
  </si>
  <si>
    <t>강경구</t>
  </si>
  <si>
    <t>양승범</t>
  </si>
  <si>
    <t>박정아</t>
  </si>
  <si>
    <t>이현기</t>
  </si>
  <si>
    <t>박희정</t>
  </si>
  <si>
    <t>김홍래</t>
  </si>
  <si>
    <t>오발환</t>
  </si>
  <si>
    <t>MPK803153012</t>
  </si>
  <si>
    <t>MPK803153008</t>
  </si>
  <si>
    <t>최병규</t>
  </si>
  <si>
    <t>심미경</t>
  </si>
  <si>
    <t>한대순</t>
  </si>
  <si>
    <t>44658P</t>
  </si>
  <si>
    <t>박규배</t>
  </si>
  <si>
    <t>L01811662849</t>
  </si>
  <si>
    <t>황인</t>
  </si>
  <si>
    <t>L01810493939</t>
  </si>
  <si>
    <t>무배당유병력자실손의료비보장보험(갱신형)(HI1804)</t>
  </si>
  <si>
    <t>김민형</t>
  </si>
  <si>
    <t>L01811663315</t>
  </si>
  <si>
    <t>황선우</t>
  </si>
  <si>
    <t>김강자</t>
  </si>
  <si>
    <t>LA20184349620000</t>
  </si>
  <si>
    <t>LA20184349736000</t>
  </si>
  <si>
    <t>무배당참편한실손의료보험(간편고지,갱신형)</t>
  </si>
  <si>
    <t>LA20184162341000</t>
  </si>
  <si>
    <t>오연식</t>
  </si>
  <si>
    <t>LA20184235333000</t>
  </si>
  <si>
    <t>LA20184317160000</t>
  </si>
  <si>
    <t>LA20184180086000</t>
  </si>
  <si>
    <t>LA20184146973000</t>
  </si>
  <si>
    <t>김*례</t>
  </si>
  <si>
    <t>이*자</t>
  </si>
  <si>
    <t>최*자</t>
  </si>
  <si>
    <t>김*현</t>
  </si>
  <si>
    <t>김*연</t>
  </si>
  <si>
    <t>이*성</t>
  </si>
  <si>
    <t>신*옥</t>
  </si>
  <si>
    <t>최*선</t>
  </si>
  <si>
    <t>김*란</t>
  </si>
  <si>
    <t>임*남</t>
  </si>
  <si>
    <t>이*미</t>
  </si>
  <si>
    <t>이*영</t>
  </si>
  <si>
    <t>김*진</t>
  </si>
  <si>
    <t>최*희</t>
  </si>
  <si>
    <t>김*희</t>
  </si>
  <si>
    <t>박*규</t>
  </si>
  <si>
    <t>김*미</t>
  </si>
  <si>
    <t>장*숙</t>
  </si>
  <si>
    <t>김*영</t>
  </si>
  <si>
    <t>이*훈</t>
  </si>
  <si>
    <t>이*진</t>
  </si>
  <si>
    <t>김*화</t>
  </si>
  <si>
    <t>홍*정</t>
  </si>
  <si>
    <t>이*숙</t>
  </si>
  <si>
    <t>이*현</t>
  </si>
  <si>
    <t>김*찬</t>
  </si>
  <si>
    <t>조*정</t>
  </si>
  <si>
    <t>김*훈</t>
  </si>
  <si>
    <t>김*철</t>
  </si>
  <si>
    <t>김*주</t>
  </si>
  <si>
    <t>이*옥</t>
  </si>
  <si>
    <t>이*주</t>
  </si>
  <si>
    <t>최*실</t>
  </si>
  <si>
    <t>박*순</t>
  </si>
  <si>
    <t>김*선</t>
  </si>
  <si>
    <t>김*자</t>
  </si>
  <si>
    <t>김*순</t>
  </si>
  <si>
    <t>정*인</t>
  </si>
  <si>
    <t>박*현</t>
  </si>
  <si>
    <t>이*애</t>
  </si>
  <si>
    <t>정*숙</t>
  </si>
  <si>
    <t>강*희</t>
  </si>
  <si>
    <t>이*희</t>
  </si>
  <si>
    <t>박*경</t>
  </si>
  <si>
    <t>정*열</t>
  </si>
  <si>
    <t>김*민</t>
  </si>
  <si>
    <t>김*혜</t>
  </si>
  <si>
    <t>최*숙</t>
  </si>
  <si>
    <t>조*영</t>
  </si>
  <si>
    <t>김*경</t>
  </si>
  <si>
    <t>윤*숙</t>
  </si>
  <si>
    <t>박*화</t>
  </si>
  <si>
    <t>박*희</t>
  </si>
  <si>
    <t>김*정</t>
  </si>
  <si>
    <t>김*숙</t>
  </si>
  <si>
    <t>김*호</t>
  </si>
  <si>
    <t>정*희</t>
  </si>
  <si>
    <t>김*하</t>
  </si>
  <si>
    <t>박*숙</t>
  </si>
  <si>
    <t>이*민</t>
  </si>
  <si>
    <t>김*옥</t>
  </si>
  <si>
    <t>이*순</t>
  </si>
  <si>
    <t>하*자</t>
  </si>
  <si>
    <t>한*숙</t>
  </si>
  <si>
    <t>이*인</t>
  </si>
  <si>
    <t>이*은</t>
  </si>
  <si>
    <t>안*선</t>
  </si>
  <si>
    <t>장*희</t>
  </si>
  <si>
    <t>배*숙</t>
  </si>
  <si>
    <t>이*리</t>
  </si>
  <si>
    <t>김*라</t>
  </si>
  <si>
    <t>최*경</t>
  </si>
  <si>
    <t>이*호</t>
  </si>
  <si>
    <t>임*정</t>
  </si>
  <si>
    <t>박*연</t>
  </si>
  <si>
    <t>이*선</t>
  </si>
  <si>
    <t>김*임</t>
  </si>
  <si>
    <t>서*희</t>
  </si>
  <si>
    <t>조*순</t>
  </si>
  <si>
    <t>최*원</t>
  </si>
  <si>
    <t>김*학</t>
  </si>
  <si>
    <t>송*숙</t>
  </si>
  <si>
    <t>박*식</t>
  </si>
  <si>
    <t>김*이</t>
  </si>
  <si>
    <t>김*범</t>
  </si>
  <si>
    <t>홍*영</t>
  </si>
  <si>
    <t>이*임</t>
  </si>
  <si>
    <t>임*미</t>
  </si>
  <si>
    <t>정*영</t>
  </si>
  <si>
    <t>김*분</t>
  </si>
  <si>
    <t>이*정</t>
  </si>
  <si>
    <t>박*옥</t>
  </si>
  <si>
    <t>정*환</t>
  </si>
  <si>
    <t>박*원</t>
  </si>
  <si>
    <t>임*순</t>
  </si>
  <si>
    <t>유*순</t>
  </si>
  <si>
    <t>박*진</t>
  </si>
  <si>
    <t>한*자</t>
  </si>
  <si>
    <t>강*영</t>
  </si>
  <si>
    <t>황*용</t>
  </si>
  <si>
    <t>김*한</t>
  </si>
  <si>
    <t>이*원</t>
  </si>
  <si>
    <t>임*숙</t>
  </si>
  <si>
    <t>오*영</t>
  </si>
  <si>
    <t>박*선</t>
  </si>
  <si>
    <t>강*정</t>
  </si>
  <si>
    <t>강*구</t>
  </si>
  <si>
    <t>한승묘</t>
  </si>
  <si>
    <t>(무)KB손보간편가입실손의료비보장보험(18.04)</t>
  </si>
  <si>
    <t>배*정</t>
  </si>
  <si>
    <t>한*정</t>
  </si>
  <si>
    <t>윤*자</t>
  </si>
  <si>
    <t>김병록</t>
  </si>
  <si>
    <t>조길현</t>
  </si>
  <si>
    <t>안희정</t>
  </si>
  <si>
    <t>백용선</t>
  </si>
  <si>
    <t>일반환수</t>
  </si>
  <si>
    <t>장기계약관리환수</t>
  </si>
  <si>
    <t>선지급유지</t>
  </si>
  <si>
    <t>선지급유지환수</t>
  </si>
  <si>
    <t>일반성과비례</t>
  </si>
  <si>
    <t>(무)NH다솜플러스종합보험</t>
  </si>
  <si>
    <t>F0206914</t>
  </si>
  <si>
    <t>임*산</t>
  </si>
  <si>
    <t>F0207250</t>
  </si>
  <si>
    <t>(무) NH다솜플러스종합보험(실손1601)</t>
  </si>
  <si>
    <t>윤*원</t>
  </si>
  <si>
    <t>F0206790</t>
  </si>
  <si>
    <t>F0210279</t>
  </si>
  <si>
    <t>장*용</t>
  </si>
  <si>
    <t>F0202266</t>
  </si>
  <si>
    <t>(무)해피하우스저축보험1501</t>
  </si>
  <si>
    <t>윤석자</t>
  </si>
  <si>
    <t>F0233026</t>
  </si>
  <si>
    <t>F0386524</t>
  </si>
  <si>
    <t>F0206736</t>
  </si>
  <si>
    <t>원*진</t>
  </si>
  <si>
    <t>(무)헤아림시니어암보험1501</t>
  </si>
  <si>
    <t>이*복</t>
  </si>
  <si>
    <t>F0261956</t>
  </si>
  <si>
    <t>F0224938</t>
  </si>
  <si>
    <t>F0380715</t>
  </si>
  <si>
    <t>전*순</t>
  </si>
  <si>
    <t>F0207298</t>
  </si>
  <si>
    <t>손*심</t>
  </si>
  <si>
    <t>F0223218</t>
  </si>
  <si>
    <t>유*임</t>
  </si>
  <si>
    <t>F0202294</t>
  </si>
  <si>
    <t>주*준</t>
  </si>
  <si>
    <t>F0208466</t>
  </si>
  <si>
    <t>박*기</t>
  </si>
  <si>
    <t>임*주</t>
  </si>
  <si>
    <t>한*순</t>
  </si>
  <si>
    <t>박*혜</t>
  </si>
  <si>
    <t>F0376297</t>
  </si>
  <si>
    <t>F0206739</t>
  </si>
  <si>
    <t>F0376279</t>
  </si>
  <si>
    <t>F0386502</t>
  </si>
  <si>
    <t>F0317208</t>
  </si>
  <si>
    <t>F0334660</t>
  </si>
  <si>
    <t>이*례</t>
  </si>
  <si>
    <t>F0208478</t>
  </si>
  <si>
    <t>F0203665</t>
  </si>
  <si>
    <t>(무)해피하우스보장보험1501</t>
  </si>
  <si>
    <t>한*희</t>
  </si>
  <si>
    <t>F0360109</t>
  </si>
  <si>
    <t>F0286173</t>
  </si>
  <si>
    <t>최*남</t>
  </si>
  <si>
    <t>F0363529</t>
  </si>
  <si>
    <t>F0333861</t>
  </si>
  <si>
    <t>F0286175</t>
  </si>
  <si>
    <t>(무)헤아림시니어암보험1804</t>
  </si>
  <si>
    <t>(무)NH가성비굿건강보험[1종:해지환급금미지급형]</t>
  </si>
  <si>
    <t>손*희</t>
  </si>
  <si>
    <t>문*자</t>
  </si>
  <si>
    <t>(무)헤아림실손의료비보험1804</t>
  </si>
  <si>
    <t>(무)NH계속지켜주는암보험[2종:갱신형]1901</t>
  </si>
  <si>
    <t>(무)NH가성비굿건강보험1901</t>
  </si>
  <si>
    <t>F0356139</t>
  </si>
  <si>
    <t>한*영</t>
  </si>
  <si>
    <t>F0306803</t>
  </si>
  <si>
    <t>(무)NH프리미어운전자보험1804</t>
  </si>
  <si>
    <t>JIANG*INGYU</t>
  </si>
  <si>
    <t>배*진</t>
  </si>
  <si>
    <t>안*숙</t>
  </si>
  <si>
    <t>서*주</t>
  </si>
  <si>
    <t>임*기</t>
  </si>
  <si>
    <t>F0335485</t>
  </si>
  <si>
    <t>(무) NH계속지켜주는암보험[1종:비갱신형]</t>
  </si>
  <si>
    <t>추*순</t>
  </si>
  <si>
    <t>민*규</t>
  </si>
  <si>
    <t>김*나</t>
  </si>
  <si>
    <t>F0286187</t>
  </si>
  <si>
    <t>(무)더(The)드리는건강보험[3종:암납입면제형(순수형)]1804</t>
  </si>
  <si>
    <t>(무)New리치하우스가정종합보험1804</t>
  </si>
  <si>
    <t>권*진</t>
  </si>
  <si>
    <t>전*선</t>
  </si>
  <si>
    <t>유*희</t>
  </si>
  <si>
    <t>송*희</t>
  </si>
  <si>
    <t>F0209466</t>
  </si>
  <si>
    <t>우*국</t>
  </si>
  <si>
    <t>우*영</t>
  </si>
  <si>
    <t>정*복</t>
  </si>
  <si>
    <t>함*현</t>
  </si>
  <si>
    <t>(무)헤아림시니어암보험1901</t>
  </si>
  <si>
    <t>(무)헤아림실손의료비보험1901</t>
  </si>
  <si>
    <t>임*빈</t>
  </si>
  <si>
    <t>김*열</t>
  </si>
  <si>
    <t>F0203508</t>
  </si>
  <si>
    <t>김*태</t>
  </si>
  <si>
    <t>진*혁</t>
  </si>
  <si>
    <t>장*수</t>
  </si>
  <si>
    <t>허*민</t>
  </si>
  <si>
    <t>박*준</t>
  </si>
  <si>
    <t>F0326090</t>
  </si>
  <si>
    <t>장*진</t>
  </si>
  <si>
    <t>(무)간편가입100세시대건강보험(세만기형)[2종:일반심사형]1804</t>
  </si>
  <si>
    <t>이*길</t>
  </si>
  <si>
    <t>구*석</t>
  </si>
  <si>
    <t>모*순</t>
  </si>
  <si>
    <t>이*덕</t>
  </si>
  <si>
    <t>(무)NH다솜플러스종합보험1804</t>
  </si>
  <si>
    <t>조*석</t>
  </si>
  <si>
    <t>F0362072</t>
  </si>
  <si>
    <t>고*숙</t>
  </si>
  <si>
    <t>김*복</t>
  </si>
  <si>
    <t>F0222836</t>
  </si>
  <si>
    <t>(무)NH치매중풍보험[1종:비갱신형]</t>
  </si>
  <si>
    <t>이*형</t>
  </si>
  <si>
    <t>(무)NH다솜플러스종합보험1604</t>
  </si>
  <si>
    <t>(무)NH프리미어운전자보험</t>
  </si>
  <si>
    <t>(무)NH다솜플러스종합보험1604(실손1701)</t>
  </si>
  <si>
    <t>(무)가정종합보험리치하우스1604</t>
  </si>
  <si>
    <t>(무)NH다솜플러스종합보험1704</t>
  </si>
  <si>
    <t>(무)헤아림시니어암보험1708</t>
  </si>
  <si>
    <t>엄*옥</t>
  </si>
  <si>
    <t>고*님</t>
  </si>
  <si>
    <t>F0357006</t>
  </si>
  <si>
    <t>하*현</t>
  </si>
  <si>
    <t>(무)헤아림시니어암보험1604</t>
  </si>
  <si>
    <t>전*결</t>
  </si>
  <si>
    <t>채*남</t>
  </si>
  <si>
    <t>(무)헤아림시니어암보험1704</t>
  </si>
  <si>
    <t>(무)간편가입100세시대건강보험(갱신형)[1종:간편심사형]</t>
  </si>
  <si>
    <t>F0205681</t>
  </si>
  <si>
    <t>진*람</t>
  </si>
  <si>
    <t>유*형</t>
  </si>
  <si>
    <t>성*숙</t>
  </si>
  <si>
    <t>김*엽</t>
  </si>
  <si>
    <t>이*지</t>
  </si>
  <si>
    <t>김*실</t>
  </si>
  <si>
    <t>염*순</t>
  </si>
  <si>
    <t>이*욱</t>
  </si>
  <si>
    <t>노*환</t>
  </si>
  <si>
    <t>양*은</t>
  </si>
  <si>
    <t>유*달</t>
  </si>
  <si>
    <t>설*빈</t>
  </si>
  <si>
    <t>HAN CH*NGHUA</t>
  </si>
  <si>
    <t>(무)꿈모아어린이보험1604(실손1701)</t>
  </si>
  <si>
    <t>(무)NH지킴이재산종합보험</t>
  </si>
  <si>
    <t>문*순</t>
  </si>
  <si>
    <t>길*선</t>
  </si>
  <si>
    <t>F0346432</t>
  </si>
  <si>
    <t>F0270731</t>
  </si>
  <si>
    <t>정*문</t>
  </si>
  <si>
    <t>서주영</t>
  </si>
  <si>
    <t>김*운</t>
  </si>
  <si>
    <t>김*신</t>
  </si>
  <si>
    <t>F0256751</t>
  </si>
  <si>
    <t>이*규</t>
  </si>
  <si>
    <t>최*규</t>
  </si>
  <si>
    <t>(무)더(The)드리는건강보험[3종:암납입면제형(순수형)]1704</t>
  </si>
  <si>
    <t>(무)헤아림시니어암보험1704(1707)</t>
  </si>
  <si>
    <t>양*인</t>
  </si>
  <si>
    <t>진*진</t>
  </si>
  <si>
    <t>신*석</t>
  </si>
  <si>
    <t>함*운</t>
  </si>
  <si>
    <t>유*덕</t>
  </si>
  <si>
    <t>(무)헤아림NH다솜저축보험[1종:저축플랜]1801</t>
  </si>
  <si>
    <t>최*조</t>
  </si>
  <si>
    <t>(무)헤아림NH다솜건강보험1501(실손1601)</t>
  </si>
  <si>
    <t>최*지</t>
  </si>
  <si>
    <t>원*정</t>
  </si>
  <si>
    <t>표*순</t>
  </si>
  <si>
    <t>성*희</t>
  </si>
  <si>
    <t>원*애</t>
  </si>
  <si>
    <t>지*태</t>
  </si>
  <si>
    <t>변*섭</t>
  </si>
  <si>
    <t>조*전</t>
  </si>
  <si>
    <t>변*현</t>
  </si>
  <si>
    <t>석*현</t>
  </si>
  <si>
    <t>(무)더(The)드리는건강보험[1종:3대질병납입면제형(순수형)]1704</t>
  </si>
  <si>
    <t>김*권</t>
  </si>
  <si>
    <t>엄*국</t>
  </si>
  <si>
    <t>(무)간편가입100세시대건강보험(갱신형)[1종:간편심사형]1804</t>
  </si>
  <si>
    <t>김*동</t>
  </si>
  <si>
    <t>장*순</t>
  </si>
  <si>
    <t>최*야</t>
  </si>
  <si>
    <t>서*옥</t>
  </si>
  <si>
    <t>이*이</t>
  </si>
  <si>
    <t>강*우</t>
  </si>
  <si>
    <t>강*혜</t>
  </si>
  <si>
    <t>원*희</t>
  </si>
  <si>
    <t>이*혜</t>
  </si>
  <si>
    <t>성*모</t>
  </si>
  <si>
    <t>(무)NH지킴이재산종합보험1710</t>
  </si>
  <si>
    <t>남*형</t>
  </si>
  <si>
    <t>김*녀</t>
  </si>
  <si>
    <t>방*림</t>
  </si>
  <si>
    <t>(무)가정종합보험리치하우스1710</t>
  </si>
  <si>
    <t>안*정</t>
  </si>
  <si>
    <t>가*희</t>
  </si>
  <si>
    <t>표*옥</t>
  </si>
  <si>
    <t>표*상</t>
  </si>
  <si>
    <t>손*례</t>
  </si>
  <si>
    <t>F0226453</t>
  </si>
  <si>
    <t>(무)NH행복실손의료보험1701</t>
  </si>
  <si>
    <t>김*구</t>
  </si>
  <si>
    <t>오*윤</t>
  </si>
  <si>
    <t>조*연</t>
  </si>
  <si>
    <t>강*태</t>
  </si>
  <si>
    <t>문*금</t>
  </si>
  <si>
    <t>강*주</t>
  </si>
  <si>
    <t>선*철</t>
  </si>
  <si>
    <t>공*현</t>
  </si>
  <si>
    <t>차*진</t>
  </si>
  <si>
    <t>박*언</t>
  </si>
  <si>
    <t>추*란</t>
  </si>
  <si>
    <t>황*애</t>
  </si>
  <si>
    <t>김*심</t>
  </si>
  <si>
    <t>(무)꿈모아어린이보험1604</t>
  </si>
  <si>
    <t>김*솔</t>
  </si>
  <si>
    <t>(무)내사업헤아림종합프로젝트보험1604</t>
  </si>
  <si>
    <t>(무)더(The)드리는건강보험[3종:암납입면제형(순수형)]1604</t>
  </si>
  <si>
    <t>정*웅</t>
  </si>
  <si>
    <t>양*진</t>
  </si>
  <si>
    <t>강*원</t>
  </si>
  <si>
    <t>진*영</t>
  </si>
  <si>
    <t>임*경</t>
  </si>
  <si>
    <t>손*옥</t>
  </si>
  <si>
    <t>권재호</t>
  </si>
  <si>
    <t>김*림</t>
  </si>
  <si>
    <t>(무)NH내사업파트너재산종합보험1710</t>
  </si>
  <si>
    <t>성*욱</t>
  </si>
  <si>
    <t>배*옥</t>
  </si>
  <si>
    <t>조*임</t>
  </si>
  <si>
    <t>송*화</t>
  </si>
  <si>
    <t>F0200548</t>
  </si>
  <si>
    <t>(무)New리치하우스가정종합보험</t>
  </si>
  <si>
    <t>이*식</t>
  </si>
  <si>
    <t>심*임</t>
  </si>
  <si>
    <t>김*온</t>
  </si>
  <si>
    <t>F0201484</t>
  </si>
  <si>
    <t>안*경</t>
  </si>
  <si>
    <t>(무)NH프리미어운전자보험1704</t>
  </si>
  <si>
    <t>강*진</t>
  </si>
  <si>
    <t>안*례</t>
  </si>
  <si>
    <t>프라임</t>
  </si>
  <si>
    <t>강동2팀</t>
  </si>
  <si>
    <t>MP방이</t>
  </si>
  <si>
    <t>MP시흥</t>
  </si>
  <si>
    <t>강동3팀</t>
  </si>
  <si>
    <t>20180410</t>
  </si>
  <si>
    <t>20180424</t>
  </si>
  <si>
    <t>68677761</t>
  </si>
  <si>
    <t>68484714</t>
  </si>
  <si>
    <t>20180430</t>
  </si>
  <si>
    <t>4612075</t>
  </si>
  <si>
    <t>(무)NH내사업파트너재산종합보험</t>
  </si>
  <si>
    <t>F0204863</t>
  </si>
  <si>
    <t>맹*섭</t>
  </si>
  <si>
    <t>이*윤</t>
  </si>
  <si>
    <t>안*용</t>
  </si>
  <si>
    <t>방*영</t>
  </si>
  <si>
    <t>(무)NH치매중풍보험[1종:비갱신형]1901</t>
  </si>
  <si>
    <t>조*상</t>
  </si>
  <si>
    <t>202004</t>
  </si>
  <si>
    <t>41831346180000</t>
  </si>
  <si>
    <t>20200331</t>
  </si>
  <si>
    <t>41831417690000</t>
  </si>
  <si>
    <t>20180418</t>
  </si>
  <si>
    <t>20200316</t>
  </si>
  <si>
    <t>41831499430000</t>
  </si>
  <si>
    <t>68508868</t>
  </si>
  <si>
    <t>20180427</t>
  </si>
  <si>
    <t>41831505250000</t>
  </si>
  <si>
    <t>68542282</t>
  </si>
  <si>
    <t>20200325</t>
  </si>
  <si>
    <t>41831529120000</t>
  </si>
  <si>
    <t>20200320</t>
  </si>
  <si>
    <t>41831307140000</t>
  </si>
  <si>
    <t>20180405</t>
  </si>
  <si>
    <t>41831433380000</t>
  </si>
  <si>
    <t>20180419</t>
  </si>
  <si>
    <t>41831535450000</t>
  </si>
  <si>
    <t>41831379010000</t>
  </si>
  <si>
    <t>20180413</t>
  </si>
  <si>
    <t>20200310</t>
  </si>
  <si>
    <t>41831336770000</t>
  </si>
  <si>
    <t>20180409</t>
  </si>
  <si>
    <t>20180417</t>
  </si>
  <si>
    <t>4596155</t>
  </si>
  <si>
    <t>20180412</t>
  </si>
  <si>
    <t>20200323</t>
  </si>
  <si>
    <t>4582619</t>
  </si>
  <si>
    <t>20200305</t>
  </si>
  <si>
    <t>20180411</t>
  </si>
  <si>
    <t>20180426</t>
  </si>
  <si>
    <t>20181860688</t>
  </si>
  <si>
    <t>20200309</t>
  </si>
  <si>
    <t>610881548</t>
  </si>
  <si>
    <t>610915243</t>
  </si>
  <si>
    <t>714050558</t>
  </si>
  <si>
    <t>610918412</t>
  </si>
  <si>
    <t>6108820306</t>
  </si>
  <si>
    <t>6108825472</t>
  </si>
  <si>
    <t>3190420455211</t>
  </si>
  <si>
    <t>(무)행복100세종합보험1604</t>
  </si>
  <si>
    <t>F0246948</t>
  </si>
  <si>
    <t>박*임</t>
  </si>
  <si>
    <t>(무) NH계속지켜주는암보험[2종:갱신형]</t>
  </si>
  <si>
    <t>문*식</t>
  </si>
  <si>
    <t>조*현</t>
  </si>
  <si>
    <t>문*임</t>
  </si>
  <si>
    <t>임*윤</t>
  </si>
  <si>
    <t>F0320115</t>
  </si>
  <si>
    <t>F0363577</t>
  </si>
  <si>
    <t>F0377955</t>
  </si>
  <si>
    <t>지*실</t>
  </si>
  <si>
    <t>최*덕</t>
  </si>
  <si>
    <t>(무)꿈모아어린이보험1704</t>
  </si>
  <si>
    <t>홍*윤</t>
  </si>
  <si>
    <t>진*기</t>
  </si>
  <si>
    <t>진*필</t>
  </si>
  <si>
    <t>윤*열</t>
  </si>
  <si>
    <t>진*연</t>
  </si>
  <si>
    <t>나*진</t>
  </si>
  <si>
    <t>장*아</t>
  </si>
  <si>
    <t>김*해</t>
  </si>
  <si>
    <t>안*준</t>
  </si>
  <si>
    <t>F0205754</t>
  </si>
  <si>
    <t>(무)헤아림NH다솜저축보험[1종:저축플랜]1604</t>
  </si>
  <si>
    <t>F0359140</t>
  </si>
  <si>
    <t>노희원</t>
  </si>
  <si>
    <t>한*수</t>
  </si>
  <si>
    <t>(무)더(The)드리는건강보험[1종:3대질병납입면제형(순수형)]1604</t>
  </si>
  <si>
    <t>F0345033</t>
  </si>
  <si>
    <t>F0210305</t>
  </si>
  <si>
    <t>F0205350</t>
  </si>
  <si>
    <t>정*이</t>
  </si>
  <si>
    <t>F0243537</t>
  </si>
  <si>
    <t>F0236932</t>
  </si>
  <si>
    <t>F0283924</t>
  </si>
  <si>
    <t>허성천</t>
  </si>
  <si>
    <t>장*연</t>
  </si>
  <si>
    <t>조*이</t>
  </si>
  <si>
    <t>진*일</t>
  </si>
  <si>
    <t>강*기</t>
  </si>
  <si>
    <t>(무)헤아림스마트상해보험1604</t>
  </si>
  <si>
    <t>&gt;=13</t>
    <phoneticPr fontId="1" type="noConversion"/>
  </si>
  <si>
    <t>&lt;=24</t>
    <phoneticPr fontId="1" type="noConversion"/>
  </si>
  <si>
    <t>납입회차</t>
    <phoneticPr fontId="1" type="noConversion"/>
  </si>
  <si>
    <t>수수료계T</t>
    <phoneticPr fontId="1" type="noConversion"/>
  </si>
  <si>
    <t>마감실적리스트(일반)-202007241356.xlsx</t>
  </si>
  <si>
    <t>마감실적리스트(자동차)-202007241356.xlsx</t>
  </si>
  <si>
    <t>마감실적리스트(장기)-202007241348.xlsx</t>
  </si>
  <si>
    <t>마감실적리스트(생명)-202007241343.xlsx</t>
  </si>
  <si>
    <t>마감실적리스트(생명)-202008252102.xlsx</t>
  </si>
  <si>
    <t>생보</t>
    <phoneticPr fontId="1" type="noConversion"/>
  </si>
  <si>
    <t>마감실적리스트(일반)-202008252104.xlsx</t>
  </si>
  <si>
    <t>마감실적리스트(자동차)-202008252103.xlsx</t>
  </si>
  <si>
    <t>마감실적리스트(장기)-202008260859.xlsx</t>
  </si>
  <si>
    <t>마감실적리스트(생명)-202009241224.xlsx</t>
  </si>
  <si>
    <t>마감실적리스트(일반)-202009241232.xlsx</t>
  </si>
  <si>
    <t>마감실적리스트(자동차)-202009241234.xlsx</t>
  </si>
  <si>
    <t>마감실적리스트(장기)-202009261800.xlsx</t>
  </si>
  <si>
    <t>마감실적리스트(장기)-202010261221.xlsx</t>
  </si>
  <si>
    <t>마감실적리스트(일반)-202010261217.xlsx</t>
  </si>
  <si>
    <t>마감실적리스트(자동차)-202010261217.xlsx</t>
  </si>
  <si>
    <t>마감실적리스트(생명)-202010261216.xlsx</t>
  </si>
  <si>
    <t>생보</t>
    <phoneticPr fontId="1" type="noConversion"/>
  </si>
  <si>
    <t>마감실적리스트(일반)-202011260536.xlsx</t>
  </si>
  <si>
    <t>마감실적리스트(자동차)-202011260536.xlsx</t>
  </si>
  <si>
    <t>생보</t>
    <phoneticPr fontId="1" type="noConversion"/>
  </si>
  <si>
    <t>마감실적리스트(생명)-202011261221.xlsx</t>
  </si>
  <si>
    <t>마감실적리스트(장기)-202011261225.xlsx</t>
  </si>
  <si>
    <t>마감실적리스트(장기)-202012231837.xlsx</t>
  </si>
  <si>
    <t>생보</t>
    <phoneticPr fontId="1" type="noConversion"/>
  </si>
  <si>
    <t>마감실적리스트(자동차)-202012231804.xlsx</t>
  </si>
  <si>
    <t>마감실적리스트(일반)-202012231804.xlsx</t>
  </si>
  <si>
    <t>마감실적리스트(생명)-202012250850.xlsx</t>
  </si>
  <si>
    <t>마감실적리스트(일반)-202101261226.xlsx</t>
  </si>
  <si>
    <t>마감실적리스트(자동차)-202101261225.xlsx</t>
  </si>
  <si>
    <t>마감실적리스트(생명)-202101261223.xlsx</t>
  </si>
  <si>
    <t>마감실적리스트(장기)-202101261220.xlsx</t>
  </si>
  <si>
    <t>생보</t>
    <phoneticPr fontId="1" type="noConversion"/>
  </si>
  <si>
    <t>마감실적리스트(생명)-202102251503.xlsx</t>
  </si>
  <si>
    <t>생보</t>
    <phoneticPr fontId="1" type="noConversion"/>
  </si>
  <si>
    <t>마감실적리스트(일반)-202102251522.xlsx</t>
  </si>
  <si>
    <t>마감실적리스트(자동차)-202102251522.xlsx</t>
  </si>
  <si>
    <t>마감실적리스트(장기)-202102251520.xlsx</t>
  </si>
  <si>
    <t>마감실적리스트(생명)-202103260449.xlsx</t>
  </si>
  <si>
    <t>생보</t>
    <phoneticPr fontId="1" type="noConversion"/>
  </si>
  <si>
    <t>마감실적리스트(일반)-202103260525.xlsx</t>
  </si>
  <si>
    <t>마감실적리스트(자동차)-202103260525.xlsx</t>
  </si>
  <si>
    <t>마감실적리스트(장기)-202103260523.xlsx</t>
  </si>
  <si>
    <t>생보</t>
  </si>
  <si>
    <t>송내_성공_GOMS</t>
    <phoneticPr fontId="1" type="noConversion"/>
  </si>
  <si>
    <t>파일</t>
    <phoneticPr fontId="1" type="noConversion"/>
  </si>
  <si>
    <t>D:\글로벌백업(180329)\04.수수료작업\202103수수료\</t>
  </si>
  <si>
    <t>글래드송내</t>
    <phoneticPr fontId="1" type="noConversion"/>
  </si>
  <si>
    <t>글래드성공</t>
    <phoneticPr fontId="1" type="noConversion"/>
  </si>
  <si>
    <t>글래드의정부</t>
    <phoneticPr fontId="1" type="noConversion"/>
  </si>
  <si>
    <t>글래드</t>
    <phoneticPr fontId="1" type="noConversion"/>
  </si>
  <si>
    <t>글래드가온</t>
    <phoneticPr fontId="1" type="noConversion"/>
  </si>
  <si>
    <t>글래드가온(피스토스) 수금정산</t>
    <phoneticPr fontId="1" type="noConversion"/>
  </si>
  <si>
    <t>글래드가온 수금정산</t>
    <phoneticPr fontId="1" type="noConversion"/>
  </si>
  <si>
    <t>글래드가온(피스토스) 수금정산</t>
    <phoneticPr fontId="1" type="noConversion"/>
  </si>
  <si>
    <t>글래드가온 수금정산</t>
    <phoneticPr fontId="1" type="noConversion"/>
  </si>
  <si>
    <t>글래드가온(피스토스) 수금정산</t>
    <phoneticPr fontId="1" type="noConversion"/>
  </si>
  <si>
    <t>글래드가온</t>
    <phoneticPr fontId="1" type="noConversion"/>
  </si>
  <si>
    <t>마감실적리스트(생명)-202104261616.xlsx</t>
  </si>
  <si>
    <t>생보</t>
    <phoneticPr fontId="1" type="noConversion"/>
  </si>
  <si>
    <t>마감실적리스트(일반)-202104261618.xlsx</t>
  </si>
  <si>
    <t>마감실적리스트(자동차)-202104261618.xlsx</t>
  </si>
  <si>
    <t>마감실적리스트(장기)-202104261635.xlsx</t>
  </si>
  <si>
    <t>글래드상동_수입원장정산</t>
    <phoneticPr fontId="1" type="noConversion"/>
  </si>
  <si>
    <t>글래드조은_수입원장정산</t>
    <phoneticPr fontId="1" type="noConversion"/>
  </si>
  <si>
    <t>글래드경기_수입원장정산</t>
    <phoneticPr fontId="1" type="noConversion"/>
  </si>
  <si>
    <t>글래드피스토스</t>
  </si>
  <si>
    <t>글래드경기</t>
  </si>
  <si>
    <t>글래드제이엔제이</t>
  </si>
  <si>
    <t>글래드프라임</t>
  </si>
  <si>
    <t>글래드송내</t>
  </si>
  <si>
    <t>글래드성공</t>
  </si>
  <si>
    <t>글래드여주</t>
  </si>
  <si>
    <t>글래드가온</t>
  </si>
  <si>
    <t>글래드레전드</t>
  </si>
  <si>
    <t>글래드의정부</t>
  </si>
  <si>
    <t>글래드</t>
  </si>
  <si>
    <t>글래드상동_수입원장정산</t>
    <phoneticPr fontId="1" type="noConversion"/>
  </si>
  <si>
    <t>글래드제이엔제이_수입원장정산</t>
    <phoneticPr fontId="1" type="noConversion"/>
  </si>
  <si>
    <t>글래드조은_수입원장정산</t>
    <phoneticPr fontId="1" type="noConversion"/>
  </si>
  <si>
    <t>글래드경기_수입원장정산</t>
    <phoneticPr fontId="1" type="noConversion"/>
  </si>
  <si>
    <t>글래드씨티엠_수입원장정산</t>
    <phoneticPr fontId="1" type="noConversion"/>
  </si>
  <si>
    <t>D:\글로벌백업(180329)\04.수수료작업\202104수수료\</t>
  </si>
  <si>
    <t>글래드상동</t>
  </si>
  <si>
    <t>글래드조은</t>
  </si>
  <si>
    <t>글래드방이</t>
  </si>
  <si>
    <t>글래드신중동</t>
  </si>
  <si>
    <t>글래드시흥</t>
  </si>
  <si>
    <t>글래드가온 수금정산</t>
  </si>
  <si>
    <t>글래드가온(피스토스) 수금정산</t>
  </si>
  <si>
    <t>글래드씨티엠_수입원장정산</t>
  </si>
  <si>
    <t>글래드씨티엠</t>
  </si>
  <si>
    <t>글래드</t>
    <phoneticPr fontId="1" type="noConversion"/>
  </si>
  <si>
    <t>글래드→송내(김묘정)지점변경</t>
    <phoneticPr fontId="1" type="noConversion"/>
  </si>
  <si>
    <t>마감실적리스트(생명)-202105261612.xlsx</t>
  </si>
  <si>
    <t>생보</t>
    <phoneticPr fontId="1" type="noConversion"/>
  </si>
  <si>
    <t>마감실적리스트(일반)-202105261618.xlsx</t>
  </si>
  <si>
    <t>마감실적리스트(자동차)-202105261618.xlsx</t>
  </si>
  <si>
    <t>마감실적리스트(장기)-202105261605.xlsx</t>
  </si>
  <si>
    <t>김대곤</t>
  </si>
  <si>
    <t>GLD809183012</t>
  </si>
  <si>
    <t>박윤희</t>
  </si>
  <si>
    <t>GLD809183029</t>
  </si>
  <si>
    <t>이강희</t>
  </si>
  <si>
    <t>GLD809183035</t>
  </si>
  <si>
    <t>이승희2</t>
  </si>
  <si>
    <t>GLD809183013</t>
  </si>
  <si>
    <t>김미화2</t>
  </si>
  <si>
    <t>김혜은</t>
  </si>
  <si>
    <t>GLD809183011</t>
  </si>
  <si>
    <t>담당</t>
    <phoneticPr fontId="1" type="noConversion"/>
  </si>
  <si>
    <t>사원번호</t>
    <phoneticPr fontId="1" type="noConversion"/>
  </si>
  <si>
    <t>지점</t>
    <phoneticPr fontId="1" type="noConversion"/>
  </si>
  <si>
    <t>글래드</t>
    <phoneticPr fontId="1" type="noConversion"/>
  </si>
  <si>
    <t>씨티엠필터</t>
    <phoneticPr fontId="1" type="noConversion"/>
  </si>
  <si>
    <t>씨티엠필터</t>
    <phoneticPr fontId="1" type="noConversion"/>
  </si>
  <si>
    <t>GLD809183018</t>
    <phoneticPr fontId="1" type="noConversion"/>
  </si>
  <si>
    <t>글래드아이리치</t>
    <phoneticPr fontId="1" type="noConversion"/>
  </si>
  <si>
    <t>GLD803173002</t>
  </si>
  <si>
    <t>GLD033143019</t>
  </si>
  <si>
    <t>GLD803141001</t>
  </si>
  <si>
    <t>GLD803143004</t>
  </si>
  <si>
    <t>GLD033143015</t>
  </si>
  <si>
    <t>GLD033143010</t>
  </si>
  <si>
    <t>GLD803153002</t>
  </si>
  <si>
    <t>시트명</t>
  </si>
  <si>
    <t>바꿀명</t>
  </si>
  <si>
    <t>건별_AIA생명</t>
  </si>
  <si>
    <t>AIA생명</t>
  </si>
  <si>
    <t>건별_DGB생명</t>
  </si>
  <si>
    <t>DGB생명</t>
  </si>
  <si>
    <t>건별_IBK연금보험</t>
  </si>
  <si>
    <t>IBK연금보험</t>
  </si>
  <si>
    <t>건별_오렌지라이프</t>
  </si>
  <si>
    <t>오렌지라이프</t>
  </si>
  <si>
    <t>건별_KB생명</t>
  </si>
  <si>
    <t>KB생명</t>
  </si>
  <si>
    <t>건별_KDB생명</t>
  </si>
  <si>
    <t>KDB생명</t>
  </si>
  <si>
    <t>건별_PCA생명</t>
  </si>
  <si>
    <t>PCA생명</t>
  </si>
  <si>
    <t>건별_교보생명</t>
  </si>
  <si>
    <t>교보생명</t>
  </si>
  <si>
    <t>건별_농협생명</t>
  </si>
  <si>
    <t>농협생명</t>
  </si>
  <si>
    <t>건별_DB생명</t>
  </si>
  <si>
    <t>DB생명</t>
  </si>
  <si>
    <t>건별_동양생명</t>
  </si>
  <si>
    <t>동양생명</t>
  </si>
  <si>
    <t>건별_라이나생명</t>
  </si>
  <si>
    <t>라이나생명</t>
  </si>
  <si>
    <t>건별_메트라이프생명</t>
  </si>
  <si>
    <t>메트라이프생명</t>
  </si>
  <si>
    <t>건별_미래에셋생명</t>
  </si>
  <si>
    <t>미래에셋생명</t>
  </si>
  <si>
    <t>건별_삼성생명</t>
  </si>
  <si>
    <t>삼성생명</t>
  </si>
  <si>
    <t>건별_신한생명</t>
  </si>
  <si>
    <t>신한생명</t>
  </si>
  <si>
    <t>건별_ABL생명</t>
  </si>
  <si>
    <t>ABL생명</t>
  </si>
  <si>
    <t>건별_처브라이프</t>
  </si>
  <si>
    <t>처브라이프</t>
  </si>
  <si>
    <t>건별_한화생명</t>
  </si>
  <si>
    <t>한화생명</t>
  </si>
  <si>
    <t>건별_푸본현대생명</t>
  </si>
  <si>
    <t>푸본현대생명</t>
  </si>
  <si>
    <t>건별_흥국생명</t>
  </si>
  <si>
    <t>흥국생명</t>
  </si>
  <si>
    <t>건별_AIG손해보험</t>
  </si>
  <si>
    <t>건별_KB손보</t>
  </si>
  <si>
    <t>건별_MG손보</t>
  </si>
  <si>
    <t>건별_농협손보</t>
  </si>
  <si>
    <t>건별_DB손보</t>
  </si>
  <si>
    <t>건별_롯데손보</t>
  </si>
  <si>
    <t>건별_메리츠화재</t>
  </si>
  <si>
    <t>건별_삼성화재</t>
  </si>
  <si>
    <t>건별_처브손해보험</t>
  </si>
  <si>
    <t>처브손해보험</t>
  </si>
  <si>
    <t>건별_한화손보</t>
  </si>
  <si>
    <t>건별_현대해상</t>
  </si>
  <si>
    <t>건별_흥국화재</t>
  </si>
  <si>
    <t>건별_하나손해보험</t>
  </si>
  <si>
    <t>하나손해보험</t>
  </si>
  <si>
    <t>건별_푸르덴셜생명</t>
  </si>
  <si>
    <t>푸르덴셜생명</t>
  </si>
  <si>
    <t>건별_카디프생명</t>
  </si>
  <si>
    <t>카디프생명</t>
  </si>
  <si>
    <t>N</t>
    <phoneticPr fontId="1" type="noConversion"/>
  </si>
  <si>
    <t>건별</t>
    <phoneticPr fontId="1" type="noConversion"/>
  </si>
  <si>
    <t>글래드제이엔제이_수입원장정산</t>
    <phoneticPr fontId="1" type="noConversion"/>
  </si>
  <si>
    <t>글래드</t>
    <phoneticPr fontId="1" type="noConversion"/>
  </si>
  <si>
    <t>마감실적리스트(생명)-202106232030.xlsx</t>
  </si>
  <si>
    <t>생보</t>
    <phoneticPr fontId="1" type="noConversion"/>
  </si>
  <si>
    <t>마감실적리스트(일반)-202106232030.xlsx</t>
  </si>
  <si>
    <t>마감실적리스트(자동차)-202106232030.xlsx</t>
  </si>
  <si>
    <t>마감실적리스트(장기)-202106232030.xlsx</t>
  </si>
  <si>
    <t>글래드제이엔제이_수입원장정산</t>
    <phoneticPr fontId="1" type="noConversion"/>
  </si>
  <si>
    <t>글래드조은</t>
    <phoneticPr fontId="1" type="noConversion"/>
  </si>
  <si>
    <t>마감실적리스트(생명)-202107240611.xlsx</t>
  </si>
  <si>
    <t>생보</t>
    <phoneticPr fontId="1" type="noConversion"/>
  </si>
  <si>
    <t>마감실적리스트(일반)-202107240606.xlsx</t>
  </si>
  <si>
    <t>마감실적리스트(자동차)-202107240606.xlsx</t>
  </si>
  <si>
    <t>마감실적리스트(장기)-202107240606.xlsx</t>
  </si>
  <si>
    <t>마감실적리스트(장기)-202108240537.xlsx</t>
  </si>
  <si>
    <t>마감실적리스트(생보)-202108240537.xlsx</t>
  </si>
  <si>
    <t>마감실적리스트(일반)-202108242137.xlsx</t>
  </si>
  <si>
    <t>마감실적리스트(자동차)-202108242137.xlsx</t>
  </si>
  <si>
    <t>글래드프라임</t>
    <phoneticPr fontId="1" type="noConversion"/>
  </si>
  <si>
    <t>마감실적리스트(생명)-202109231930.xlsx</t>
  </si>
  <si>
    <t>생보</t>
    <phoneticPr fontId="1" type="noConversion"/>
  </si>
  <si>
    <t>마감실적리스트(일반)-202109231930.xlsx</t>
  </si>
  <si>
    <t>마감실적리스트(자동차)-202109231930.xlsx</t>
  </si>
  <si>
    <t>마감실적리스트(장기)-202109231930.xlsx</t>
  </si>
  <si>
    <t>E:\글로벌백업(180329)\04.수수료작업\202108수수료\마감실적리스트(장기)-202109231930.xlsx</t>
    <phoneticPr fontId="1" type="noConversion"/>
  </si>
  <si>
    <t>WORKSHEET</t>
    <phoneticPr fontId="1" type="noConversion"/>
  </si>
  <si>
    <t>WORKSHEET</t>
    <phoneticPr fontId="1" type="noConversion"/>
  </si>
  <si>
    <t>E:\글로벌백업(180329)\04.수수료작업\202108수수료\마감실적리스트(생명)-202109231930.xlsx</t>
    <phoneticPr fontId="1" type="noConversion"/>
  </si>
  <si>
    <t>WORKSHEET</t>
    <phoneticPr fontId="1" type="noConversion"/>
  </si>
  <si>
    <t>E:\글로벌백업(180329)\04.수수료작업\202108수수료\마감실적리스트(생명)-202109231930.xlsx</t>
    <phoneticPr fontId="1" type="noConversion"/>
  </si>
  <si>
    <t>WORKSHEET</t>
    <phoneticPr fontId="1" type="noConversion"/>
  </si>
  <si>
    <t>E:\글로벌백업(180329)\04.수수료작업\202108수수료\마감실적리스트(자동차)-202109231930.xlsx</t>
    <phoneticPr fontId="1" type="noConversion"/>
  </si>
  <si>
    <t>E:\글로벌백업(180329)\04.수수료작업\202108수수료\마감실적리스트(일반)-202109231930.xlsx</t>
    <phoneticPr fontId="1" type="noConversion"/>
  </si>
  <si>
    <t>E:\글로벌백업(180329)\04.수수료작업\202108수수료\마감실적리스트(장기)-202109231930.xlsx</t>
    <phoneticPr fontId="1" type="noConversion"/>
  </si>
  <si>
    <t>WORKSHEET</t>
    <phoneticPr fontId="1" type="noConversion"/>
  </si>
  <si>
    <t>E:\글로벌백업(180329)\04.수수료작업\202108수수료\마감실적리스트(생명)-202109231930.xlsx</t>
    <phoneticPr fontId="1" type="noConversion"/>
  </si>
  <si>
    <t>E:\글로벌백업(180329)\04.수수료작업\202108수수료\마감실적리스트(자동차)-202109231930.xlsx</t>
    <phoneticPr fontId="1" type="noConversion"/>
  </si>
  <si>
    <t>WORKSHEET</t>
    <phoneticPr fontId="1" type="noConversion"/>
  </si>
  <si>
    <t>E:\글로벌백업(180329)\04.수수료작업\202108수수료\마감실적리스트(일반)-202109231930.xlsx</t>
    <phoneticPr fontId="1" type="noConversion"/>
  </si>
  <si>
    <t>E:\글로벌백업(180329)\04.수수료작업\202108수수료\마감실적리스트(생명)-202109231930.xlsx</t>
    <phoneticPr fontId="1" type="noConversion"/>
  </si>
  <si>
    <t>E:\글로벌백업(180329)\04.수수료작업\202108수수료\마감실적리스트(일반)-202109231930.xlsx</t>
    <phoneticPr fontId="1" type="noConversion"/>
  </si>
  <si>
    <t>E:\글로벌백업(180329)\04.수수료작업\202108수수료\마감실적리스트(생명)-202109231930.xlsx</t>
    <phoneticPr fontId="1" type="noConversion"/>
  </si>
  <si>
    <t>E:\글로벌백업(180329)\04.수수료작업\202108수수료\마감실적리스트(자동차)-202109231930.xlsx</t>
    <phoneticPr fontId="1" type="noConversion"/>
  </si>
  <si>
    <t>WORKSHEET</t>
    <phoneticPr fontId="1" type="noConversion"/>
  </si>
  <si>
    <t>WORKSHEET</t>
    <phoneticPr fontId="1" type="noConversion"/>
  </si>
  <si>
    <t>WORKSHEET</t>
    <phoneticPr fontId="1" type="noConversion"/>
  </si>
  <si>
    <t>WORKSHEET</t>
    <phoneticPr fontId="1" type="noConversion"/>
  </si>
  <si>
    <t>E:\글로벌백업(180329)\04.수수료작업\202108수수료\마감실적리스트(자동차)-202109231930.xlsx</t>
    <phoneticPr fontId="1" type="noConversion"/>
  </si>
  <si>
    <t>E:\글로벌백업(180329)\04.수수료작업\202108수수료\마감실적리스트(일반)-202109231930.xlsx</t>
    <phoneticPr fontId="1" type="noConversion"/>
  </si>
  <si>
    <t>d:\글로벌백업(180329)\04.수수료작업\202108수수료\</t>
  </si>
  <si>
    <t>d:\글로벌백업(180329)\04.수수료작업\202107수수료\</t>
  </si>
  <si>
    <t>d:\글로벌백업(180329)\04.수수료작업\202106수수료\</t>
  </si>
  <si>
    <t>d:\글로벌백업(180329)\04.수수료작업\202105수수료\</t>
  </si>
  <si>
    <t>d:\글로벌백업(180329)\04.수수료작업\202102수수료\</t>
  </si>
  <si>
    <t>d:\글로벌백업(180329)\04.수수료작업\202101수수료\</t>
  </si>
  <si>
    <t>d:\글로벌백업(180329)\04.수수료작업\202012수수료\</t>
  </si>
  <si>
    <t>d:\글로벌백업(180329)\04.수수료작업\202011수수료\</t>
  </si>
  <si>
    <t>d:\글로벌백업(180329)\04.수수료작업\202010수수료\</t>
  </si>
  <si>
    <t>d:\글로벌백업(180329)\04.수수료작업\202009수수료\</t>
  </si>
  <si>
    <t>d:\글로벌백업(180329)\04.수수료작업\202008수수료\</t>
  </si>
  <si>
    <t>d:\글로벌백업(180329)\04.수수료작업\202007수수료\</t>
  </si>
  <si>
    <t>d:\글로벌백업(180329)\04.수수료작업\202006수수료\</t>
  </si>
  <si>
    <t>d:\글로벌백업(180329)\04.수수료작업\202005수수료\</t>
  </si>
  <si>
    <t>d:\글로벌백업(180329)\04.수수료작업\202004수수료\</t>
  </si>
  <si>
    <t>d:\글로벌백업(180329)\04.수수료작업\202003수수료\</t>
  </si>
  <si>
    <t>d:\글로벌백업(180329)\04.수수료작업\202002수수료\</t>
  </si>
  <si>
    <t>d:\글로벌백업(180329)\04.수수료작업\202001수수료\</t>
  </si>
  <si>
    <t>d:\글로벌백업(180329)\04.수수료작업\201912수수료\</t>
  </si>
  <si>
    <t>d:\글로벌백업(180329)\04.수수료작업\201911수수료\</t>
  </si>
  <si>
    <t>d:\글로벌백업(180329)\04.수수료작업\201910수수료\</t>
  </si>
  <si>
    <t>d:\글로벌백업(180329)\04.수수료작업\201909수수료\</t>
  </si>
  <si>
    <t>d:\글로벌백업(180329)\04.수수료작업\201908수수료\</t>
  </si>
  <si>
    <t>d:\글로벌백업(180329)\04.수수료작업\201907수수료\</t>
  </si>
  <si>
    <t>d:\글로벌백업(180329)\04.수수료작업\201906수수료\</t>
  </si>
  <si>
    <t>d:\글로벌백업(180329)\04.수수료작업\201905수수료\</t>
  </si>
  <si>
    <t>d:\글로벌백업(180329)\04.수수료작업\201903수수료\</t>
  </si>
  <si>
    <t>d:\글로벌백업(180329)\04.수수료작업\201902수수료\</t>
  </si>
  <si>
    <t>d:\글로벌백업(180329)\04.수수료작업\201901수수료\</t>
  </si>
  <si>
    <t>d:\글로벌백업(180329)\04.수수료작업\201812수수료\</t>
  </si>
  <si>
    <t>d:\글로벌백업(180329)\04.수수료작업\201811수수료\</t>
  </si>
  <si>
    <t>d:\글로벌백업(180329)\04.수수료작업\201810수수료\</t>
  </si>
  <si>
    <t>d:\글로벌백업(180329)\04.수수료작업\201809수수료\</t>
  </si>
  <si>
    <t>d:\글로벌백업(180329)\04.수수료작업\201808수수료\</t>
  </si>
  <si>
    <t>d:\글로벌백업(180329)\04.수수료작업\201807수수료\</t>
  </si>
  <si>
    <t>d:\글로벌백업(180329)\04.수수료작업\201806수수료\</t>
  </si>
  <si>
    <t>d:\글로벌백업(180329)\04.수수료작업\201805수수료\</t>
  </si>
  <si>
    <t>d:\글로벌백업(180329)\04.수수료작업\201804수수료\</t>
  </si>
  <si>
    <t>d:\글로벌백업(180329)\04.수수료작업\201803수수료\</t>
  </si>
  <si>
    <t>d:\글로벌백업(180329)\04.수수료작업\201802수수료\</t>
  </si>
  <si>
    <t>d:\글로벌백업(180329)\04.수수료작업\202108수수료\마감실적리스트(장기)-202109231930.xlsx</t>
    <phoneticPr fontId="1" type="noConversion"/>
  </si>
  <si>
    <t>d:\글로벌백업(180329)\04.수수료작업\202108수수료\마감실적리스트(생명)-202109231930.xlsx</t>
    <phoneticPr fontId="1" type="noConversion"/>
  </si>
  <si>
    <t>수수료명세</t>
  </si>
  <si>
    <t>d:\글로벌백업(180329)\04.수수료작업\202108수수료\마감실적리스트(자동차)-202109231930.xlsx</t>
    <phoneticPr fontId="1" type="noConversion"/>
  </si>
  <si>
    <t>d:\글로벌백업(180329)\04.수수료작업\202108수수료\마감실적리스트(일반)-202109231930.xlsx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</si>
</sst>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;[Red]\-#,##0\ "/>
    <numFmt numFmtId="177" formatCode="0.0%"/>
  </numFmts>
  <fonts count="4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Calibri"/>
      <family val="2"/>
    </font>
    <font>
      <b/>
      <sz val="11"/>
      <color rgb="FF00206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B050"/>
      <name val="맑은 고딕"/>
      <family val="2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B0F0"/>
      <name val="맑은 고딕"/>
      <family val="2"/>
      <charset val="129"/>
      <scheme val="minor"/>
    </font>
    <font>
      <b/>
      <sz val="11"/>
      <color rgb="FF00B0F0"/>
      <name val="맑은 고딕"/>
      <family val="3"/>
      <charset val="129"/>
      <scheme val="minor"/>
    </font>
    <font>
      <sz val="9"/>
      <color indexed="81"/>
      <name val="Tahoma"/>
      <family val="2"/>
    </font>
    <font>
      <sz val="10"/>
      <color theme="1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b/>
      <sz val="10"/>
      <color rgb="FF0B527E"/>
      <name val="맑은 고딕"/>
      <family val="3"/>
      <charset val="129"/>
    </font>
    <font>
      <sz val="9"/>
      <name val="맑은 고딕"/>
      <family val="3"/>
      <charset val="129"/>
    </font>
    <font>
      <sz val="11"/>
      <color indexed="8"/>
      <name val="맑은 고딕"/>
      <family val="2"/>
      <scheme val="minor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rgb="FF00B05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indexed="12"/>
      <name val="맑은 고딕"/>
      <family val="2"/>
      <charset val="129"/>
      <scheme val="minor"/>
    </font>
    <font>
      <b/>
      <sz val="10"/>
      <color rgb="FF0B527E"/>
      <name val="Malgun Gothic"/>
      <family val="3"/>
      <charset val="129"/>
    </font>
    <font>
      <sz val="9"/>
      <color rgb="FF333333"/>
      <name val="Dotum"/>
      <family val="3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0" borderId="0"/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Alignment="1"/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0" fillId="0" borderId="1" xfId="0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9" fillId="5" borderId="0" xfId="0" applyFont="1" applyFill="1">
      <alignment vertical="center"/>
    </xf>
    <xf numFmtId="0" fontId="0" fillId="5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>
      <alignment vertical="center"/>
    </xf>
    <xf numFmtId="0" fontId="5" fillId="0" borderId="1" xfId="0" applyFont="1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3" borderId="0" xfId="0" applyFill="1" applyAlignment="1"/>
    <xf numFmtId="0" fontId="10" fillId="8" borderId="1" xfId="0" applyFont="1" applyFill="1" applyBorder="1">
      <alignment vertical="center"/>
    </xf>
    <xf numFmtId="0" fontId="11" fillId="8" borderId="1" xfId="0" applyFont="1" applyFill="1" applyBorder="1" applyAlignment="1"/>
    <xf numFmtId="0" fontId="11" fillId="8" borderId="1" xfId="0" applyFont="1" applyFill="1" applyBorder="1">
      <alignment vertical="center"/>
    </xf>
    <xf numFmtId="0" fontId="12" fillId="5" borderId="1" xfId="0" applyFont="1" applyFill="1" applyBorder="1" applyAlignment="1"/>
    <xf numFmtId="0" fontId="12" fillId="5" borderId="1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0" fillId="6" borderId="1" xfId="0" applyFill="1" applyBorder="1">
      <alignment vertical="center"/>
    </xf>
    <xf numFmtId="0" fontId="4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>
      <alignment vertical="center"/>
    </xf>
    <xf numFmtId="0" fontId="16" fillId="0" borderId="0" xfId="0" applyFont="1" applyAlignment="1">
      <alignment horizontal="left" vertical="center"/>
    </xf>
    <xf numFmtId="0" fontId="4" fillId="6" borderId="3" xfId="0" applyFon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16" fillId="0" borderId="6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/>
    </xf>
    <xf numFmtId="0" fontId="0" fillId="0" borderId="7" xfId="0" applyBorder="1">
      <alignment vertical="center"/>
    </xf>
    <xf numFmtId="0" fontId="16" fillId="0" borderId="7" xfId="0" applyFont="1" applyFill="1" applyBorder="1" applyAlignment="1">
      <alignment horizontal="left" vertical="center"/>
    </xf>
    <xf numFmtId="9" fontId="0" fillId="0" borderId="0" xfId="0" applyNumberFormat="1">
      <alignment vertical="center"/>
    </xf>
    <xf numFmtId="0" fontId="18" fillId="11" borderId="1" xfId="0" applyFont="1" applyFill="1" applyBorder="1">
      <alignment vertical="center"/>
    </xf>
    <xf numFmtId="0" fontId="18" fillId="11" borderId="1" xfId="0" applyFont="1" applyFill="1" applyBorder="1" applyAlignment="1"/>
    <xf numFmtId="9" fontId="18" fillId="11" borderId="1" xfId="6" applyFont="1" applyFill="1" applyBorder="1" applyAlignment="1"/>
    <xf numFmtId="0" fontId="19" fillId="11" borderId="1" xfId="0" applyFont="1" applyFill="1" applyBorder="1">
      <alignment vertical="center"/>
    </xf>
    <xf numFmtId="0" fontId="20" fillId="11" borderId="1" xfId="0" applyFont="1" applyFill="1" applyBorder="1">
      <alignment vertical="center"/>
    </xf>
    <xf numFmtId="0" fontId="18" fillId="0" borderId="0" xfId="0" applyFont="1">
      <alignment vertical="center"/>
    </xf>
    <xf numFmtId="0" fontId="18" fillId="9" borderId="1" xfId="0" applyFont="1" applyFill="1" applyBorder="1">
      <alignment vertical="center"/>
    </xf>
    <xf numFmtId="0" fontId="18" fillId="0" borderId="2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0" fillId="9" borderId="1" xfId="0" applyFill="1" applyBorder="1" applyAlignment="1"/>
    <xf numFmtId="176" fontId="21" fillId="9" borderId="1" xfId="0" applyNumberFormat="1" applyFont="1" applyFill="1" applyBorder="1" applyAlignment="1"/>
    <xf numFmtId="0" fontId="23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0" fillId="0" borderId="1" xfId="0" applyBorder="1" applyAlignment="1">
      <alignment horizontal="center"/>
    </xf>
    <xf numFmtId="0" fontId="10" fillId="0" borderId="1" xfId="0" applyFont="1" applyBorder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/>
    <xf numFmtId="10" fontId="11" fillId="0" borderId="1" xfId="0" applyNumberFormat="1" applyFont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Alignment="1"/>
    <xf numFmtId="10" fontId="26" fillId="0" borderId="1" xfId="0" applyNumberFormat="1" applyFont="1" applyFill="1" applyBorder="1" applyAlignment="1">
      <alignment horizontal="center" vertical="center" shrinkToFit="1"/>
    </xf>
    <xf numFmtId="0" fontId="0" fillId="0" borderId="0" xfId="0" quotePrefix="1">
      <alignment vertical="center"/>
    </xf>
    <xf numFmtId="0" fontId="0" fillId="0" borderId="1" xfId="0" applyBorder="1" applyAlignment="1">
      <alignment horizontal="center" vertical="center"/>
    </xf>
    <xf numFmtId="0" fontId="28" fillId="0" borderId="1" xfId="4" applyFont="1" applyBorder="1" applyAlignment="1">
      <alignment horizontal="center" vertical="center"/>
    </xf>
    <xf numFmtId="0" fontId="29" fillId="0" borderId="1" xfId="4" applyFont="1" applyBorder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9" fontId="11" fillId="0" borderId="1" xfId="0" applyNumberFormat="1" applyFont="1" applyBorder="1" applyAlignment="1">
      <alignment horizontal="center" vertical="center"/>
    </xf>
    <xf numFmtId="0" fontId="18" fillId="9" borderId="0" xfId="0" applyFont="1" applyFill="1" applyBorder="1">
      <alignment vertical="center"/>
    </xf>
    <xf numFmtId="0" fontId="31" fillId="0" borderId="1" xfId="7" applyFont="1" applyBorder="1" applyAlignment="1">
      <alignment horizontal="left" vertical="center"/>
    </xf>
    <xf numFmtId="0" fontId="29" fillId="0" borderId="1" xfId="7" quotePrefix="1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horizontal="left" vertical="center"/>
    </xf>
    <xf numFmtId="0" fontId="32" fillId="0" borderId="0" xfId="0" applyFont="1">
      <alignment vertical="center"/>
    </xf>
    <xf numFmtId="0" fontId="16" fillId="12" borderId="7" xfId="0" applyFont="1" applyFill="1" applyBorder="1" applyAlignment="1">
      <alignment horizontal="left" vertical="center"/>
    </xf>
    <xf numFmtId="0" fontId="16" fillId="12" borderId="6" xfId="0" applyFont="1" applyFill="1" applyBorder="1" applyAlignment="1">
      <alignment horizontal="left" vertical="center"/>
    </xf>
    <xf numFmtId="0" fontId="36" fillId="0" borderId="1" xfId="0" applyFont="1" applyBorder="1">
      <alignment vertical="center"/>
    </xf>
    <xf numFmtId="0" fontId="36" fillId="9" borderId="1" xfId="0" applyFont="1" applyFill="1" applyBorder="1">
      <alignment vertical="center"/>
    </xf>
    <xf numFmtId="0" fontId="36" fillId="0" borderId="1" xfId="0" applyFont="1" applyFill="1" applyBorder="1">
      <alignment vertical="center"/>
    </xf>
    <xf numFmtId="0" fontId="36" fillId="0" borderId="5" xfId="0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>
      <alignment vertical="center"/>
    </xf>
    <xf numFmtId="0" fontId="38" fillId="0" borderId="5" xfId="0" applyFont="1" applyBorder="1">
      <alignment vertical="center"/>
    </xf>
    <xf numFmtId="0" fontId="29" fillId="0" borderId="1" xfId="7" applyFont="1" applyBorder="1" applyAlignment="1">
      <alignment horizontal="left" vertical="center"/>
    </xf>
    <xf numFmtId="0" fontId="29" fillId="0" borderId="1" xfId="7" applyFont="1" applyBorder="1" applyAlignment="1">
      <alignment horizontal="center" vertical="center"/>
    </xf>
    <xf numFmtId="0" fontId="38" fillId="0" borderId="1" xfId="0" applyFont="1" applyBorder="1">
      <alignment vertical="center"/>
    </xf>
    <xf numFmtId="0" fontId="36" fillId="0" borderId="8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8" xfId="0" applyFont="1" applyBorder="1" applyAlignment="1">
      <alignment horizontal="left" vertical="center"/>
    </xf>
    <xf numFmtId="0" fontId="38" fillId="0" borderId="5" xfId="0" applyFont="1" applyBorder="1" applyAlignment="1">
      <alignment horizontal="left" vertical="center"/>
    </xf>
    <xf numFmtId="0" fontId="38" fillId="0" borderId="9" xfId="0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2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left" vertical="center" wrapText="1"/>
    </xf>
    <xf numFmtId="0" fontId="37" fillId="9" borderId="1" xfId="0" applyFont="1" applyFill="1" applyBorder="1">
      <alignment vertical="center"/>
    </xf>
    <xf numFmtId="0" fontId="38" fillId="9" borderId="1" xfId="0" applyFont="1" applyFill="1" applyBorder="1">
      <alignment vertical="center"/>
    </xf>
    <xf numFmtId="0" fontId="36" fillId="9" borderId="1" xfId="0" applyFont="1" applyFill="1" applyBorder="1" applyAlignment="1">
      <alignment horizontal="right" vertical="center"/>
    </xf>
    <xf numFmtId="0" fontId="10" fillId="0" borderId="1" xfId="0" applyFont="1" applyFill="1" applyBorder="1">
      <alignment vertical="center"/>
    </xf>
    <xf numFmtId="0" fontId="0" fillId="0" borderId="9" xfId="0" applyBorder="1">
      <alignment vertical="center"/>
    </xf>
    <xf numFmtId="0" fontId="36" fillId="9" borderId="6" xfId="0" applyFont="1" applyFill="1" applyBorder="1" applyAlignment="1">
      <alignment horizontal="right" vertical="center"/>
    </xf>
    <xf numFmtId="0" fontId="0" fillId="0" borderId="8" xfId="0" applyFill="1" applyBorder="1">
      <alignment vertical="center"/>
    </xf>
    <xf numFmtId="9" fontId="0" fillId="0" borderId="1" xfId="0" applyNumberFormat="1" applyBorder="1">
      <alignment vertical="center"/>
    </xf>
    <xf numFmtId="9" fontId="0" fillId="0" borderId="0" xfId="6" applyFont="1">
      <alignment vertical="center"/>
    </xf>
    <xf numFmtId="9" fontId="0" fillId="13" borderId="1" xfId="0" applyNumberFormat="1" applyFill="1" applyBorder="1">
      <alignment vertical="center"/>
    </xf>
    <xf numFmtId="0" fontId="0" fillId="9" borderId="0" xfId="0" applyFill="1" applyBorder="1">
      <alignment vertical="center"/>
    </xf>
    <xf numFmtId="0" fontId="28" fillId="0" borderId="1" xfId="7" applyFont="1" applyBorder="1" applyAlignment="1">
      <alignment horizontal="center" vertical="center"/>
    </xf>
    <xf numFmtId="3" fontId="29" fillId="0" borderId="1" xfId="7" applyNumberFormat="1" applyFont="1" applyBorder="1" applyAlignment="1">
      <alignment horizontal="right" vertical="center"/>
    </xf>
    <xf numFmtId="0" fontId="40" fillId="0" borderId="0" xfId="0" applyFont="1">
      <alignment vertical="center"/>
    </xf>
    <xf numFmtId="177" fontId="0" fillId="13" borderId="1" xfId="0" applyNumberFormat="1" applyFill="1" applyBorder="1">
      <alignment vertical="center"/>
    </xf>
    <xf numFmtId="49" fontId="41" fillId="0" borderId="13" xfId="0" applyNumberFormat="1" applyFont="1" applyBorder="1" applyAlignment="1">
      <alignment horizontal="center" vertical="center" wrapText="1"/>
    </xf>
    <xf numFmtId="49" fontId="42" fillId="14" borderId="14" xfId="0" applyNumberFormat="1" applyFont="1" applyFill="1" applyBorder="1" applyAlignment="1">
      <alignment horizontal="center" vertical="center" wrapText="1"/>
    </xf>
    <xf numFmtId="49" fontId="42" fillId="14" borderId="14" xfId="0" applyNumberFormat="1" applyFont="1" applyFill="1" applyBorder="1" applyAlignment="1">
      <alignment horizontal="left" vertical="center" wrapText="1"/>
    </xf>
    <xf numFmtId="49" fontId="42" fillId="14" borderId="15" xfId="0" applyNumberFormat="1" applyFont="1" applyFill="1" applyBorder="1" applyAlignment="1">
      <alignment horizontal="center" vertical="center" wrapText="1"/>
    </xf>
    <xf numFmtId="49" fontId="42" fillId="14" borderId="15" xfId="0" applyNumberFormat="1" applyFont="1" applyFill="1" applyBorder="1" applyAlignment="1">
      <alignment horizontal="left" vertical="center" wrapText="1"/>
    </xf>
    <xf numFmtId="0" fontId="36" fillId="0" borderId="0" xfId="0" applyFont="1" applyFill="1" applyBorder="1">
      <alignment vertical="center"/>
    </xf>
    <xf numFmtId="0" fontId="29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36" fillId="9" borderId="0" xfId="0" applyFon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</cellXfs>
  <cellStyles count="8">
    <cellStyle name="백분율" xfId="6" builtinId="5"/>
    <cellStyle name="백분율 2" xfId="5" xr:uid="{00000000-0005-0000-0000-000001000000}"/>
    <cellStyle name="쉼표 [0] 2 3" xfId="2" xr:uid="{00000000-0005-0000-0000-000002000000}"/>
    <cellStyle name="표준" xfId="0" builtinId="0"/>
    <cellStyle name="표준 118" xfId="1" xr:uid="{00000000-0005-0000-0000-000004000000}"/>
    <cellStyle name="표준 2" xfId="4" xr:uid="{00000000-0005-0000-0000-000005000000}"/>
    <cellStyle name="표준 2 2" xfId="7" xr:uid="{00000000-0005-0000-0000-000006000000}"/>
    <cellStyle name="표준 4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11</xdr:row>
          <xdr:rowOff>175260</xdr:rowOff>
        </xdr:from>
        <xdr:to>
          <xdr:col>12</xdr:col>
          <xdr:colOff>99060</xdr:colOff>
          <xdr:row>14</xdr:row>
          <xdr:rowOff>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525780</xdr:colOff>
          <xdr:row>93</xdr:row>
          <xdr:rowOff>144780</xdr:rowOff>
        </xdr:from>
        <xdr:to>
          <xdr:col>8</xdr:col>
          <xdr:colOff>182880</xdr:colOff>
          <xdr:row>95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탐색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3</xdr:row>
          <xdr:rowOff>144780</xdr:rowOff>
        </xdr:from>
        <xdr:to>
          <xdr:col>4</xdr:col>
          <xdr:colOff>647700</xdr:colOff>
          <xdr:row>5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시트명 변경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1089660</xdr:colOff>
          <xdr:row>7</xdr:row>
          <xdr:rowOff>22860</xdr:rowOff>
        </xdr:from>
        <xdr:to>
          <xdr:col>5</xdr:col>
          <xdr:colOff>518160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불필요 컬럼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7</xdr:row>
          <xdr:rowOff>22860</xdr:rowOff>
        </xdr:from>
        <xdr:to>
          <xdr:col>2</xdr:col>
          <xdr:colOff>899160</xdr:colOff>
          <xdr:row>9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조건데이터 가져오기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지정파일)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7</xdr:row>
          <xdr:rowOff>22860</xdr:rowOff>
        </xdr:from>
        <xdr:to>
          <xdr:col>7</xdr:col>
          <xdr:colOff>685800</xdr:colOff>
          <xdr:row>9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지정컬럼만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9</xdr:row>
          <xdr:rowOff>137160</xdr:rowOff>
        </xdr:from>
        <xdr:to>
          <xdr:col>2</xdr:col>
          <xdr:colOff>876300</xdr:colOff>
          <xdr:row>11</xdr:row>
          <xdr:rowOff>213360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조건데이터 가져오기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(From 목록)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3"/>
  <sheetViews>
    <sheetView topLeftCell="A7" workbookViewId="0">
      <selection activeCell="A7" sqref="A7"/>
    </sheetView>
  </sheetViews>
  <sheetFormatPr defaultRowHeight="17.399999999999999"/>
  <cols>
    <col min="1" max="1" width="37.5" bestFit="1" customWidth="1"/>
    <col min="2" max="2" width="13" bestFit="1" customWidth="1"/>
    <col min="3" max="3" width="130.69921875" bestFit="1" customWidth="1"/>
  </cols>
  <sheetData>
    <row r="1" spans="1:3">
      <c r="A1" t="s">
        <v>109</v>
      </c>
      <c r="B1" t="s">
        <v>45</v>
      </c>
      <c r="C1" t="s">
        <v>141</v>
      </c>
    </row>
    <row r="2" spans="1:3">
      <c r="A2" s="35" t="s">
        <v>110</v>
      </c>
      <c r="B2" t="s">
        <v>111</v>
      </c>
      <c r="C2" t="s">
        <v>135</v>
      </c>
    </row>
    <row r="3" spans="1:3">
      <c r="A3" s="35"/>
      <c r="B3" t="s">
        <v>136</v>
      </c>
      <c r="C3" t="s">
        <v>134</v>
      </c>
    </row>
    <row r="4" spans="1:3">
      <c r="A4" s="35"/>
      <c r="B4" t="s">
        <v>112</v>
      </c>
      <c r="C4" s="32" t="s">
        <v>214</v>
      </c>
    </row>
    <row r="5" spans="1:3">
      <c r="A5" s="33" t="s">
        <v>118</v>
      </c>
      <c r="B5" t="s">
        <v>111</v>
      </c>
      <c r="C5" t="s">
        <v>138</v>
      </c>
    </row>
    <row r="6" spans="1:3">
      <c r="A6" s="33"/>
      <c r="B6" t="s">
        <v>136</v>
      </c>
      <c r="C6" t="s">
        <v>226</v>
      </c>
    </row>
    <row r="7" spans="1:3">
      <c r="A7" s="35"/>
      <c r="B7" t="s">
        <v>116</v>
      </c>
      <c r="C7" t="s">
        <v>117</v>
      </c>
    </row>
    <row r="8" spans="1:3">
      <c r="A8" s="35"/>
      <c r="B8" t="s">
        <v>112</v>
      </c>
      <c r="C8" t="s">
        <v>129</v>
      </c>
    </row>
    <row r="9" spans="1:3">
      <c r="A9" s="33" t="s">
        <v>119</v>
      </c>
      <c r="B9" t="s">
        <v>111</v>
      </c>
      <c r="C9" t="s">
        <v>139</v>
      </c>
    </row>
    <row r="10" spans="1:3">
      <c r="A10" s="33"/>
      <c r="B10" t="s">
        <v>136</v>
      </c>
      <c r="C10" t="s">
        <v>137</v>
      </c>
    </row>
    <row r="11" spans="1:3">
      <c r="A11" s="35"/>
      <c r="B11" t="s">
        <v>116</v>
      </c>
      <c r="C11" t="s">
        <v>117</v>
      </c>
    </row>
    <row r="12" spans="1:3">
      <c r="A12" s="35"/>
      <c r="B12" t="s">
        <v>112</v>
      </c>
      <c r="C12" t="s">
        <v>129</v>
      </c>
    </row>
    <row r="13" spans="1:3">
      <c r="A13" s="33" t="s">
        <v>66</v>
      </c>
      <c r="B13" t="s">
        <v>111</v>
      </c>
      <c r="C13" t="s">
        <v>140</v>
      </c>
    </row>
    <row r="14" spans="1:3">
      <c r="A14" s="33"/>
      <c r="B14" t="s">
        <v>136</v>
      </c>
      <c r="C14" t="s">
        <v>215</v>
      </c>
    </row>
    <row r="15" spans="1:3">
      <c r="A15" s="33"/>
      <c r="B15" t="s">
        <v>112</v>
      </c>
      <c r="C15" t="s">
        <v>216</v>
      </c>
    </row>
    <row r="16" spans="1:3">
      <c r="A16" s="33" t="s">
        <v>79</v>
      </c>
      <c r="B16" t="s">
        <v>111</v>
      </c>
      <c r="C16" t="s">
        <v>133</v>
      </c>
    </row>
    <row r="17" spans="1:3">
      <c r="A17" s="33"/>
      <c r="B17" t="s">
        <v>136</v>
      </c>
      <c r="C17" t="s">
        <v>219</v>
      </c>
    </row>
    <row r="18" spans="1:3">
      <c r="A18" s="33"/>
      <c r="C18" t="s">
        <v>217</v>
      </c>
    </row>
    <row r="19" spans="1:3">
      <c r="A19" s="33"/>
      <c r="C19" t="s">
        <v>218</v>
      </c>
    </row>
    <row r="20" spans="1:3">
      <c r="A20" s="35"/>
      <c r="B20" t="s">
        <v>112</v>
      </c>
      <c r="C20" t="s">
        <v>129</v>
      </c>
    </row>
    <row r="21" spans="1:3">
      <c r="A21" s="33" t="s">
        <v>167</v>
      </c>
      <c r="B21" t="s">
        <v>111</v>
      </c>
      <c r="C21" t="s">
        <v>168</v>
      </c>
    </row>
    <row r="22" spans="1:3">
      <c r="A22" s="33"/>
      <c r="B22" t="s">
        <v>136</v>
      </c>
      <c r="C22" t="s">
        <v>169</v>
      </c>
    </row>
    <row r="23" spans="1:3">
      <c r="A23" s="35"/>
      <c r="B23" t="s">
        <v>112</v>
      </c>
      <c r="C23" t="s">
        <v>129</v>
      </c>
    </row>
    <row r="24" spans="1:3">
      <c r="A24" t="s">
        <v>210</v>
      </c>
      <c r="B24" t="s">
        <v>211</v>
      </c>
      <c r="C24" t="s">
        <v>212</v>
      </c>
    </row>
    <row r="25" spans="1:3">
      <c r="A25" s="42" t="s">
        <v>194</v>
      </c>
      <c r="B25" t="s">
        <v>211</v>
      </c>
      <c r="C25" s="69" t="s">
        <v>213</v>
      </c>
    </row>
    <row r="31" spans="1:3" ht="15" customHeight="1"/>
    <row r="32" spans="1:3">
      <c r="A32" s="32" t="s">
        <v>132</v>
      </c>
    </row>
    <row r="33" spans="1:1">
      <c r="A33" s="49" t="s">
        <v>145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BJ95"/>
  <sheetViews>
    <sheetView tabSelected="1" zoomScale="90" zoomScaleNormal="90" workbookViewId="0">
      <selection activeCell="P13" sqref="P13"/>
    </sheetView>
  </sheetViews>
  <sheetFormatPr defaultRowHeight="17.399999999999999"/>
  <cols>
    <col min="1" max="1" width="16.69921875" customWidth="1"/>
    <col min="2" max="2" width="17.3984375" customWidth="1"/>
    <col min="3" max="3" width="15.19921875" bestFit="1" customWidth="1"/>
    <col min="5" max="5" width="35.69921875" customWidth="1"/>
    <col min="6" max="6" width="10.69921875" customWidth="1"/>
    <col min="7" max="8" width="9" hidden="1" customWidth="1"/>
    <col min="9" max="9" width="9" style="74" customWidth="1"/>
    <col min="11" max="11" width="12" customWidth="1"/>
    <col min="12" max="12" width="15.19921875" customWidth="1"/>
    <col min="15" max="15" width="18.69921875" customWidth="1"/>
    <col min="17" max="17" width="13" bestFit="1" customWidth="1"/>
    <col min="20" max="20" width="12.5" customWidth="1"/>
    <col min="21" max="21" width="5.19921875" customWidth="1"/>
    <col min="23" max="23" width="4.09765625" customWidth="1"/>
    <col min="24" max="24" width="16.5" customWidth="1"/>
    <col min="26" max="26" width="5.19921875" customWidth="1"/>
    <col min="27" max="27" width="18" customWidth="1"/>
    <col min="28" max="28" width="8.69921875" customWidth="1"/>
    <col min="30" max="30" width="10.69921875" customWidth="1"/>
    <col min="31" max="31" width="11.5" customWidth="1"/>
    <col min="43" max="43" width="15" bestFit="1" customWidth="1"/>
    <col min="49" max="49" width="13.69921875" bestFit="1" customWidth="1"/>
    <col min="50" max="50" width="9.19921875" bestFit="1" customWidth="1"/>
    <col min="53" max="61" width="7.5" bestFit="1" customWidth="1"/>
  </cols>
  <sheetData>
    <row r="1" spans="1:62" ht="19.2">
      <c r="A1" s="31" t="s">
        <v>91</v>
      </c>
      <c r="E1" s="49" t="s">
        <v>144</v>
      </c>
      <c r="J1" s="30" t="s">
        <v>98</v>
      </c>
    </row>
    <row r="2" spans="1:62">
      <c r="A2" s="32" t="s">
        <v>97</v>
      </c>
      <c r="J2" t="s">
        <v>99</v>
      </c>
      <c r="O2" s="30" t="s">
        <v>102</v>
      </c>
      <c r="S2" s="30" t="s">
        <v>92</v>
      </c>
    </row>
    <row r="3" spans="1:62">
      <c r="A3" s="135" t="s">
        <v>80</v>
      </c>
      <c r="B3" s="2"/>
      <c r="C3" s="136" t="s">
        <v>74</v>
      </c>
      <c r="D3" s="136"/>
      <c r="E3" s="136" t="s">
        <v>73</v>
      </c>
      <c r="F3" s="136"/>
      <c r="J3" t="s">
        <v>100</v>
      </c>
      <c r="O3" t="s">
        <v>101</v>
      </c>
      <c r="S3" t="s">
        <v>103</v>
      </c>
    </row>
    <row r="4" spans="1:62">
      <c r="A4" s="135"/>
      <c r="B4" s="2" t="s">
        <v>77</v>
      </c>
      <c r="C4" s="26" t="s">
        <v>56</v>
      </c>
      <c r="D4" s="26" t="s">
        <v>57</v>
      </c>
      <c r="E4" s="26" t="s">
        <v>55</v>
      </c>
      <c r="F4" s="26" t="s">
        <v>2</v>
      </c>
      <c r="O4" s="29" t="s">
        <v>72</v>
      </c>
      <c r="P4" s="28" t="s">
        <v>93</v>
      </c>
      <c r="Q4" s="28" t="s">
        <v>393</v>
      </c>
      <c r="S4" s="30" t="s">
        <v>90</v>
      </c>
      <c r="V4" s="30" t="s">
        <v>87</v>
      </c>
      <c r="X4" s="30" t="s">
        <v>89</v>
      </c>
      <c r="AA4" s="30" t="s">
        <v>130</v>
      </c>
      <c r="AE4" s="30" t="s">
        <v>131</v>
      </c>
      <c r="AG4" s="32" t="s">
        <v>324</v>
      </c>
      <c r="AP4" s="30" t="s">
        <v>184</v>
      </c>
      <c r="AU4" t="s">
        <v>195</v>
      </c>
      <c r="BA4" t="s">
        <v>199</v>
      </c>
    </row>
    <row r="5" spans="1:62">
      <c r="A5" s="85" t="s">
        <v>173</v>
      </c>
      <c r="B5" s="37" t="str">
        <f>A5</f>
        <v>강동지점OR수수료</v>
      </c>
      <c r="C5" s="51">
        <f>$K$5</f>
        <v>202108</v>
      </c>
      <c r="D5" s="25" t="s">
        <v>54</v>
      </c>
      <c r="E5" s="53" t="str">
        <f>C5&amp;"_"&amp;A5</f>
        <v>202108_강동지점OR수수료</v>
      </c>
      <c r="F5" s="25" t="s">
        <v>54</v>
      </c>
      <c r="G5" s="2" t="s">
        <v>352</v>
      </c>
      <c r="H5" s="2" t="s">
        <v>358</v>
      </c>
      <c r="I5" s="75" t="s">
        <v>510</v>
      </c>
      <c r="J5" s="29" t="s">
        <v>94</v>
      </c>
      <c r="K5" s="137">
        <v>202108</v>
      </c>
      <c r="L5" s="137"/>
      <c r="M5" t="s">
        <v>161</v>
      </c>
      <c r="O5" s="87" t="s">
        <v>405</v>
      </c>
      <c r="P5" s="108" t="s">
        <v>58</v>
      </c>
      <c r="Q5" s="87" t="s">
        <v>89</v>
      </c>
      <c r="S5" s="29" t="s">
        <v>28</v>
      </c>
      <c r="T5" s="29" t="s">
        <v>45</v>
      </c>
      <c r="U5" s="24"/>
      <c r="V5" s="29" t="str">
        <f>IF(RIGHT(V6,1)="팀","팀","지점")</f>
        <v>지점</v>
      </c>
      <c r="W5" s="24"/>
      <c r="X5" s="29" t="s">
        <v>28</v>
      </c>
      <c r="Y5" s="29" t="s">
        <v>45</v>
      </c>
      <c r="AA5" s="1" t="s">
        <v>0</v>
      </c>
      <c r="AB5" s="29" t="s">
        <v>28</v>
      </c>
      <c r="AC5" s="29" t="s">
        <v>48</v>
      </c>
      <c r="AE5" s="34" t="s">
        <v>104</v>
      </c>
      <c r="AP5" s="29" t="s">
        <v>28</v>
      </c>
      <c r="AQ5" s="29" t="s">
        <v>182</v>
      </c>
      <c r="AR5" s="29" t="s">
        <v>159</v>
      </c>
      <c r="AU5" s="29" t="s">
        <v>202</v>
      </c>
      <c r="AV5" s="29" t="s">
        <v>191</v>
      </c>
      <c r="AW5" s="29" t="s">
        <v>192</v>
      </c>
      <c r="AX5" s="29" t="s">
        <v>203</v>
      </c>
      <c r="AY5" s="29" t="s">
        <v>193</v>
      </c>
      <c r="BA5" s="62" t="s">
        <v>206</v>
      </c>
      <c r="BB5" s="63">
        <v>7</v>
      </c>
      <c r="BC5" s="63">
        <v>8</v>
      </c>
      <c r="BD5" s="63">
        <v>9</v>
      </c>
      <c r="BE5" s="63">
        <v>10</v>
      </c>
      <c r="BF5" s="63">
        <v>11</v>
      </c>
      <c r="BG5" s="63">
        <v>12</v>
      </c>
      <c r="BH5" s="63">
        <v>13</v>
      </c>
      <c r="BI5" s="63">
        <v>14</v>
      </c>
      <c r="BJ5" s="63">
        <v>18</v>
      </c>
    </row>
    <row r="6" spans="1:62">
      <c r="A6" s="40"/>
      <c r="B6" s="38" t="str">
        <f t="shared" ref="B6:B34" si="0">IF(A6="",B5,A6)</f>
        <v>강동지점OR수수료</v>
      </c>
      <c r="C6" s="52">
        <f t="shared" ref="C6:C40" si="1">IF(B6&lt;&gt;"",$K$5,"")</f>
        <v>202108</v>
      </c>
      <c r="D6" s="2" t="s">
        <v>30</v>
      </c>
      <c r="E6" s="53"/>
      <c r="F6" s="2" t="s">
        <v>30</v>
      </c>
      <c r="G6" s="2" t="s">
        <v>359</v>
      </c>
      <c r="H6" s="2" t="s">
        <v>358</v>
      </c>
      <c r="I6" s="76"/>
      <c r="J6" s="29" t="s">
        <v>95</v>
      </c>
      <c r="K6" s="137" t="s">
        <v>1524</v>
      </c>
      <c r="L6" s="137"/>
      <c r="M6" t="s">
        <v>162</v>
      </c>
      <c r="O6" s="87" t="s">
        <v>406</v>
      </c>
      <c r="P6" s="87" t="s">
        <v>407</v>
      </c>
      <c r="Q6" s="87" t="s">
        <v>317</v>
      </c>
      <c r="S6" s="50" t="str">
        <f>VLOOKUP(대상작업,작업정보,2,0)</f>
        <v>글래드프라임</v>
      </c>
      <c r="T6" s="27" t="s">
        <v>69</v>
      </c>
      <c r="U6" s="24"/>
      <c r="V6" s="50" t="str">
        <f>IF(V8="글래드","=글래드",V8)</f>
        <v>글래드프라임</v>
      </c>
      <c r="W6" s="24"/>
      <c r="X6" s="27" t="s">
        <v>1309</v>
      </c>
      <c r="Y6" s="27" t="s">
        <v>69</v>
      </c>
      <c r="AA6" s="1" t="s">
        <v>378</v>
      </c>
      <c r="AB6" s="27"/>
      <c r="AC6" s="50" t="str">
        <f>IF(AA6&lt;&gt;"","&lt;&gt;0","")</f>
        <v>&lt;&gt;0</v>
      </c>
      <c r="AE6" s="44">
        <v>201801</v>
      </c>
      <c r="AF6" s="44"/>
      <c r="AG6" t="s">
        <v>78</v>
      </c>
      <c r="AH6">
        <v>201801</v>
      </c>
      <c r="AI6" t="s">
        <v>53</v>
      </c>
      <c r="AJ6" t="s">
        <v>398</v>
      </c>
      <c r="AK6" t="s">
        <v>67</v>
      </c>
      <c r="AL6" t="s">
        <v>281</v>
      </c>
      <c r="AM6" t="s">
        <v>275</v>
      </c>
      <c r="AP6" s="60" t="s">
        <v>1309</v>
      </c>
      <c r="AQ6" s="60" t="s">
        <v>177</v>
      </c>
      <c r="AR6" s="2" t="s">
        <v>183</v>
      </c>
      <c r="AU6" s="60" t="s">
        <v>200</v>
      </c>
      <c r="AV6" s="60" t="s">
        <v>190</v>
      </c>
      <c r="AW6" s="60">
        <v>320171141605</v>
      </c>
      <c r="AX6" s="61" t="s">
        <v>204</v>
      </c>
      <c r="AY6" s="59" t="s">
        <v>189</v>
      </c>
      <c r="BA6" s="64" t="s">
        <v>196</v>
      </c>
      <c r="BB6" s="68">
        <v>0.2898</v>
      </c>
      <c r="BC6" s="68">
        <v>0.2898</v>
      </c>
      <c r="BD6" s="68">
        <v>0.2898</v>
      </c>
      <c r="BE6" s="68">
        <v>0.2898</v>
      </c>
      <c r="BF6" s="68">
        <v>0.2898</v>
      </c>
      <c r="BG6" s="68">
        <v>0.2898</v>
      </c>
      <c r="BH6" s="65">
        <v>0.1188</v>
      </c>
      <c r="BI6" s="65">
        <v>0.1188</v>
      </c>
      <c r="BJ6" s="66">
        <v>0</v>
      </c>
    </row>
    <row r="7" spans="1:62">
      <c r="A7" s="40"/>
      <c r="B7" s="38" t="str">
        <f t="shared" si="0"/>
        <v>강동지점OR수수료</v>
      </c>
      <c r="C7" s="52">
        <f t="shared" si="1"/>
        <v>202108</v>
      </c>
      <c r="D7" s="2" t="s">
        <v>59</v>
      </c>
      <c r="E7" s="53"/>
      <c r="F7" s="2" t="s">
        <v>59</v>
      </c>
      <c r="G7" s="2" t="s">
        <v>360</v>
      </c>
      <c r="H7" s="2" t="s">
        <v>358</v>
      </c>
      <c r="I7" s="76"/>
      <c r="J7" s="29" t="s">
        <v>96</v>
      </c>
      <c r="K7" s="134" t="str">
        <f>VLOOKUP(대상작업,작업정보,3,0)</f>
        <v>지점필터</v>
      </c>
      <c r="L7" s="134"/>
      <c r="O7" s="87" t="s">
        <v>390</v>
      </c>
      <c r="P7" s="87" t="s">
        <v>395</v>
      </c>
      <c r="Q7" s="87" t="s">
        <v>392</v>
      </c>
      <c r="S7" s="50" t="str">
        <f>VLOOKUP(대상작업,작업정보,2,0)</f>
        <v>글래드프라임</v>
      </c>
      <c r="T7" s="27" t="s">
        <v>70</v>
      </c>
      <c r="U7" s="24"/>
      <c r="W7" s="24"/>
      <c r="X7" s="27" t="s">
        <v>1309</v>
      </c>
      <c r="Y7" s="27" t="s">
        <v>70</v>
      </c>
      <c r="AA7" s="1" t="s">
        <v>379</v>
      </c>
      <c r="AB7" s="27"/>
      <c r="AC7" s="50" t="str">
        <f t="shared" ref="AC7:AC38" si="2">IF(AA7&lt;&gt;"","&lt;&gt;0","")</f>
        <v>&lt;&gt;0</v>
      </c>
      <c r="AE7" s="44">
        <v>201712</v>
      </c>
      <c r="AF7" s="44"/>
      <c r="AG7" t="s">
        <v>78</v>
      </c>
      <c r="AH7">
        <v>201712</v>
      </c>
      <c r="AI7" t="s">
        <v>53</v>
      </c>
      <c r="AK7" t="s">
        <v>67</v>
      </c>
      <c r="AL7" t="s">
        <v>282</v>
      </c>
      <c r="AM7" t="s">
        <v>275</v>
      </c>
      <c r="AP7" s="60" t="s">
        <v>1309</v>
      </c>
      <c r="AQ7" s="60" t="s">
        <v>178</v>
      </c>
      <c r="AR7" s="2" t="s">
        <v>183</v>
      </c>
      <c r="AU7" s="60" t="s">
        <v>200</v>
      </c>
      <c r="AV7" s="60" t="s">
        <v>190</v>
      </c>
      <c r="AW7" s="60">
        <v>320171137492</v>
      </c>
      <c r="AX7" s="61" t="s">
        <v>204</v>
      </c>
      <c r="AY7" s="59" t="s">
        <v>189</v>
      </c>
      <c r="BA7" s="67" t="s">
        <v>200</v>
      </c>
      <c r="BB7" s="65">
        <v>0.23749999999999999</v>
      </c>
      <c r="BC7" s="65">
        <v>0.23749999999999999</v>
      </c>
      <c r="BD7" s="65">
        <v>0.23749999999999999</v>
      </c>
      <c r="BE7" s="65">
        <v>0.23749999999999999</v>
      </c>
      <c r="BF7" s="65">
        <v>0.23749999999999999</v>
      </c>
      <c r="BG7" s="65">
        <v>0.23749999999999999</v>
      </c>
      <c r="BH7" s="65">
        <v>0.35149999999999998</v>
      </c>
      <c r="BI7" s="66">
        <v>0</v>
      </c>
      <c r="BJ7" s="66">
        <v>0</v>
      </c>
    </row>
    <row r="8" spans="1:62">
      <c r="A8" s="40"/>
      <c r="B8" s="38" t="str">
        <f t="shared" si="0"/>
        <v>강동지점OR수수료</v>
      </c>
      <c r="C8" s="52">
        <f t="shared" si="1"/>
        <v>202108</v>
      </c>
      <c r="D8" s="2" t="s">
        <v>60</v>
      </c>
      <c r="E8" s="53"/>
      <c r="F8" s="2" t="s">
        <v>60</v>
      </c>
      <c r="G8" s="2" t="s">
        <v>361</v>
      </c>
      <c r="H8" s="2" t="s">
        <v>358</v>
      </c>
      <c r="I8" s="76"/>
      <c r="J8" t="s">
        <v>142</v>
      </c>
      <c r="O8" s="87" t="s">
        <v>1306</v>
      </c>
      <c r="P8" s="87" t="s">
        <v>1326</v>
      </c>
      <c r="Q8" s="87" t="s">
        <v>87</v>
      </c>
      <c r="S8" s="50" t="str">
        <f>VLOOKUP(대상작업,작업정보,2,0)</f>
        <v>글래드프라임</v>
      </c>
      <c r="T8" s="27" t="s">
        <v>71</v>
      </c>
      <c r="U8" s="24"/>
      <c r="V8" t="str">
        <f>VLOOKUP(대상작업,작업정보,2,0)</f>
        <v>글래드프라임</v>
      </c>
      <c r="W8" s="24"/>
      <c r="X8" s="27" t="s">
        <v>1309</v>
      </c>
      <c r="Y8" s="27" t="s">
        <v>71</v>
      </c>
      <c r="AA8" s="1" t="s">
        <v>364</v>
      </c>
      <c r="AB8" s="27"/>
      <c r="AC8" s="50" t="str">
        <f t="shared" si="2"/>
        <v>&lt;&gt;0</v>
      </c>
      <c r="AE8" s="44">
        <v>201711</v>
      </c>
      <c r="AF8" s="44"/>
      <c r="AG8" t="s">
        <v>78</v>
      </c>
      <c r="AH8">
        <v>201711</v>
      </c>
      <c r="AI8" t="s">
        <v>53</v>
      </c>
      <c r="AK8" t="s">
        <v>67</v>
      </c>
      <c r="AL8" t="s">
        <v>283</v>
      </c>
      <c r="AM8" t="s">
        <v>275</v>
      </c>
      <c r="AP8" s="60" t="s">
        <v>1309</v>
      </c>
      <c r="AQ8" s="60" t="s">
        <v>179</v>
      </c>
      <c r="AR8" s="2" t="s">
        <v>183</v>
      </c>
      <c r="AU8" s="60" t="s">
        <v>200</v>
      </c>
      <c r="AV8" s="60" t="s">
        <v>190</v>
      </c>
      <c r="AW8" s="60">
        <v>320171096564</v>
      </c>
      <c r="AX8" s="61" t="s">
        <v>204</v>
      </c>
      <c r="AY8" s="59" t="s">
        <v>189</v>
      </c>
      <c r="BA8" s="64" t="s">
        <v>197</v>
      </c>
      <c r="BB8" s="65">
        <v>0.27310000000000001</v>
      </c>
      <c r="BC8" s="65">
        <v>0.27310000000000001</v>
      </c>
      <c r="BD8" s="65">
        <v>0.27310000000000001</v>
      </c>
      <c r="BE8" s="65">
        <v>0.27310000000000001</v>
      </c>
      <c r="BF8" s="65">
        <v>0.27310000000000001</v>
      </c>
      <c r="BG8" s="65">
        <v>0.27310000000000001</v>
      </c>
      <c r="BH8" s="65">
        <v>0.26129999999999998</v>
      </c>
      <c r="BI8" s="66">
        <v>0</v>
      </c>
      <c r="BJ8" s="66">
        <v>0</v>
      </c>
    </row>
    <row r="9" spans="1:62">
      <c r="A9" s="39" t="s">
        <v>390</v>
      </c>
      <c r="B9" s="37" t="str">
        <f>A9</f>
        <v>여주레전드지점OR수수료</v>
      </c>
      <c r="C9" s="51">
        <f>$K$5</f>
        <v>202108</v>
      </c>
      <c r="D9" s="25" t="s">
        <v>54</v>
      </c>
      <c r="E9" s="53" t="str">
        <f>C9&amp;"_"&amp;A9</f>
        <v>202108_여주레전드지점OR수수료</v>
      </c>
      <c r="F9" s="25" t="s">
        <v>54</v>
      </c>
      <c r="G9" s="2" t="s">
        <v>1457</v>
      </c>
      <c r="H9" s="2" t="s">
        <v>1461</v>
      </c>
      <c r="I9" s="75" t="s">
        <v>250</v>
      </c>
      <c r="J9" t="s">
        <v>143</v>
      </c>
      <c r="O9" s="87" t="s">
        <v>1307</v>
      </c>
      <c r="P9" s="87" t="s">
        <v>1327</v>
      </c>
      <c r="Q9" s="87" t="s">
        <v>87</v>
      </c>
      <c r="X9" s="27" t="s">
        <v>1310</v>
      </c>
      <c r="Y9" s="27" t="s">
        <v>69</v>
      </c>
      <c r="AA9" s="1" t="s">
        <v>365</v>
      </c>
      <c r="AB9" s="27"/>
      <c r="AC9" s="50" t="str">
        <f t="shared" si="2"/>
        <v>&lt;&gt;0</v>
      </c>
      <c r="AE9" s="44">
        <v>201710</v>
      </c>
      <c r="AF9" s="44"/>
      <c r="AG9" t="s">
        <v>78</v>
      </c>
      <c r="AH9">
        <v>201710</v>
      </c>
      <c r="AI9" t="s">
        <v>53</v>
      </c>
      <c r="AK9" t="s">
        <v>67</v>
      </c>
      <c r="AL9" t="s">
        <v>284</v>
      </c>
      <c r="AM9" t="s">
        <v>275</v>
      </c>
      <c r="AP9" s="60" t="s">
        <v>1309</v>
      </c>
      <c r="AQ9" s="60" t="s">
        <v>180</v>
      </c>
      <c r="AR9" s="2" t="s">
        <v>183</v>
      </c>
      <c r="AU9" s="60" t="s">
        <v>200</v>
      </c>
      <c r="AV9" s="60" t="s">
        <v>190</v>
      </c>
      <c r="AW9" s="60">
        <v>320171060870</v>
      </c>
      <c r="AX9" s="61" t="s">
        <v>204</v>
      </c>
      <c r="AY9" s="59" t="s">
        <v>189</v>
      </c>
      <c r="BA9" s="64" t="s">
        <v>198</v>
      </c>
      <c r="BB9" s="65">
        <v>0.28499999999999998</v>
      </c>
      <c r="BC9" s="65">
        <v>0.28499999999999998</v>
      </c>
      <c r="BD9" s="65">
        <v>0.28499999999999998</v>
      </c>
      <c r="BE9" s="65">
        <v>0.28499999999999998</v>
      </c>
      <c r="BF9" s="65">
        <v>0.28499999999999998</v>
      </c>
      <c r="BG9" s="65">
        <v>0.28499999999999998</v>
      </c>
      <c r="BH9" s="65">
        <v>0.20899999999999999</v>
      </c>
      <c r="BI9" s="66">
        <v>0</v>
      </c>
      <c r="BJ9" s="65">
        <v>0.17100000000000001</v>
      </c>
    </row>
    <row r="10" spans="1:62">
      <c r="A10" s="40"/>
      <c r="B10" s="38" t="str">
        <f>IF(A10="",B9,A10)</f>
        <v>여주레전드지점OR수수료</v>
      </c>
      <c r="C10" s="52">
        <f>IF(B10&lt;&gt;"",$K$5,"")</f>
        <v>202108</v>
      </c>
      <c r="D10" s="2" t="s">
        <v>30</v>
      </c>
      <c r="E10" s="53"/>
      <c r="F10" s="2" t="s">
        <v>30</v>
      </c>
      <c r="G10" s="2" t="s">
        <v>1462</v>
      </c>
      <c r="H10" s="2" t="s">
        <v>1463</v>
      </c>
      <c r="I10" s="76"/>
      <c r="O10" s="87" t="s">
        <v>1308</v>
      </c>
      <c r="P10" s="87" t="s">
        <v>1310</v>
      </c>
      <c r="Q10" s="87" t="s">
        <v>87</v>
      </c>
      <c r="X10" s="27" t="s">
        <v>1310</v>
      </c>
      <c r="Y10" s="27" t="s">
        <v>70</v>
      </c>
      <c r="AA10" s="1" t="s">
        <v>366</v>
      </c>
      <c r="AB10" s="27"/>
      <c r="AC10" s="50" t="str">
        <f t="shared" si="2"/>
        <v>&lt;&gt;0</v>
      </c>
      <c r="AE10" s="44">
        <v>201709</v>
      </c>
      <c r="AF10" s="44"/>
      <c r="AG10" t="s">
        <v>78</v>
      </c>
      <c r="AH10">
        <v>201709</v>
      </c>
      <c r="AI10" t="s">
        <v>53</v>
      </c>
      <c r="AK10" t="s">
        <v>67</v>
      </c>
      <c r="AL10" t="s">
        <v>285</v>
      </c>
      <c r="AM10" t="s">
        <v>275</v>
      </c>
      <c r="AP10" s="60" t="s">
        <v>1309</v>
      </c>
      <c r="AQ10" s="60" t="s">
        <v>181</v>
      </c>
      <c r="AR10" s="2" t="s">
        <v>183</v>
      </c>
      <c r="AU10" s="60" t="s">
        <v>200</v>
      </c>
      <c r="AV10" s="60" t="s">
        <v>190</v>
      </c>
      <c r="AW10" s="60">
        <v>320171055564</v>
      </c>
      <c r="AX10" s="61" t="s">
        <v>204</v>
      </c>
      <c r="AY10" s="59" t="s">
        <v>189</v>
      </c>
    </row>
    <row r="11" spans="1:62">
      <c r="A11" s="40"/>
      <c r="B11" s="38" t="str">
        <f>IF(A11="",B10,A11)</f>
        <v>여주레전드지점OR수수료</v>
      </c>
      <c r="C11" s="52">
        <f>IF(B11&lt;&gt;"",$K$5,"")</f>
        <v>202108</v>
      </c>
      <c r="D11" s="2" t="s">
        <v>59</v>
      </c>
      <c r="E11" s="53"/>
      <c r="F11" s="2" t="s">
        <v>59</v>
      </c>
      <c r="G11" s="2" t="s">
        <v>1464</v>
      </c>
      <c r="H11" s="2" t="s">
        <v>1461</v>
      </c>
      <c r="I11" s="76"/>
      <c r="M11" t="s">
        <v>449</v>
      </c>
      <c r="O11" s="87" t="s">
        <v>1440</v>
      </c>
      <c r="P11" s="87" t="s">
        <v>1311</v>
      </c>
      <c r="Q11" s="87" t="s">
        <v>516</v>
      </c>
      <c r="V11" s="30" t="s">
        <v>113</v>
      </c>
      <c r="X11" s="27" t="s">
        <v>1310</v>
      </c>
      <c r="Y11" s="27" t="s">
        <v>71</v>
      </c>
      <c r="AA11" s="1" t="s">
        <v>367</v>
      </c>
      <c r="AB11" s="27"/>
      <c r="AC11" s="50" t="str">
        <f t="shared" si="2"/>
        <v>&lt;&gt;0</v>
      </c>
      <c r="AE11" s="44">
        <v>201708</v>
      </c>
      <c r="AF11" s="44"/>
      <c r="AG11" t="s">
        <v>78</v>
      </c>
      <c r="AH11">
        <v>201708</v>
      </c>
      <c r="AI11" t="s">
        <v>53</v>
      </c>
      <c r="AK11" t="s">
        <v>67</v>
      </c>
      <c r="AL11" t="s">
        <v>286</v>
      </c>
      <c r="AM11" t="s">
        <v>275</v>
      </c>
      <c r="AU11" s="60" t="s">
        <v>200</v>
      </c>
      <c r="AV11" s="60" t="s">
        <v>190</v>
      </c>
      <c r="AW11" s="60">
        <v>320171054095</v>
      </c>
      <c r="AX11" s="61" t="s">
        <v>204</v>
      </c>
      <c r="AY11" s="59" t="s">
        <v>189</v>
      </c>
    </row>
    <row r="12" spans="1:62">
      <c r="A12" s="40"/>
      <c r="B12" s="38" t="str">
        <f>IF(A12="",B11,A12)</f>
        <v>여주레전드지점OR수수료</v>
      </c>
      <c r="C12" s="52">
        <f>IF(B12&lt;&gt;"",$K$5,"")</f>
        <v>202108</v>
      </c>
      <c r="D12" s="2" t="s">
        <v>60</v>
      </c>
      <c r="E12" s="53"/>
      <c r="F12" s="2" t="s">
        <v>60</v>
      </c>
      <c r="G12" s="2" t="s">
        <v>1465</v>
      </c>
      <c r="H12" s="2" t="s">
        <v>1461</v>
      </c>
      <c r="I12" s="76"/>
      <c r="O12" s="87" t="s">
        <v>1333</v>
      </c>
      <c r="P12" s="87" t="s">
        <v>1356</v>
      </c>
      <c r="Q12" s="87" t="s">
        <v>1358</v>
      </c>
      <c r="S12" t="s">
        <v>318</v>
      </c>
      <c r="V12" s="29" t="s">
        <v>114</v>
      </c>
      <c r="X12" s="27" t="s">
        <v>1311</v>
      </c>
      <c r="Y12" s="27" t="s">
        <v>69</v>
      </c>
      <c r="AA12" s="1" t="s">
        <v>353</v>
      </c>
      <c r="AB12" s="27"/>
      <c r="AC12" s="50" t="str">
        <f t="shared" si="2"/>
        <v>&lt;&gt;0</v>
      </c>
      <c r="AE12" s="44">
        <v>201707</v>
      </c>
      <c r="AF12" s="44"/>
      <c r="AG12" t="s">
        <v>78</v>
      </c>
      <c r="AH12">
        <v>201707</v>
      </c>
      <c r="AI12" t="s">
        <v>53</v>
      </c>
      <c r="AK12" t="s">
        <v>67</v>
      </c>
      <c r="AL12" t="s">
        <v>287</v>
      </c>
      <c r="AM12" t="s">
        <v>275</v>
      </c>
      <c r="AU12" s="60" t="s">
        <v>196</v>
      </c>
      <c r="AV12" s="60" t="s">
        <v>190</v>
      </c>
      <c r="AW12" s="60">
        <v>20173991129</v>
      </c>
      <c r="AX12" s="61" t="s">
        <v>204</v>
      </c>
      <c r="AY12" s="59" t="s">
        <v>201</v>
      </c>
    </row>
    <row r="13" spans="1:62">
      <c r="A13" s="40" t="s">
        <v>1306</v>
      </c>
      <c r="B13" s="38" t="str">
        <f>IF(A13="",B8,A13)</f>
        <v>글래드상동_수입원장정산</v>
      </c>
      <c r="C13" s="52">
        <f t="shared" si="1"/>
        <v>202108</v>
      </c>
      <c r="D13" s="2" t="s">
        <v>54</v>
      </c>
      <c r="E13" s="53" t="str">
        <f>C13&amp;"_"&amp;A13</f>
        <v>202108_글래드상동_수입원장정산</v>
      </c>
      <c r="F13" s="2" t="s">
        <v>61</v>
      </c>
      <c r="G13" s="2" t="s">
        <v>1466</v>
      </c>
      <c r="H13" s="2" t="s">
        <v>1467</v>
      </c>
      <c r="I13" s="76"/>
      <c r="O13" s="87" t="s">
        <v>167</v>
      </c>
      <c r="P13" t="s">
        <v>1312</v>
      </c>
      <c r="Q13" s="87" t="s">
        <v>388</v>
      </c>
      <c r="S13" s="29" t="s">
        <v>28</v>
      </c>
      <c r="T13" s="29" t="s">
        <v>45</v>
      </c>
      <c r="V13" s="27" t="s">
        <v>115</v>
      </c>
      <c r="X13" s="27" t="s">
        <v>1311</v>
      </c>
      <c r="Y13" s="27" t="s">
        <v>70</v>
      </c>
      <c r="AA13" s="1" t="s">
        <v>354</v>
      </c>
      <c r="AB13" s="27"/>
      <c r="AC13" s="50" t="str">
        <f t="shared" si="2"/>
        <v>&lt;&gt;0</v>
      </c>
      <c r="AE13" s="44">
        <v>201706</v>
      </c>
      <c r="AF13" s="44"/>
      <c r="AG13" t="s">
        <v>78</v>
      </c>
      <c r="AH13">
        <v>201706</v>
      </c>
      <c r="AI13" t="s">
        <v>53</v>
      </c>
      <c r="AK13" t="s">
        <v>67</v>
      </c>
      <c r="AL13" t="s">
        <v>288</v>
      </c>
      <c r="AM13" t="s">
        <v>275</v>
      </c>
      <c r="AU13" s="60" t="s">
        <v>198</v>
      </c>
      <c r="AV13" s="60" t="s">
        <v>190</v>
      </c>
      <c r="AW13" s="60">
        <v>6095033199</v>
      </c>
      <c r="AX13" s="61" t="s">
        <v>204</v>
      </c>
      <c r="AY13" s="70" t="s">
        <v>227</v>
      </c>
    </row>
    <row r="14" spans="1:62">
      <c r="A14" s="40"/>
      <c r="B14" s="38" t="str">
        <f t="shared" si="0"/>
        <v>글래드상동_수입원장정산</v>
      </c>
      <c r="C14" s="52">
        <f t="shared" si="1"/>
        <v>202108</v>
      </c>
      <c r="D14" s="2" t="s">
        <v>30</v>
      </c>
      <c r="E14" s="53"/>
      <c r="F14" s="2" t="s">
        <v>62</v>
      </c>
      <c r="G14" s="2" t="s">
        <v>1468</v>
      </c>
      <c r="H14" s="2" t="s">
        <v>358</v>
      </c>
      <c r="I14" s="76"/>
      <c r="O14" s="87" t="s">
        <v>466</v>
      </c>
      <c r="P14" s="108"/>
      <c r="Q14" s="87" t="s">
        <v>467</v>
      </c>
      <c r="S14" s="50" t="s">
        <v>1313</v>
      </c>
      <c r="T14" s="27" t="s">
        <v>69</v>
      </c>
      <c r="X14" s="27" t="s">
        <v>1311</v>
      </c>
      <c r="Y14" s="27" t="s">
        <v>71</v>
      </c>
      <c r="AA14" s="1" t="s">
        <v>355</v>
      </c>
      <c r="AB14" s="27"/>
      <c r="AC14" s="50" t="str">
        <f t="shared" si="2"/>
        <v>&lt;&gt;0</v>
      </c>
      <c r="AE14" s="44">
        <v>201705</v>
      </c>
      <c r="AF14" s="44"/>
      <c r="AG14" t="s">
        <v>78</v>
      </c>
      <c r="AH14">
        <v>201705</v>
      </c>
      <c r="AI14" t="s">
        <v>53</v>
      </c>
      <c r="AK14" t="s">
        <v>67</v>
      </c>
      <c r="AL14" t="s">
        <v>289</v>
      </c>
      <c r="AM14" t="s">
        <v>275</v>
      </c>
      <c r="AP14" t="s">
        <v>224</v>
      </c>
      <c r="AU14" s="60" t="s">
        <v>198</v>
      </c>
      <c r="AV14" s="60" t="s">
        <v>190</v>
      </c>
      <c r="AW14" s="60">
        <v>6095030033</v>
      </c>
      <c r="AX14" s="61" t="s">
        <v>204</v>
      </c>
      <c r="AY14" s="70" t="s">
        <v>227</v>
      </c>
    </row>
    <row r="15" spans="1:62">
      <c r="A15" s="40"/>
      <c r="B15" s="38" t="str">
        <f t="shared" si="0"/>
        <v>글래드상동_수입원장정산</v>
      </c>
      <c r="C15" s="52">
        <f t="shared" si="1"/>
        <v>202108</v>
      </c>
      <c r="D15" s="2" t="s">
        <v>59</v>
      </c>
      <c r="E15" s="53"/>
      <c r="F15" s="2" t="s">
        <v>63</v>
      </c>
      <c r="G15" s="2" t="s">
        <v>1469</v>
      </c>
      <c r="H15" s="2" t="s">
        <v>1470</v>
      </c>
      <c r="I15" s="76"/>
      <c r="O15" s="87" t="s">
        <v>1336</v>
      </c>
      <c r="P15" s="87" t="s">
        <v>1335</v>
      </c>
      <c r="Q15" s="87" t="s">
        <v>467</v>
      </c>
      <c r="S15" s="50" t="s">
        <v>1313</v>
      </c>
      <c r="T15" s="27" t="s">
        <v>70</v>
      </c>
      <c r="X15" s="27" t="s">
        <v>1312</v>
      </c>
      <c r="Y15" s="27" t="s">
        <v>120</v>
      </c>
      <c r="AA15" s="1" t="s">
        <v>341</v>
      </c>
      <c r="AB15" s="27"/>
      <c r="AC15" s="50" t="str">
        <f t="shared" si="2"/>
        <v>&lt;&gt;0</v>
      </c>
      <c r="AE15" s="44">
        <v>201704</v>
      </c>
      <c r="AF15" s="44"/>
      <c r="AG15" t="s">
        <v>78</v>
      </c>
      <c r="AH15">
        <v>201704</v>
      </c>
      <c r="AI15" t="s">
        <v>53</v>
      </c>
      <c r="AK15" t="s">
        <v>67</v>
      </c>
      <c r="AL15" t="s">
        <v>290</v>
      </c>
      <c r="AM15" t="s">
        <v>275</v>
      </c>
      <c r="AP15" s="71" t="s">
        <v>4</v>
      </c>
      <c r="AQ15" s="2" t="s">
        <v>220</v>
      </c>
      <c r="AU15" s="60" t="s">
        <v>198</v>
      </c>
      <c r="AV15" s="60" t="s">
        <v>190</v>
      </c>
      <c r="AW15" s="60">
        <v>6095028144</v>
      </c>
      <c r="AX15" s="61" t="s">
        <v>204</v>
      </c>
      <c r="AY15" s="70" t="s">
        <v>227</v>
      </c>
    </row>
    <row r="16" spans="1:62" ht="19.5" customHeight="1">
      <c r="A16" s="40"/>
      <c r="B16" s="38" t="str">
        <f t="shared" si="0"/>
        <v>글래드상동_수입원장정산</v>
      </c>
      <c r="C16" s="52">
        <f t="shared" si="1"/>
        <v>202108</v>
      </c>
      <c r="D16" s="2" t="s">
        <v>60</v>
      </c>
      <c r="E16" s="53"/>
      <c r="F16" s="2" t="s">
        <v>64</v>
      </c>
      <c r="G16" s="2" t="s">
        <v>1471</v>
      </c>
      <c r="H16" s="2" t="s">
        <v>358</v>
      </c>
      <c r="I16" s="76"/>
      <c r="O16" s="87" t="s">
        <v>1296</v>
      </c>
      <c r="P16" s="108" t="s">
        <v>1300</v>
      </c>
      <c r="Q16" s="109" t="s">
        <v>494</v>
      </c>
      <c r="S16" s="50" t="s">
        <v>1313</v>
      </c>
      <c r="T16" s="27" t="s">
        <v>71</v>
      </c>
      <c r="V16" s="30" t="s">
        <v>225</v>
      </c>
      <c r="X16" s="27" t="s">
        <v>1312</v>
      </c>
      <c r="Y16" s="27" t="s">
        <v>121</v>
      </c>
      <c r="AA16" s="1" t="s">
        <v>356</v>
      </c>
      <c r="AB16" s="27"/>
      <c r="AC16" s="50" t="str">
        <f t="shared" si="2"/>
        <v>&lt;&gt;0</v>
      </c>
      <c r="AE16" s="44">
        <v>201703</v>
      </c>
      <c r="AF16" s="44"/>
      <c r="AG16" t="s">
        <v>78</v>
      </c>
      <c r="AH16">
        <v>201703</v>
      </c>
      <c r="AI16" t="s">
        <v>53</v>
      </c>
      <c r="AK16" t="s">
        <v>67</v>
      </c>
      <c r="AL16" t="s">
        <v>291</v>
      </c>
      <c r="AM16" t="s">
        <v>275</v>
      </c>
      <c r="AP16" s="72" t="s">
        <v>1309</v>
      </c>
      <c r="AQ16" s="72" t="s">
        <v>1309</v>
      </c>
      <c r="AU16" s="60" t="s">
        <v>198</v>
      </c>
      <c r="AV16" s="60" t="s">
        <v>190</v>
      </c>
      <c r="AW16" s="60">
        <v>6095022844</v>
      </c>
      <c r="AX16" s="61" t="s">
        <v>204</v>
      </c>
      <c r="AY16" s="70" t="s">
        <v>227</v>
      </c>
    </row>
    <row r="17" spans="1:51" ht="19.5" customHeight="1">
      <c r="A17" s="40" t="s">
        <v>1307</v>
      </c>
      <c r="B17" s="38" t="str">
        <f t="shared" si="0"/>
        <v>글래드조은_수입원장정산</v>
      </c>
      <c r="C17" s="52">
        <f t="shared" si="1"/>
        <v>202108</v>
      </c>
      <c r="D17" s="2" t="s">
        <v>54</v>
      </c>
      <c r="E17" s="53" t="str">
        <f>C17&amp;"_"&amp;A17</f>
        <v>202108_글래드조은_수입원장정산</v>
      </c>
      <c r="F17" s="2" t="s">
        <v>61</v>
      </c>
      <c r="G17" s="2" t="s">
        <v>1457</v>
      </c>
      <c r="H17" s="2" t="s">
        <v>358</v>
      </c>
      <c r="I17" s="76"/>
      <c r="O17" s="87" t="s">
        <v>1297</v>
      </c>
      <c r="P17" s="108" t="s">
        <v>1300</v>
      </c>
      <c r="Q17" s="109" t="s">
        <v>494</v>
      </c>
      <c r="S17" s="50" t="s">
        <v>1314</v>
      </c>
      <c r="T17" s="27" t="s">
        <v>69</v>
      </c>
      <c r="V17" s="29" t="str">
        <f>IF(대상작업="글래드씨티엠_수입원장정산","직할지점","지점")</f>
        <v>지점</v>
      </c>
      <c r="X17" s="27" t="s">
        <v>1312</v>
      </c>
      <c r="Y17" s="27" t="s">
        <v>71</v>
      </c>
      <c r="AA17" s="1" t="s">
        <v>357</v>
      </c>
      <c r="AB17" s="27"/>
      <c r="AC17" s="50" t="str">
        <f t="shared" si="2"/>
        <v>&lt;&gt;0</v>
      </c>
      <c r="AE17" s="44">
        <v>201702</v>
      </c>
      <c r="AF17" s="44"/>
      <c r="AG17" t="s">
        <v>78</v>
      </c>
      <c r="AH17">
        <v>201702</v>
      </c>
      <c r="AI17" t="s">
        <v>53</v>
      </c>
      <c r="AK17" t="s">
        <v>67</v>
      </c>
      <c r="AL17" t="s">
        <v>292</v>
      </c>
      <c r="AM17" t="s">
        <v>275</v>
      </c>
      <c r="AP17" s="72" t="s">
        <v>221</v>
      </c>
      <c r="AQ17" s="72" t="s">
        <v>1328</v>
      </c>
      <c r="AU17" s="60" t="s">
        <v>198</v>
      </c>
      <c r="AV17" s="60" t="s">
        <v>190</v>
      </c>
      <c r="AW17" s="60">
        <v>6095215934</v>
      </c>
      <c r="AX17" s="61" t="s">
        <v>204</v>
      </c>
      <c r="AY17" s="70" t="s">
        <v>227</v>
      </c>
    </row>
    <row r="18" spans="1:51">
      <c r="A18" s="40"/>
      <c r="B18" s="38" t="str">
        <f t="shared" si="0"/>
        <v>글래드조은_수입원장정산</v>
      </c>
      <c r="C18" s="52">
        <f t="shared" si="1"/>
        <v>202108</v>
      </c>
      <c r="D18" s="2" t="s">
        <v>30</v>
      </c>
      <c r="E18" s="53"/>
      <c r="F18" s="2" t="s">
        <v>62</v>
      </c>
      <c r="G18" s="2" t="s">
        <v>1472</v>
      </c>
      <c r="H18" s="2" t="s">
        <v>358</v>
      </c>
      <c r="I18" s="76"/>
      <c r="J18" s="88" t="s">
        <v>509</v>
      </c>
      <c r="O18" s="87" t="s">
        <v>536</v>
      </c>
      <c r="P18" s="87" t="s">
        <v>1309</v>
      </c>
      <c r="Q18" s="87" t="s">
        <v>542</v>
      </c>
      <c r="S18" s="50" t="s">
        <v>1314</v>
      </c>
      <c r="T18" s="27" t="s">
        <v>70</v>
      </c>
      <c r="V18" s="50" t="e">
        <f>SUBSTITUTE(VLOOKUP(V6,$AP$16:$AQ$26,2,0),"글래드","글래드")</f>
        <v>#N/A</v>
      </c>
      <c r="X18" s="27" t="s">
        <v>1312</v>
      </c>
      <c r="Y18" s="27" t="s">
        <v>69</v>
      </c>
      <c r="AA18" s="1" t="s">
        <v>335</v>
      </c>
      <c r="AB18" s="27"/>
      <c r="AC18" s="50" t="str">
        <f t="shared" si="2"/>
        <v>&lt;&gt;0</v>
      </c>
      <c r="AE18" s="44">
        <v>201701</v>
      </c>
      <c r="AF18" s="44"/>
      <c r="AG18" t="s">
        <v>78</v>
      </c>
      <c r="AH18">
        <v>201701</v>
      </c>
      <c r="AI18" t="s">
        <v>53</v>
      </c>
      <c r="AK18" t="s">
        <v>67</v>
      </c>
      <c r="AL18" t="s">
        <v>293</v>
      </c>
      <c r="AM18" t="s">
        <v>275</v>
      </c>
      <c r="AP18" s="72" t="s">
        <v>1326</v>
      </c>
      <c r="AQ18" s="72" t="s">
        <v>1326</v>
      </c>
      <c r="AU18" s="60" t="s">
        <v>197</v>
      </c>
      <c r="AV18" s="60" t="s">
        <v>190</v>
      </c>
      <c r="AW18" s="60" t="s">
        <v>185</v>
      </c>
      <c r="AX18" s="61" t="s">
        <v>204</v>
      </c>
      <c r="AY18" s="59" t="s">
        <v>189</v>
      </c>
    </row>
    <row r="19" spans="1:51">
      <c r="A19" s="40"/>
      <c r="B19" s="38" t="str">
        <f t="shared" si="0"/>
        <v>글래드조은_수입원장정산</v>
      </c>
      <c r="C19" s="52">
        <f t="shared" si="1"/>
        <v>202108</v>
      </c>
      <c r="D19" s="2" t="s">
        <v>60</v>
      </c>
      <c r="E19" s="53"/>
      <c r="F19" s="2" t="s">
        <v>64</v>
      </c>
      <c r="G19" s="2" t="s">
        <v>1473</v>
      </c>
      <c r="H19" s="2" t="s">
        <v>1463</v>
      </c>
      <c r="I19" s="76"/>
      <c r="J19" s="14" t="str">
        <f ca="1">VLOOKUP(대상년월,파일1정보,3,0)</f>
        <v>d:\글로벌백업(180329)\04.수수료작업\202108수수료\</v>
      </c>
      <c r="K19" s="43"/>
      <c r="S19" s="50" t="s">
        <v>1314</v>
      </c>
      <c r="T19" s="27" t="s">
        <v>71</v>
      </c>
      <c r="X19" s="27" t="s">
        <v>1313</v>
      </c>
      <c r="Y19" s="27" t="s">
        <v>70</v>
      </c>
      <c r="AA19" s="1" t="s">
        <v>336</v>
      </c>
      <c r="AB19" s="27"/>
      <c r="AC19" s="50" t="str">
        <f t="shared" si="2"/>
        <v>&lt;&gt;0</v>
      </c>
      <c r="AP19" s="72" t="s">
        <v>1319</v>
      </c>
      <c r="AQ19" s="72" t="s">
        <v>1356</v>
      </c>
      <c r="AU19" s="60" t="s">
        <v>197</v>
      </c>
      <c r="AV19" s="60" t="s">
        <v>190</v>
      </c>
      <c r="AW19" s="60" t="s">
        <v>186</v>
      </c>
      <c r="AX19" s="61" t="s">
        <v>204</v>
      </c>
      <c r="AY19" s="59" t="s">
        <v>189</v>
      </c>
    </row>
    <row r="20" spans="1:51">
      <c r="A20" s="40" t="s">
        <v>1308</v>
      </c>
      <c r="B20" s="38" t="str">
        <f>IF(A20="",B11,A20)</f>
        <v>글래드경기_수입원장정산</v>
      </c>
      <c r="C20" s="52">
        <f t="shared" si="1"/>
        <v>202108</v>
      </c>
      <c r="D20" s="2" t="s">
        <v>54</v>
      </c>
      <c r="E20" s="53" t="str">
        <f>C20&amp;"_"&amp;A20</f>
        <v>202108_글래드경기_수입원장정산</v>
      </c>
      <c r="F20" s="2" t="s">
        <v>61</v>
      </c>
      <c r="G20" s="2" t="s">
        <v>1457</v>
      </c>
      <c r="H20" s="2" t="s">
        <v>358</v>
      </c>
      <c r="I20" s="76"/>
      <c r="J20" s="73"/>
      <c r="O20" s="56" t="s">
        <v>165</v>
      </c>
      <c r="S20" s="50" t="s">
        <v>1318</v>
      </c>
      <c r="T20" s="27" t="s">
        <v>69</v>
      </c>
      <c r="X20" s="27" t="s">
        <v>1313</v>
      </c>
      <c r="Y20" s="27" t="s">
        <v>71</v>
      </c>
      <c r="AA20" s="1" t="s">
        <v>337</v>
      </c>
      <c r="AB20" s="27"/>
      <c r="AC20" s="50" t="str">
        <f t="shared" si="2"/>
        <v>&lt;&gt;0</v>
      </c>
      <c r="AE20" t="s">
        <v>108</v>
      </c>
      <c r="AP20" s="72" t="s">
        <v>222</v>
      </c>
      <c r="AQ20" s="72" t="s">
        <v>1360</v>
      </c>
      <c r="AU20" s="60" t="s">
        <v>197</v>
      </c>
      <c r="AV20" s="60" t="s">
        <v>190</v>
      </c>
      <c r="AW20" s="60" t="s">
        <v>187</v>
      </c>
      <c r="AX20" s="61" t="s">
        <v>204</v>
      </c>
      <c r="AY20" s="59" t="s">
        <v>189</v>
      </c>
    </row>
    <row r="21" spans="1:51">
      <c r="A21" s="40"/>
      <c r="B21" s="38" t="str">
        <f t="shared" ref="B21:B23" si="3">IF(A21="",B20,A21)</f>
        <v>글래드경기_수입원장정산</v>
      </c>
      <c r="C21" s="52">
        <f t="shared" si="1"/>
        <v>202108</v>
      </c>
      <c r="D21" s="2" t="s">
        <v>30</v>
      </c>
      <c r="E21" s="53"/>
      <c r="F21" s="2" t="s">
        <v>62</v>
      </c>
      <c r="G21" s="2" t="s">
        <v>1474</v>
      </c>
      <c r="H21" s="2" t="s">
        <v>358</v>
      </c>
      <c r="I21" s="76"/>
      <c r="J21" s="111" t="s">
        <v>517</v>
      </c>
      <c r="L21" s="116">
        <f>IFERROR(VLOOKUP(대상작업,K22:L26,2,0),0)</f>
        <v>0</v>
      </c>
      <c r="O21" s="56" t="s">
        <v>320</v>
      </c>
      <c r="P21" t="s">
        <v>222</v>
      </c>
      <c r="S21" s="50" t="s">
        <v>1318</v>
      </c>
      <c r="T21" s="27" t="s">
        <v>70</v>
      </c>
      <c r="X21" s="27" t="s">
        <v>1314</v>
      </c>
      <c r="Y21" s="27" t="s">
        <v>69</v>
      </c>
      <c r="AA21" s="1" t="s">
        <v>338</v>
      </c>
      <c r="AB21" s="27"/>
      <c r="AC21" s="50" t="str">
        <f t="shared" si="2"/>
        <v>&lt;&gt;0</v>
      </c>
      <c r="AE21" t="s">
        <v>106</v>
      </c>
      <c r="AF21" s="15" t="s">
        <v>105</v>
      </c>
      <c r="AP21" s="72" t="s">
        <v>223</v>
      </c>
      <c r="AQ21" s="72" t="s">
        <v>1329</v>
      </c>
      <c r="AU21" s="60" t="s">
        <v>197</v>
      </c>
      <c r="AV21" s="60" t="s">
        <v>190</v>
      </c>
      <c r="AW21" s="60" t="s">
        <v>188</v>
      </c>
      <c r="AX21" s="61" t="s">
        <v>204</v>
      </c>
      <c r="AY21" s="59" t="s">
        <v>189</v>
      </c>
    </row>
    <row r="22" spans="1:51">
      <c r="A22" s="40"/>
      <c r="B22" s="38" t="str">
        <f t="shared" si="3"/>
        <v>글래드경기_수입원장정산</v>
      </c>
      <c r="C22" s="52">
        <f t="shared" si="1"/>
        <v>202108</v>
      </c>
      <c r="D22" s="2" t="s">
        <v>59</v>
      </c>
      <c r="E22" s="53"/>
      <c r="F22" s="2" t="s">
        <v>63</v>
      </c>
      <c r="G22" s="2" t="s">
        <v>1475</v>
      </c>
      <c r="H22" s="2" t="s">
        <v>1467</v>
      </c>
      <c r="I22" s="76"/>
      <c r="J22" s="112"/>
      <c r="K22" s="113" t="s">
        <v>1320</v>
      </c>
      <c r="L22" s="122">
        <v>0.96499999999999997</v>
      </c>
      <c r="M22" s="133" t="s">
        <v>518</v>
      </c>
      <c r="P22" t="s">
        <v>1319</v>
      </c>
      <c r="S22" s="50" t="s">
        <v>1318</v>
      </c>
      <c r="T22" s="27" t="s">
        <v>71</v>
      </c>
      <c r="V22" t="s">
        <v>380</v>
      </c>
      <c r="X22" s="27" t="s">
        <v>1314</v>
      </c>
      <c r="Y22" s="27" t="s">
        <v>70</v>
      </c>
      <c r="AA22" s="1" t="s">
        <v>339</v>
      </c>
      <c r="AB22" s="27"/>
      <c r="AC22" s="50" t="str">
        <f>IF(AA22&lt;&gt;"","&lt;&gt;0","")</f>
        <v>&lt;&gt;0</v>
      </c>
      <c r="AF22" s="15"/>
      <c r="AP22" s="72" t="s">
        <v>1327</v>
      </c>
      <c r="AQ22" s="72" t="s">
        <v>1327</v>
      </c>
    </row>
    <row r="23" spans="1:51">
      <c r="A23" s="40"/>
      <c r="B23" s="38" t="str">
        <f t="shared" si="3"/>
        <v>글래드경기_수입원장정산</v>
      </c>
      <c r="C23" s="52">
        <f t="shared" si="1"/>
        <v>202108</v>
      </c>
      <c r="D23" s="2" t="s">
        <v>60</v>
      </c>
      <c r="E23" s="53"/>
      <c r="F23" s="2" t="s">
        <v>64</v>
      </c>
      <c r="G23" s="2" t="s">
        <v>1465</v>
      </c>
      <c r="H23" s="2" t="s">
        <v>1476</v>
      </c>
      <c r="I23" s="76"/>
      <c r="J23" s="114"/>
      <c r="K23" s="110" t="s">
        <v>1321</v>
      </c>
      <c r="L23" s="117">
        <v>0.95</v>
      </c>
      <c r="M23" s="133"/>
      <c r="P23" s="1" t="s">
        <v>436</v>
      </c>
      <c r="S23" s="50" t="s">
        <v>1318</v>
      </c>
      <c r="T23" s="27" t="s">
        <v>430</v>
      </c>
      <c r="V23" s="29" t="s">
        <v>381</v>
      </c>
      <c r="X23" s="27" t="s">
        <v>1314</v>
      </c>
      <c r="Y23" s="27" t="s">
        <v>71</v>
      </c>
      <c r="AA23" s="1" t="s">
        <v>340</v>
      </c>
      <c r="AB23" s="27"/>
      <c r="AC23" s="50" t="str">
        <f>IF(AA23&lt;&gt;"","&lt;&gt;0","")</f>
        <v>&lt;&gt;0</v>
      </c>
      <c r="AF23" t="str">
        <f>AF21&amp;대상년월&amp;"수수료\"&amp;E33</f>
        <v>C:\Users\Administrator\Documents\04.수수료작업\202108수수료\202108_피스토스환수</v>
      </c>
      <c r="AP23" s="72" t="s">
        <v>1330</v>
      </c>
      <c r="AQ23" s="72" t="s">
        <v>1330</v>
      </c>
    </row>
    <row r="24" spans="1:51">
      <c r="A24" s="40" t="s">
        <v>1433</v>
      </c>
      <c r="B24" s="38" t="str">
        <f>IF(A24="",B15,A24)</f>
        <v>글래드제이엔제이_수입원장정산</v>
      </c>
      <c r="C24" s="52">
        <f t="shared" ref="C24:C27" si="4">IF(B24&lt;&gt;"",$K$5,"")</f>
        <v>202108</v>
      </c>
      <c r="D24" s="2" t="s">
        <v>54</v>
      </c>
      <c r="E24" s="53" t="str">
        <f>C24&amp;"_"&amp;A24</f>
        <v>202108_글래드제이엔제이_수입원장정산</v>
      </c>
      <c r="F24" s="2" t="s">
        <v>61</v>
      </c>
      <c r="G24" s="2" t="s">
        <v>1457</v>
      </c>
      <c r="H24" s="2" t="s">
        <v>358</v>
      </c>
      <c r="I24" s="76"/>
      <c r="J24" s="114"/>
      <c r="K24" s="110" t="s">
        <v>1322</v>
      </c>
      <c r="L24" s="115">
        <v>0.95</v>
      </c>
      <c r="P24" s="1" t="s">
        <v>1334</v>
      </c>
      <c r="S24" s="50" t="str">
        <f>"=글래드"</f>
        <v>=글래드</v>
      </c>
      <c r="T24" s="27" t="s">
        <v>69</v>
      </c>
      <c r="V24" s="50" t="str">
        <f>VLOOKUP(대상작업,작업정보,2,0)</f>
        <v>글래드프라임</v>
      </c>
      <c r="X24" s="27" t="s">
        <v>1315</v>
      </c>
      <c r="Y24" s="27" t="s">
        <v>69</v>
      </c>
      <c r="AA24" s="1" t="s">
        <v>341</v>
      </c>
      <c r="AB24" s="27"/>
      <c r="AC24" s="50" t="str">
        <f t="shared" si="2"/>
        <v>&lt;&gt;0</v>
      </c>
      <c r="AE24" t="s">
        <v>107</v>
      </c>
      <c r="AF24" t="str">
        <f>E33</f>
        <v>202108_피스토스환수</v>
      </c>
      <c r="AP24" s="2" t="s">
        <v>1310</v>
      </c>
      <c r="AQ24" s="2" t="s">
        <v>1310</v>
      </c>
    </row>
    <row r="25" spans="1:51">
      <c r="A25" s="40"/>
      <c r="B25" s="38" t="str">
        <f t="shared" ref="B25:B27" si="5">IF(A25="",B24,A25)</f>
        <v>글래드제이엔제이_수입원장정산</v>
      </c>
      <c r="C25" s="52">
        <f t="shared" si="4"/>
        <v>202108</v>
      </c>
      <c r="D25" s="2" t="s">
        <v>30</v>
      </c>
      <c r="E25" s="53"/>
      <c r="F25" s="2" t="s">
        <v>62</v>
      </c>
      <c r="G25" s="2" t="s">
        <v>1460</v>
      </c>
      <c r="H25" s="2" t="s">
        <v>1477</v>
      </c>
      <c r="J25" s="114"/>
      <c r="K25" s="110" t="s">
        <v>1323</v>
      </c>
      <c r="L25" s="115">
        <v>0.95</v>
      </c>
      <c r="P25" s="1" t="s">
        <v>1317</v>
      </c>
      <c r="S25" s="50" t="str">
        <f>"=글래드"</f>
        <v>=글래드</v>
      </c>
      <c r="T25" s="27" t="s">
        <v>70</v>
      </c>
      <c r="X25" s="27" t="s">
        <v>1315</v>
      </c>
      <c r="Y25" s="27" t="s">
        <v>70</v>
      </c>
      <c r="AA25" s="1" t="s">
        <v>342</v>
      </c>
      <c r="AB25" s="27"/>
      <c r="AC25" s="50" t="str">
        <f t="shared" si="2"/>
        <v>&lt;&gt;0</v>
      </c>
      <c r="AP25" s="2" t="s">
        <v>1334</v>
      </c>
      <c r="AQ25" s="2" t="s">
        <v>1334</v>
      </c>
    </row>
    <row r="26" spans="1:51">
      <c r="A26" s="40"/>
      <c r="B26" s="38" t="str">
        <f t="shared" si="5"/>
        <v>글래드제이엔제이_수입원장정산</v>
      </c>
      <c r="C26" s="52">
        <f t="shared" si="4"/>
        <v>202108</v>
      </c>
      <c r="D26" s="2" t="s">
        <v>59</v>
      </c>
      <c r="E26" s="53"/>
      <c r="F26" s="2" t="s">
        <v>63</v>
      </c>
      <c r="G26" s="2" t="s">
        <v>1475</v>
      </c>
      <c r="H26" s="2" t="s">
        <v>358</v>
      </c>
      <c r="J26" s="114"/>
      <c r="K26" s="110" t="s">
        <v>1324</v>
      </c>
      <c r="L26" s="115">
        <v>0.95</v>
      </c>
      <c r="P26" t="s">
        <v>1315</v>
      </c>
      <c r="S26" s="50" t="str">
        <f>"=글래드"</f>
        <v>=글래드</v>
      </c>
      <c r="T26" s="27" t="s">
        <v>71</v>
      </c>
      <c r="X26" s="27" t="s">
        <v>1315</v>
      </c>
      <c r="Y26" s="27" t="s">
        <v>71</v>
      </c>
      <c r="AA26" s="1" t="s">
        <v>343</v>
      </c>
      <c r="AB26" s="27"/>
      <c r="AC26" s="50" t="str">
        <f t="shared" si="2"/>
        <v>&lt;&gt;0</v>
      </c>
      <c r="AH26" t="s">
        <v>207</v>
      </c>
      <c r="AL26" t="s">
        <v>321</v>
      </c>
      <c r="AP26" s="2" t="s">
        <v>1311</v>
      </c>
      <c r="AQ26" s="2" t="s">
        <v>1311</v>
      </c>
    </row>
    <row r="27" spans="1:51">
      <c r="A27" s="40"/>
      <c r="B27" s="38" t="str">
        <f t="shared" si="5"/>
        <v>글래드제이엔제이_수입원장정산</v>
      </c>
      <c r="C27" s="52">
        <f t="shared" si="4"/>
        <v>202108</v>
      </c>
      <c r="D27" s="2" t="s">
        <v>60</v>
      </c>
      <c r="E27" s="53"/>
      <c r="F27" s="2" t="s">
        <v>64</v>
      </c>
      <c r="G27" s="2" t="s">
        <v>1465</v>
      </c>
      <c r="H27" s="2" t="s">
        <v>1477</v>
      </c>
      <c r="P27" t="s">
        <v>1318</v>
      </c>
      <c r="S27" s="50"/>
      <c r="T27" s="27"/>
      <c r="X27" s="27" t="s">
        <v>1316</v>
      </c>
      <c r="Y27" s="27" t="s">
        <v>69</v>
      </c>
      <c r="AA27" s="1" t="s">
        <v>299</v>
      </c>
      <c r="AB27" s="27"/>
      <c r="AC27" s="50" t="str">
        <f t="shared" si="2"/>
        <v>&lt;&gt;0</v>
      </c>
      <c r="AH27" s="45">
        <v>1</v>
      </c>
      <c r="AI27" s="46">
        <v>1</v>
      </c>
      <c r="AL27" s="45">
        <v>1</v>
      </c>
      <c r="AM27" s="77">
        <v>1</v>
      </c>
    </row>
    <row r="28" spans="1:51">
      <c r="A28" s="40" t="s">
        <v>1333</v>
      </c>
      <c r="B28" s="38" t="str">
        <f>IF(A28="",B19,A28)</f>
        <v>글래드씨티엠_수입원장정산</v>
      </c>
      <c r="C28" s="52">
        <f t="shared" ref="C28:C31" si="6">IF(B28&lt;&gt;"",$K$5,"")</f>
        <v>202108</v>
      </c>
      <c r="D28" s="2" t="s">
        <v>54</v>
      </c>
      <c r="E28" s="53" t="str">
        <f>C28&amp;"_"&amp;A28</f>
        <v>202108_글래드씨티엠_수입원장정산</v>
      </c>
      <c r="F28" s="2" t="s">
        <v>61</v>
      </c>
      <c r="G28" s="2" t="s">
        <v>1457</v>
      </c>
      <c r="H28" s="2" t="s">
        <v>1478</v>
      </c>
      <c r="I28" s="76"/>
      <c r="J28" t="s">
        <v>234</v>
      </c>
      <c r="P28" t="s">
        <v>1311</v>
      </c>
      <c r="X28" s="27" t="s">
        <v>1316</v>
      </c>
      <c r="Y28" s="27" t="s">
        <v>70</v>
      </c>
      <c r="AA28" s="1" t="s">
        <v>300</v>
      </c>
      <c r="AB28" s="27"/>
      <c r="AC28" s="50" t="str">
        <f t="shared" si="2"/>
        <v>&lt;&gt;0</v>
      </c>
      <c r="AH28" s="45">
        <v>2</v>
      </c>
      <c r="AI28" s="46">
        <v>1</v>
      </c>
      <c r="AL28" s="45">
        <v>2</v>
      </c>
      <c r="AM28" s="77">
        <v>1</v>
      </c>
    </row>
    <row r="29" spans="1:51" ht="16.5" customHeight="1">
      <c r="A29" s="40"/>
      <c r="B29" s="38" t="str">
        <f t="shared" ref="B29:B31" si="7">IF(A29="",B28,A29)</f>
        <v>글래드씨티엠_수입원장정산</v>
      </c>
      <c r="C29" s="52">
        <f t="shared" si="6"/>
        <v>202108</v>
      </c>
      <c r="D29" s="2" t="s">
        <v>30</v>
      </c>
      <c r="E29" s="53"/>
      <c r="F29" s="2" t="s">
        <v>62</v>
      </c>
      <c r="G29" s="2" t="s">
        <v>1460</v>
      </c>
      <c r="H29" s="2" t="s">
        <v>1479</v>
      </c>
      <c r="J29" s="96" t="s">
        <v>251</v>
      </c>
      <c r="K29" s="97"/>
      <c r="L29" s="98" t="s">
        <v>235</v>
      </c>
      <c r="M29" s="98" t="s">
        <v>236</v>
      </c>
      <c r="N29" s="98"/>
      <c r="P29" s="132" t="s">
        <v>1451</v>
      </c>
      <c r="X29" s="27" t="s">
        <v>1316</v>
      </c>
      <c r="Y29" s="27" t="s">
        <v>71</v>
      </c>
      <c r="AA29" s="1" t="s">
        <v>301</v>
      </c>
      <c r="AB29" s="27"/>
      <c r="AC29" s="50"/>
      <c r="AF29" s="36"/>
      <c r="AH29" s="45">
        <v>3</v>
      </c>
      <c r="AI29" s="46">
        <v>0.95</v>
      </c>
      <c r="AL29" s="45">
        <v>3</v>
      </c>
      <c r="AM29" s="77">
        <v>0.9</v>
      </c>
    </row>
    <row r="30" spans="1:51" ht="19.5" customHeight="1">
      <c r="A30" s="40"/>
      <c r="B30" s="38" t="str">
        <f t="shared" si="7"/>
        <v>글래드씨티엠_수입원장정산</v>
      </c>
      <c r="C30" s="52">
        <f t="shared" si="6"/>
        <v>202108</v>
      </c>
      <c r="D30" s="2" t="s">
        <v>59</v>
      </c>
      <c r="E30" s="53"/>
      <c r="F30" s="2" t="s">
        <v>63</v>
      </c>
      <c r="G30" s="2" t="s">
        <v>1480</v>
      </c>
      <c r="H30" s="2" t="s">
        <v>1479</v>
      </c>
      <c r="J30" s="99" t="s">
        <v>230</v>
      </c>
      <c r="K30" s="100"/>
      <c r="L30" s="95" t="s">
        <v>239</v>
      </c>
      <c r="M30" s="101" t="s">
        <v>252</v>
      </c>
      <c r="N30" s="102"/>
      <c r="O30" t="s">
        <v>465</v>
      </c>
      <c r="X30" s="27" t="s">
        <v>1317</v>
      </c>
      <c r="Y30" s="27" t="s">
        <v>69</v>
      </c>
      <c r="AA30" s="1" t="s">
        <v>302</v>
      </c>
      <c r="AB30" s="27"/>
      <c r="AC30" s="50" t="str">
        <f t="shared" si="2"/>
        <v>&lt;&gt;0</v>
      </c>
      <c r="AH30" s="45">
        <v>4</v>
      </c>
      <c r="AI30" s="46">
        <v>0.9</v>
      </c>
      <c r="AL30" s="45">
        <v>4</v>
      </c>
      <c r="AM30" s="77">
        <v>0.8</v>
      </c>
    </row>
    <row r="31" spans="1:51">
      <c r="A31" s="40"/>
      <c r="B31" s="38" t="str">
        <f t="shared" si="7"/>
        <v>글래드씨티엠_수입원장정산</v>
      </c>
      <c r="C31" s="52">
        <f t="shared" si="6"/>
        <v>202108</v>
      </c>
      <c r="D31" s="2" t="s">
        <v>60</v>
      </c>
      <c r="E31" s="53"/>
      <c r="F31" s="2" t="s">
        <v>64</v>
      </c>
      <c r="G31" s="2" t="s">
        <v>1481</v>
      </c>
      <c r="H31" s="2" t="s">
        <v>1459</v>
      </c>
      <c r="J31" s="99" t="s">
        <v>78</v>
      </c>
      <c r="K31" s="100"/>
      <c r="L31" s="95" t="s">
        <v>237</v>
      </c>
      <c r="M31" s="103"/>
      <c r="N31" s="104"/>
      <c r="O31" s="27" t="s">
        <v>173</v>
      </c>
      <c r="P31" s="27" t="s">
        <v>164</v>
      </c>
      <c r="Q31" s="27" t="s">
        <v>90</v>
      </c>
      <c r="S31" s="30" t="s">
        <v>392</v>
      </c>
      <c r="X31" s="27" t="s">
        <v>1317</v>
      </c>
      <c r="Y31" s="27" t="s">
        <v>70</v>
      </c>
      <c r="AA31" s="1" t="s">
        <v>303</v>
      </c>
      <c r="AB31" s="27"/>
      <c r="AC31" s="50"/>
      <c r="AH31" s="45">
        <v>5</v>
      </c>
      <c r="AI31" s="46">
        <v>0.85</v>
      </c>
      <c r="AL31" s="45">
        <v>5</v>
      </c>
      <c r="AM31" s="77">
        <v>0.7</v>
      </c>
    </row>
    <row r="32" spans="1:51">
      <c r="A32" s="40" t="s">
        <v>405</v>
      </c>
      <c r="B32" s="38" t="str">
        <f>IF(A32="",B19,A32)</f>
        <v>피스토스&amp;직영지점사원지급율</v>
      </c>
      <c r="C32" s="52">
        <f t="shared" si="1"/>
        <v>202108</v>
      </c>
      <c r="D32" s="2" t="s">
        <v>54</v>
      </c>
      <c r="E32" s="53" t="str">
        <f>C32&amp;"_"&amp;A32</f>
        <v>202108_피스토스&amp;직영지점사원지급율</v>
      </c>
      <c r="F32" s="2" t="s">
        <v>68</v>
      </c>
      <c r="G32" s="2" t="s">
        <v>1457</v>
      </c>
      <c r="H32" s="2" t="s">
        <v>1458</v>
      </c>
      <c r="J32" s="99" t="s">
        <v>233</v>
      </c>
      <c r="K32" s="100"/>
      <c r="L32" s="95" t="s">
        <v>239</v>
      </c>
      <c r="M32" s="103"/>
      <c r="N32" s="104"/>
      <c r="O32" s="27" t="s">
        <v>79</v>
      </c>
      <c r="P32" s="50" t="s">
        <v>1309</v>
      </c>
      <c r="Q32" s="27" t="s">
        <v>88</v>
      </c>
      <c r="S32" s="29" t="s">
        <v>28</v>
      </c>
      <c r="T32" s="29" t="s">
        <v>45</v>
      </c>
      <c r="U32" s="29" t="s">
        <v>396</v>
      </c>
      <c r="X32" s="27" t="s">
        <v>1317</v>
      </c>
      <c r="Y32" s="27" t="s">
        <v>71</v>
      </c>
      <c r="AA32" s="1" t="s">
        <v>304</v>
      </c>
      <c r="AB32" s="27"/>
      <c r="AC32" s="50"/>
      <c r="AH32" s="45">
        <v>6</v>
      </c>
      <c r="AI32" s="46">
        <v>0.75</v>
      </c>
      <c r="AL32" s="45">
        <v>6</v>
      </c>
      <c r="AM32" s="77">
        <v>0.6</v>
      </c>
    </row>
    <row r="33" spans="1:44">
      <c r="A33" s="84" t="s">
        <v>79</v>
      </c>
      <c r="B33" s="38" t="str">
        <f t="shared" si="0"/>
        <v>피스토스환수</v>
      </c>
      <c r="C33" s="52">
        <f t="shared" si="1"/>
        <v>202108</v>
      </c>
      <c r="D33" s="2" t="s">
        <v>54</v>
      </c>
      <c r="E33" s="53" t="str">
        <f>C33&amp;"_"&amp;A33</f>
        <v>202108_피스토스환수</v>
      </c>
      <c r="F33" s="2" t="s">
        <v>128</v>
      </c>
      <c r="G33" s="2" t="s">
        <v>414</v>
      </c>
      <c r="H33" s="2" t="s">
        <v>413</v>
      </c>
      <c r="I33" s="76" t="s">
        <v>387</v>
      </c>
      <c r="J33" s="99" t="s">
        <v>228</v>
      </c>
      <c r="K33" s="100"/>
      <c r="L33" s="95" t="s">
        <v>239</v>
      </c>
      <c r="M33" s="103"/>
      <c r="N33" s="104"/>
      <c r="O33" s="27" t="s">
        <v>175</v>
      </c>
      <c r="P33" s="50" t="s">
        <v>1309</v>
      </c>
      <c r="Q33" s="27" t="s">
        <v>176</v>
      </c>
      <c r="S33" s="50" t="s">
        <v>1315</v>
      </c>
      <c r="T33" s="27" t="s">
        <v>69</v>
      </c>
      <c r="U33" s="27"/>
      <c r="X33" s="27" t="s">
        <v>1318</v>
      </c>
      <c r="Y33" s="27" t="s">
        <v>69</v>
      </c>
      <c r="AA33" s="1" t="s">
        <v>305</v>
      </c>
      <c r="AB33" s="27"/>
      <c r="AC33" s="50" t="str">
        <f t="shared" si="2"/>
        <v>&lt;&gt;0</v>
      </c>
      <c r="AH33" s="45">
        <v>7</v>
      </c>
      <c r="AI33" s="46">
        <v>0.6</v>
      </c>
      <c r="AL33" s="45">
        <v>7</v>
      </c>
      <c r="AM33" s="77">
        <v>0.5</v>
      </c>
    </row>
    <row r="34" spans="1:44">
      <c r="A34" s="41" t="s">
        <v>389</v>
      </c>
      <c r="B34" s="38" t="str">
        <f t="shared" si="0"/>
        <v>수수료명세</v>
      </c>
      <c r="C34" s="52">
        <f t="shared" si="1"/>
        <v>202108</v>
      </c>
      <c r="D34" s="2" t="s">
        <v>163</v>
      </c>
      <c r="E34" s="53" t="str">
        <f>C34&amp;"_"&amp;VLOOKUP(A34,작업정보,2,0)&amp;A34</f>
        <v>202108_글래드프라임수수료명세</v>
      </c>
      <c r="F34" s="2" t="s">
        <v>163</v>
      </c>
      <c r="G34" s="2" t="s">
        <v>1522</v>
      </c>
      <c r="H34" s="2" t="s">
        <v>7</v>
      </c>
      <c r="I34" s="76"/>
      <c r="J34" s="99" t="s">
        <v>319</v>
      </c>
      <c r="K34" s="100"/>
      <c r="L34" s="98" t="s">
        <v>323</v>
      </c>
      <c r="M34" s="105"/>
      <c r="N34" s="106"/>
      <c r="O34" s="27" t="s">
        <v>194</v>
      </c>
      <c r="P34" s="50" t="s">
        <v>205</v>
      </c>
      <c r="Q34" s="27" t="s">
        <v>195</v>
      </c>
      <c r="S34" s="50" t="s">
        <v>1315</v>
      </c>
      <c r="T34" s="27" t="s">
        <v>70</v>
      </c>
      <c r="U34" s="27"/>
      <c r="X34" s="27" t="s">
        <v>1318</v>
      </c>
      <c r="Y34" s="27" t="s">
        <v>70</v>
      </c>
      <c r="AA34" s="1" t="s">
        <v>306</v>
      </c>
      <c r="AB34" s="27"/>
      <c r="AC34" s="50"/>
      <c r="AH34" s="45">
        <v>8</v>
      </c>
      <c r="AI34" s="46">
        <v>0.5</v>
      </c>
      <c r="AL34" s="45">
        <v>8</v>
      </c>
      <c r="AM34" s="77">
        <v>0.4</v>
      </c>
    </row>
    <row r="35" spans="1:44" ht="16.5" customHeight="1">
      <c r="A35" s="41"/>
      <c r="B35" s="38" t="str">
        <f>IF(A35="",B34,A35)</f>
        <v>수수료명세</v>
      </c>
      <c r="C35" s="52">
        <f t="shared" si="1"/>
        <v>202108</v>
      </c>
      <c r="D35" s="2" t="s">
        <v>30</v>
      </c>
      <c r="E35" s="53"/>
      <c r="F35" s="2" t="s">
        <v>30</v>
      </c>
      <c r="G35" s="2" t="s">
        <v>1523</v>
      </c>
      <c r="H35" s="2" t="s">
        <v>7</v>
      </c>
      <c r="I35" s="76"/>
      <c r="J35" s="99" t="s">
        <v>229</v>
      </c>
      <c r="K35" s="100"/>
      <c r="L35" s="95" t="s">
        <v>239</v>
      </c>
      <c r="M35" s="107"/>
      <c r="N35" s="107"/>
      <c r="S35" s="50" t="s">
        <v>1315</v>
      </c>
      <c r="T35" s="27" t="s">
        <v>71</v>
      </c>
      <c r="U35" s="27"/>
      <c r="X35" s="27" t="s">
        <v>1318</v>
      </c>
      <c r="Y35" s="27" t="s">
        <v>71</v>
      </c>
      <c r="AA35" s="1" t="s">
        <v>307</v>
      </c>
      <c r="AB35" s="27"/>
      <c r="AC35" s="50"/>
      <c r="AH35" s="45">
        <v>9</v>
      </c>
      <c r="AI35" s="46">
        <v>0.4</v>
      </c>
      <c r="AL35" s="45">
        <v>9</v>
      </c>
      <c r="AM35" s="77">
        <v>0.3</v>
      </c>
    </row>
    <row r="36" spans="1:44" ht="26.4">
      <c r="A36" s="42"/>
      <c r="B36" s="38" t="str">
        <f>IF(A36="",B35,A36)</f>
        <v>수수료명세</v>
      </c>
      <c r="C36" s="52">
        <f t="shared" si="1"/>
        <v>202108</v>
      </c>
      <c r="D36" s="2" t="s">
        <v>59</v>
      </c>
      <c r="E36" s="53"/>
      <c r="F36" s="2" t="s">
        <v>59</v>
      </c>
      <c r="G36" s="2" t="s">
        <v>1525</v>
      </c>
      <c r="H36" s="2" t="s">
        <v>7</v>
      </c>
      <c r="I36" s="76"/>
      <c r="J36" s="99" t="s">
        <v>65</v>
      </c>
      <c r="K36" s="100"/>
      <c r="L36" s="95" t="s">
        <v>238</v>
      </c>
      <c r="M36" s="107" t="s">
        <v>240</v>
      </c>
      <c r="N36" s="107"/>
      <c r="S36" s="50" t="s">
        <v>1317</v>
      </c>
      <c r="T36" s="27" t="s">
        <v>69</v>
      </c>
      <c r="U36" s="27"/>
      <c r="X36" s="27" t="s">
        <v>1434</v>
      </c>
      <c r="Y36" s="27" t="s">
        <v>69</v>
      </c>
      <c r="AA36" s="1" t="s">
        <v>308</v>
      </c>
      <c r="AB36" s="27"/>
      <c r="AC36" s="50" t="str">
        <f t="shared" si="2"/>
        <v>&lt;&gt;0</v>
      </c>
      <c r="AH36" s="45">
        <v>10</v>
      </c>
      <c r="AI36" s="46">
        <v>0.3</v>
      </c>
      <c r="AL36" s="45">
        <v>10</v>
      </c>
      <c r="AM36" s="77">
        <v>0.2</v>
      </c>
    </row>
    <row r="37" spans="1:44">
      <c r="A37" s="42"/>
      <c r="B37" s="38" t="str">
        <f>IF(A37="",B36,A37)</f>
        <v>수수료명세</v>
      </c>
      <c r="C37" s="52">
        <f t="shared" si="1"/>
        <v>202108</v>
      </c>
      <c r="D37" s="2" t="s">
        <v>60</v>
      </c>
      <c r="E37" s="53"/>
      <c r="F37" s="2" t="s">
        <v>60</v>
      </c>
      <c r="G37" s="2" t="s">
        <v>1526</v>
      </c>
      <c r="H37" s="2" t="s">
        <v>7</v>
      </c>
      <c r="I37" s="76" t="s">
        <v>510</v>
      </c>
      <c r="J37" s="99" t="s">
        <v>231</v>
      </c>
      <c r="K37" s="100"/>
      <c r="L37" s="95" t="s">
        <v>237</v>
      </c>
      <c r="M37" s="107"/>
      <c r="N37" s="107"/>
      <c r="S37" s="50" t="s">
        <v>1317</v>
      </c>
      <c r="T37" s="27" t="s">
        <v>70</v>
      </c>
      <c r="U37" s="27"/>
      <c r="X37" s="27" t="s">
        <v>1434</v>
      </c>
      <c r="Y37" s="27" t="s">
        <v>70</v>
      </c>
      <c r="AA37" s="1" t="s">
        <v>309</v>
      </c>
      <c r="AB37" s="27"/>
      <c r="AC37" s="50"/>
      <c r="AH37" s="45">
        <v>11</v>
      </c>
      <c r="AI37" s="46">
        <v>0.15</v>
      </c>
      <c r="AL37" s="45">
        <v>11</v>
      </c>
      <c r="AM37" s="77">
        <v>0.1</v>
      </c>
    </row>
    <row r="38" spans="1:44">
      <c r="A38" s="84" t="s">
        <v>447</v>
      </c>
      <c r="B38" s="38" t="str">
        <f>IF(A38="",B37,A38)</f>
        <v>피스토스 재물정산</v>
      </c>
      <c r="C38" s="52">
        <f t="shared" si="1"/>
        <v>202108</v>
      </c>
      <c r="D38" s="2" t="s">
        <v>174</v>
      </c>
      <c r="E38" s="53" t="str">
        <f>C38&amp;"_"&amp;A38</f>
        <v>202108_피스토스 재물정산</v>
      </c>
      <c r="F38" s="2" t="s">
        <v>174</v>
      </c>
      <c r="G38" s="2"/>
      <c r="H38" s="2"/>
      <c r="I38" s="76" t="s">
        <v>510</v>
      </c>
      <c r="J38" s="99" t="s">
        <v>232</v>
      </c>
      <c r="K38" s="100"/>
      <c r="L38" s="95" t="s">
        <v>237</v>
      </c>
      <c r="M38" s="107"/>
      <c r="N38" s="107"/>
      <c r="S38" s="50" t="s">
        <v>1317</v>
      </c>
      <c r="T38" s="27" t="s">
        <v>71</v>
      </c>
      <c r="U38" s="27"/>
      <c r="X38" s="27" t="s">
        <v>1434</v>
      </c>
      <c r="Y38" s="27" t="s">
        <v>71</v>
      </c>
      <c r="AA38" s="1" t="s">
        <v>310</v>
      </c>
      <c r="AB38" s="27"/>
      <c r="AC38" s="50" t="str">
        <f t="shared" si="2"/>
        <v>&lt;&gt;0</v>
      </c>
      <c r="AH38" s="45">
        <v>12</v>
      </c>
      <c r="AI38" s="46">
        <v>0.1</v>
      </c>
      <c r="AL38" s="45">
        <v>12</v>
      </c>
      <c r="AM38" s="77">
        <v>0.1</v>
      </c>
    </row>
    <row r="39" spans="1:44">
      <c r="A39" s="84" t="s">
        <v>448</v>
      </c>
      <c r="B39" s="38" t="str">
        <f>IF(A39="",B38,A39)</f>
        <v>라온지점 박종철정산</v>
      </c>
      <c r="C39" s="52">
        <f t="shared" si="1"/>
        <v>202108</v>
      </c>
      <c r="D39" s="2" t="s">
        <v>174</v>
      </c>
      <c r="E39" s="53" t="str">
        <f>C39&amp;"_"&amp;A39</f>
        <v>202108_라온지점 박종철정산</v>
      </c>
      <c r="F39" s="2" t="s">
        <v>174</v>
      </c>
      <c r="I39" s="76" t="s">
        <v>250</v>
      </c>
      <c r="J39" s="99" t="s">
        <v>1331</v>
      </c>
      <c r="K39" s="100"/>
      <c r="L39" s="95" t="s">
        <v>507</v>
      </c>
      <c r="M39" s="107" t="s">
        <v>508</v>
      </c>
      <c r="N39" s="107"/>
      <c r="S39" s="50" t="s">
        <v>1315</v>
      </c>
      <c r="T39" s="27" t="s">
        <v>122</v>
      </c>
      <c r="U39" s="27" t="s">
        <v>397</v>
      </c>
      <c r="X39" s="27" t="s">
        <v>1441</v>
      </c>
      <c r="Y39" s="27" t="s">
        <v>69</v>
      </c>
      <c r="AA39" s="1" t="s">
        <v>311</v>
      </c>
      <c r="AB39" s="27"/>
      <c r="AC39" s="50"/>
      <c r="AH39" s="45">
        <v>13</v>
      </c>
      <c r="AI39" s="46">
        <v>0</v>
      </c>
    </row>
    <row r="40" spans="1:44">
      <c r="A40" s="42" t="s">
        <v>406</v>
      </c>
      <c r="B40" s="38" t="str">
        <f>IF(A40="",B38,A40)</f>
        <v>송내_성공_의정부_관리수수료</v>
      </c>
      <c r="C40" s="52">
        <f t="shared" si="1"/>
        <v>202108</v>
      </c>
      <c r="D40" s="2" t="s">
        <v>174</v>
      </c>
      <c r="E40" s="53" t="str">
        <f>C40&amp;"_"&amp;A40</f>
        <v>202108_송내_성공_의정부_관리수수료</v>
      </c>
      <c r="F40" s="2" t="s">
        <v>174</v>
      </c>
      <c r="G40" t="s">
        <v>1522</v>
      </c>
      <c r="H40" t="s">
        <v>7</v>
      </c>
      <c r="I40" s="76" t="s">
        <v>250</v>
      </c>
      <c r="J40" s="99" t="s">
        <v>1332</v>
      </c>
      <c r="K40" s="100"/>
      <c r="L40" s="95"/>
      <c r="M40" s="107" t="s">
        <v>508</v>
      </c>
      <c r="N40" s="107"/>
      <c r="S40" s="50" t="s">
        <v>1315</v>
      </c>
      <c r="T40" s="27" t="s">
        <v>123</v>
      </c>
      <c r="U40" s="27" t="s">
        <v>397</v>
      </c>
      <c r="X40" s="27" t="s">
        <v>1441</v>
      </c>
      <c r="Y40" s="27" t="s">
        <v>70</v>
      </c>
      <c r="AA40" s="1" t="s">
        <v>261</v>
      </c>
      <c r="AG40" s="30" t="s">
        <v>156</v>
      </c>
      <c r="AP40" t="s">
        <v>537</v>
      </c>
    </row>
    <row r="41" spans="1:44">
      <c r="A41" s="42"/>
      <c r="B41" s="38" t="str">
        <f>B40</f>
        <v>송내_성공_의정부_관리수수료</v>
      </c>
      <c r="C41" s="52">
        <f>IF(B41&lt;&gt;"",$K$5,"")</f>
        <v>202108</v>
      </c>
      <c r="D41" s="2" t="s">
        <v>316</v>
      </c>
      <c r="E41" s="53"/>
      <c r="F41" s="2" t="s">
        <v>316</v>
      </c>
      <c r="G41" t="s">
        <v>1523</v>
      </c>
      <c r="H41" t="s">
        <v>7</v>
      </c>
      <c r="I41" s="76" t="s">
        <v>250</v>
      </c>
      <c r="S41" s="50" t="s">
        <v>1317</v>
      </c>
      <c r="T41" s="27" t="s">
        <v>122</v>
      </c>
      <c r="U41" s="27" t="s">
        <v>397</v>
      </c>
      <c r="X41" s="27" t="s">
        <v>1441</v>
      </c>
      <c r="Y41" s="27" t="s">
        <v>71</v>
      </c>
      <c r="AA41" s="1" t="s">
        <v>262</v>
      </c>
      <c r="AG41" s="29" t="s">
        <v>28</v>
      </c>
      <c r="AH41" s="29" t="s">
        <v>45</v>
      </c>
      <c r="AI41" s="29" t="s">
        <v>127</v>
      </c>
      <c r="AJ41" s="29" t="s">
        <v>26</v>
      </c>
      <c r="AK41" s="29" t="s">
        <v>26</v>
      </c>
      <c r="AP41" s="119" t="s">
        <v>4</v>
      </c>
      <c r="AQ41" s="119" t="s">
        <v>539</v>
      </c>
      <c r="AR41" s="119" t="s">
        <v>155</v>
      </c>
    </row>
    <row r="42" spans="1:44">
      <c r="A42" s="42" t="s">
        <v>1298</v>
      </c>
      <c r="B42" s="89" t="s">
        <v>1298</v>
      </c>
      <c r="C42" s="90">
        <f>IF(B42&lt;&gt;"",$K$5,"")</f>
        <v>202108</v>
      </c>
      <c r="D42" s="95" t="str">
        <f ca="1">J19</f>
        <v>d:\글로벌백업(180329)\04.수수료작업\202108수수료\</v>
      </c>
      <c r="E42" s="91" t="str">
        <f>C42&amp;"_"&amp;A42</f>
        <v>202108_글래드가온 수금정산</v>
      </c>
      <c r="F42" s="2"/>
      <c r="G42" t="s">
        <v>495</v>
      </c>
      <c r="S42" s="50" t="s">
        <v>1317</v>
      </c>
      <c r="T42" s="27" t="s">
        <v>123</v>
      </c>
      <c r="U42" s="27" t="s">
        <v>397</v>
      </c>
      <c r="X42" s="27"/>
      <c r="Y42" s="27"/>
      <c r="AA42" s="1" t="s">
        <v>263</v>
      </c>
      <c r="AG42" s="47" t="s">
        <v>1309</v>
      </c>
      <c r="AH42" s="48" t="s">
        <v>122</v>
      </c>
      <c r="AI42" s="48" t="s">
        <v>124</v>
      </c>
      <c r="AJ42" s="48" t="s">
        <v>126</v>
      </c>
      <c r="AK42" s="48" t="s">
        <v>125</v>
      </c>
      <c r="AP42" s="93" t="s">
        <v>1309</v>
      </c>
      <c r="AQ42" s="94" t="s">
        <v>540</v>
      </c>
      <c r="AR42" s="120">
        <v>24</v>
      </c>
    </row>
    <row r="43" spans="1:44">
      <c r="A43" s="42" t="s">
        <v>1295</v>
      </c>
      <c r="B43" s="92" t="s">
        <v>1299</v>
      </c>
      <c r="C43" s="90">
        <f>IF(B43&lt;&gt;"",$K$5,"")</f>
        <v>202108</v>
      </c>
      <c r="D43" s="95" t="str">
        <f ca="1">J19</f>
        <v>d:\글로벌백업(180329)\04.수수료작업\202108수수료\</v>
      </c>
      <c r="E43" s="91" t="str">
        <f>C43&amp;"_"&amp;A43</f>
        <v>202108_글래드가온(피스토스) 수금정산</v>
      </c>
      <c r="F43" s="2"/>
      <c r="X43" s="118"/>
      <c r="Y43" s="118"/>
      <c r="AA43" s="1"/>
      <c r="AG43" s="47"/>
      <c r="AH43" s="48"/>
      <c r="AI43" s="48"/>
      <c r="AJ43" s="48"/>
      <c r="AK43" s="48"/>
    </row>
    <row r="44" spans="1:44">
      <c r="A44" s="42" t="s">
        <v>535</v>
      </c>
      <c r="B44" s="92" t="s">
        <v>534</v>
      </c>
      <c r="C44" s="90">
        <f>IF(B44&lt;&gt;"",$K$5,"")</f>
        <v>202108</v>
      </c>
      <c r="D44" s="95" t="str">
        <f ca="1">J19</f>
        <v>d:\글로벌백업(180329)\04.수수료작업\202108수수료\</v>
      </c>
      <c r="E44" s="91" t="str">
        <f>C44&amp;"_"&amp;A44</f>
        <v>202108_피스토스 실손정산</v>
      </c>
      <c r="F44" s="2"/>
      <c r="AA44" s="1" t="s">
        <v>264</v>
      </c>
      <c r="AG44" s="48" t="s">
        <v>1309</v>
      </c>
      <c r="AH44" s="48" t="s">
        <v>123</v>
      </c>
      <c r="AI44" s="48" t="s">
        <v>124</v>
      </c>
      <c r="AJ44" s="48" t="s">
        <v>126</v>
      </c>
      <c r="AK44" s="48" t="s">
        <v>125</v>
      </c>
    </row>
    <row r="45" spans="1:44">
      <c r="A45" s="57" t="s">
        <v>166</v>
      </c>
      <c r="AA45" s="1" t="s">
        <v>265</v>
      </c>
    </row>
    <row r="46" spans="1:44">
      <c r="AA46" s="1" t="s">
        <v>266</v>
      </c>
      <c r="AG46" s="30" t="s">
        <v>157</v>
      </c>
    </row>
    <row r="47" spans="1:44">
      <c r="AA47" s="1" t="s">
        <v>267</v>
      </c>
      <c r="AG47" s="54" t="s">
        <v>146</v>
      </c>
      <c r="AH47" s="54" t="s">
        <v>147</v>
      </c>
      <c r="AI47" s="54" t="s">
        <v>148</v>
      </c>
      <c r="AJ47" s="54" t="s">
        <v>5</v>
      </c>
      <c r="AK47" s="27"/>
    </row>
    <row r="48" spans="1:44">
      <c r="AG48" s="54" t="s">
        <v>149</v>
      </c>
      <c r="AH48" s="54" t="s">
        <v>150</v>
      </c>
      <c r="AI48" s="54" t="s">
        <v>151</v>
      </c>
      <c r="AJ48" s="54" t="s">
        <v>152</v>
      </c>
      <c r="AK48" s="27"/>
    </row>
    <row r="49" spans="19:37">
      <c r="AG49" s="55" t="s">
        <v>153</v>
      </c>
      <c r="AH49" s="54" t="s">
        <v>154</v>
      </c>
      <c r="AI49" s="54" t="s">
        <v>6</v>
      </c>
      <c r="AJ49" s="54" t="s">
        <v>155</v>
      </c>
      <c r="AK49" s="54" t="s">
        <v>0</v>
      </c>
    </row>
    <row r="50" spans="19:37">
      <c r="AG50" s="54"/>
      <c r="AH50" s="27"/>
      <c r="AI50" s="27"/>
      <c r="AJ50" s="27"/>
      <c r="AK50" s="27"/>
    </row>
    <row r="51" spans="19:37">
      <c r="X51" s="78" t="s">
        <v>418</v>
      </c>
      <c r="AA51" t="s">
        <v>435</v>
      </c>
    </row>
    <row r="52" spans="19:37">
      <c r="X52" s="29" t="s">
        <v>415</v>
      </c>
      <c r="Y52" s="29" t="s">
        <v>425</v>
      </c>
      <c r="Z52" s="29" t="s">
        <v>417</v>
      </c>
      <c r="AA52" s="29" t="s">
        <v>416</v>
      </c>
      <c r="AG52" s="30" t="s">
        <v>160</v>
      </c>
    </row>
    <row r="53" spans="19:37">
      <c r="S53" s="78" t="s">
        <v>391</v>
      </c>
      <c r="X53" s="79" t="s">
        <v>1310</v>
      </c>
      <c r="Y53" s="79" t="s">
        <v>59</v>
      </c>
      <c r="Z53" s="80"/>
      <c r="AA53" s="80"/>
      <c r="AB53" t="s">
        <v>426</v>
      </c>
      <c r="AG53" s="54" t="s">
        <v>159</v>
      </c>
    </row>
    <row r="54" spans="19:37">
      <c r="S54" s="29" t="s">
        <v>28</v>
      </c>
      <c r="X54" s="79" t="s">
        <v>1310</v>
      </c>
      <c r="Y54" s="79" t="s">
        <v>60</v>
      </c>
      <c r="Z54" s="80"/>
      <c r="AA54" s="80"/>
      <c r="AB54" s="12" t="s">
        <v>427</v>
      </c>
    </row>
    <row r="55" spans="19:37">
      <c r="S55" s="50" t="s">
        <v>1315</v>
      </c>
      <c r="X55" s="79" t="s">
        <v>1310</v>
      </c>
      <c r="Y55" s="60" t="s">
        <v>54</v>
      </c>
      <c r="Z55" s="80"/>
      <c r="AA55" s="80" t="str">
        <f>"&gt;="&amp;"'20190601"</f>
        <v>&gt;='20190601</v>
      </c>
    </row>
    <row r="56" spans="19:37">
      <c r="S56" s="50" t="s">
        <v>1317</v>
      </c>
      <c r="X56" s="79" t="s">
        <v>1310</v>
      </c>
      <c r="Y56" s="79" t="s">
        <v>30</v>
      </c>
      <c r="Z56" s="80"/>
      <c r="AA56" s="80" t="str">
        <f>"&gt;="&amp;"'20190601"</f>
        <v>&gt;='20190601</v>
      </c>
    </row>
    <row r="57" spans="19:37">
      <c r="X57" s="79" t="s">
        <v>1310</v>
      </c>
      <c r="Y57" s="60" t="s">
        <v>54</v>
      </c>
      <c r="Z57" s="80" t="str">
        <f>"&lt;="&amp;$AB$62</f>
        <v>&lt;=27</v>
      </c>
      <c r="AA57" s="80"/>
      <c r="AB57" t="s">
        <v>434</v>
      </c>
    </row>
    <row r="58" spans="19:37">
      <c r="S58" t="s">
        <v>394</v>
      </c>
      <c r="X58" s="79" t="s">
        <v>1310</v>
      </c>
      <c r="Y58" s="79" t="s">
        <v>30</v>
      </c>
      <c r="Z58" s="80" t="str">
        <f>"&lt;="&amp;$AB$62</f>
        <v>&lt;=27</v>
      </c>
      <c r="AA58" s="80"/>
      <c r="AB58" t="s">
        <v>434</v>
      </c>
    </row>
    <row r="59" spans="19:37">
      <c r="S59" s="50" t="str">
        <f>IF(대상작업="여주레전드지점OR수수료","여주레전드필터","지점필터")</f>
        <v>지점필터</v>
      </c>
    </row>
    <row r="61" spans="19:37">
      <c r="X61" s="81"/>
      <c r="Y61" s="81" t="s">
        <v>419</v>
      </c>
      <c r="Z61" s="81" t="s">
        <v>420</v>
      </c>
      <c r="AA61" s="81" t="s">
        <v>421</v>
      </c>
      <c r="AB61" s="82" t="s">
        <v>422</v>
      </c>
    </row>
    <row r="62" spans="19:37">
      <c r="X62" s="81" t="s">
        <v>424</v>
      </c>
      <c r="Y62" s="81">
        <v>201906</v>
      </c>
      <c r="Z62" s="81">
        <f>LEFT(대상년월,4)-LEFT(Y62,4)</f>
        <v>2</v>
      </c>
      <c r="AA62" s="81">
        <f>RIGHT(대상년월,2)-RIGHT(Y62,2)</f>
        <v>2</v>
      </c>
      <c r="AB62" s="81">
        <f>Z62*12+AA62+1</f>
        <v>27</v>
      </c>
      <c r="AC62" s="83" t="s">
        <v>423</v>
      </c>
    </row>
    <row r="65" spans="18:31">
      <c r="X65" s="81"/>
      <c r="Y65" s="81" t="s">
        <v>473</v>
      </c>
      <c r="Z65" s="81" t="s">
        <v>474</v>
      </c>
      <c r="AA65" s="81" t="s">
        <v>475</v>
      </c>
      <c r="AB65" s="82" t="s">
        <v>476</v>
      </c>
    </row>
    <row r="66" spans="18:31">
      <c r="X66" s="81" t="s">
        <v>477</v>
      </c>
      <c r="Y66" s="81">
        <v>201811</v>
      </c>
      <c r="Z66" s="81">
        <f>LEFT(대상년월,4)-LEFT(Y66,4)</f>
        <v>3</v>
      </c>
      <c r="AA66" s="81">
        <f>RIGHT(대상년월,2)-RIGHT(Y66,2)</f>
        <v>-3</v>
      </c>
      <c r="AB66" s="81">
        <f>Z66*12+AA66+1</f>
        <v>34</v>
      </c>
      <c r="AC66" s="83" t="s">
        <v>423</v>
      </c>
    </row>
    <row r="68" spans="18:31">
      <c r="R68" t="s">
        <v>1357</v>
      </c>
      <c r="Y68" t="s">
        <v>493</v>
      </c>
      <c r="AE68" t="s">
        <v>504</v>
      </c>
    </row>
    <row r="69" spans="18:31">
      <c r="R69" s="2" t="s">
        <v>1355</v>
      </c>
      <c r="S69" s="2" t="s">
        <v>1353</v>
      </c>
      <c r="T69" s="2" t="s">
        <v>1354</v>
      </c>
      <c r="Y69" s="2" t="s">
        <v>478</v>
      </c>
      <c r="Z69" s="2" t="s">
        <v>4</v>
      </c>
      <c r="AA69" s="2" t="s">
        <v>479</v>
      </c>
      <c r="AB69" s="2" t="s">
        <v>480</v>
      </c>
      <c r="AC69" s="2" t="s">
        <v>155</v>
      </c>
      <c r="AE69" s="86" t="s">
        <v>497</v>
      </c>
    </row>
    <row r="70" spans="18:31">
      <c r="R70" s="2" t="s">
        <v>1356</v>
      </c>
      <c r="S70" s="130" t="s">
        <v>1342</v>
      </c>
      <c r="T70" s="2"/>
      <c r="Y70" s="86" t="s">
        <v>481</v>
      </c>
      <c r="Z70" s="86" t="s">
        <v>1294</v>
      </c>
      <c r="AA70" s="86" t="s">
        <v>1361</v>
      </c>
      <c r="AB70" s="86" t="s">
        <v>483</v>
      </c>
      <c r="AC70" s="86"/>
      <c r="AE70" s="88" t="s">
        <v>200</v>
      </c>
    </row>
    <row r="71" spans="18:31">
      <c r="R71" s="2" t="s">
        <v>1356</v>
      </c>
      <c r="S71" s="130" t="s">
        <v>1344</v>
      </c>
      <c r="T71" s="2"/>
      <c r="Y71" s="86" t="s">
        <v>484</v>
      </c>
      <c r="Z71" s="86" t="s">
        <v>1294</v>
      </c>
      <c r="AA71" s="86" t="s">
        <v>1362</v>
      </c>
      <c r="AB71" s="86" t="s">
        <v>483</v>
      </c>
      <c r="AC71" s="86"/>
      <c r="AE71" s="2" t="s">
        <v>498</v>
      </c>
    </row>
    <row r="72" spans="18:31">
      <c r="R72" s="2" t="s">
        <v>1356</v>
      </c>
      <c r="S72" s="2" t="s">
        <v>1346</v>
      </c>
      <c r="T72" s="2"/>
      <c r="Y72" s="94" t="s">
        <v>496</v>
      </c>
      <c r="Z72" s="86" t="s">
        <v>1294</v>
      </c>
      <c r="AA72" s="93" t="s">
        <v>1363</v>
      </c>
      <c r="AB72" s="86" t="s">
        <v>483</v>
      </c>
      <c r="AC72" s="86"/>
      <c r="AE72" s="2" t="s">
        <v>499</v>
      </c>
    </row>
    <row r="73" spans="18:31">
      <c r="R73" s="2" t="s">
        <v>1356</v>
      </c>
      <c r="S73" s="2" t="s">
        <v>1351</v>
      </c>
      <c r="T73" s="2"/>
      <c r="Y73" s="86" t="s">
        <v>486</v>
      </c>
      <c r="Z73" s="86" t="s">
        <v>1294</v>
      </c>
      <c r="AA73" s="86" t="s">
        <v>1364</v>
      </c>
      <c r="AB73" s="86" t="s">
        <v>483</v>
      </c>
      <c r="AC73" s="86"/>
      <c r="AE73" s="2" t="s">
        <v>197</v>
      </c>
    </row>
    <row r="74" spans="18:31">
      <c r="R74" s="2" t="s">
        <v>1356</v>
      </c>
      <c r="S74" s="2" t="s">
        <v>1348</v>
      </c>
      <c r="T74" s="2"/>
      <c r="Y74" s="86" t="s">
        <v>488</v>
      </c>
      <c r="Z74" s="86" t="s">
        <v>1294</v>
      </c>
      <c r="AA74" s="86" t="s">
        <v>1365</v>
      </c>
      <c r="AB74" s="86" t="s">
        <v>483</v>
      </c>
      <c r="AC74" s="86"/>
      <c r="AE74" s="2" t="s">
        <v>500</v>
      </c>
    </row>
    <row r="75" spans="18:31">
      <c r="R75" s="2" t="s">
        <v>1356</v>
      </c>
      <c r="S75" s="2" t="s">
        <v>1350</v>
      </c>
      <c r="T75" s="2"/>
      <c r="Y75" s="86" t="s">
        <v>490</v>
      </c>
      <c r="Z75" s="86" t="s">
        <v>1294</v>
      </c>
      <c r="AA75" s="86" t="s">
        <v>1366</v>
      </c>
      <c r="AB75" s="86" t="s">
        <v>483</v>
      </c>
      <c r="AC75" s="86"/>
      <c r="AE75" s="2" t="s">
        <v>196</v>
      </c>
    </row>
    <row r="76" spans="18:31">
      <c r="R76" s="2" t="s">
        <v>1356</v>
      </c>
      <c r="S76" s="2"/>
      <c r="T76" s="129" t="s">
        <v>1359</v>
      </c>
      <c r="Y76" s="86" t="s">
        <v>492</v>
      </c>
      <c r="Z76" s="86" t="s">
        <v>1294</v>
      </c>
      <c r="AA76" s="86" t="s">
        <v>1367</v>
      </c>
      <c r="AB76" s="86" t="s">
        <v>483</v>
      </c>
      <c r="AC76" s="86"/>
      <c r="AE76" s="2" t="s">
        <v>501</v>
      </c>
    </row>
    <row r="77" spans="18:31">
      <c r="R77" s="2" t="s">
        <v>1356</v>
      </c>
      <c r="S77" s="2"/>
      <c r="T77" s="129" t="s">
        <v>1343</v>
      </c>
      <c r="Y77" s="86" t="s">
        <v>481</v>
      </c>
      <c r="Z77" s="86" t="s">
        <v>1294</v>
      </c>
      <c r="AA77" s="86" t="s">
        <v>1361</v>
      </c>
      <c r="AB77" s="86"/>
      <c r="AC77" s="80" t="str">
        <f>"&gt;"&amp;$AB$66</f>
        <v>&gt;34</v>
      </c>
      <c r="AE77" s="2" t="s">
        <v>198</v>
      </c>
    </row>
    <row r="78" spans="18:31">
      <c r="R78" s="2" t="s">
        <v>1356</v>
      </c>
      <c r="S78" s="2"/>
      <c r="T78" s="2" t="s">
        <v>1345</v>
      </c>
      <c r="Y78" s="94" t="s">
        <v>496</v>
      </c>
      <c r="Z78" s="86" t="s">
        <v>1294</v>
      </c>
      <c r="AA78" s="93" t="s">
        <v>1363</v>
      </c>
      <c r="AB78" s="86"/>
      <c r="AC78" s="80" t="str">
        <f>"&gt;"&amp;$AB$66</f>
        <v>&gt;34</v>
      </c>
      <c r="AE78" s="2" t="s">
        <v>502</v>
      </c>
    </row>
    <row r="79" spans="18:31">
      <c r="R79" s="2" t="s">
        <v>1356</v>
      </c>
      <c r="S79" s="2"/>
      <c r="T79" s="2" t="s">
        <v>1352</v>
      </c>
      <c r="Y79" s="86" t="s">
        <v>484</v>
      </c>
      <c r="Z79" s="86" t="s">
        <v>1294</v>
      </c>
      <c r="AA79" s="86" t="s">
        <v>1362</v>
      </c>
      <c r="AB79" s="86"/>
      <c r="AC79" s="80" t="str">
        <f t="shared" ref="AC79:AC83" si="8">"&gt;"&amp;$AB$66</f>
        <v>&gt;34</v>
      </c>
      <c r="AE79" s="2" t="s">
        <v>503</v>
      </c>
    </row>
    <row r="80" spans="18:31">
      <c r="R80" s="2" t="s">
        <v>1356</v>
      </c>
      <c r="S80" s="2"/>
      <c r="T80" s="2" t="s">
        <v>1347</v>
      </c>
      <c r="Y80" s="86" t="s">
        <v>486</v>
      </c>
      <c r="Z80" s="86" t="s">
        <v>1294</v>
      </c>
      <c r="AA80" s="86" t="s">
        <v>1364</v>
      </c>
      <c r="AB80" s="86"/>
      <c r="AC80" s="80" t="str">
        <f t="shared" si="8"/>
        <v>&gt;34</v>
      </c>
      <c r="AE80" s="2" t="s">
        <v>506</v>
      </c>
    </row>
    <row r="81" spans="18:31">
      <c r="R81" s="2" t="s">
        <v>1356</v>
      </c>
      <c r="S81" s="2"/>
      <c r="T81" s="2" t="s">
        <v>1349</v>
      </c>
      <c r="Y81" s="86" t="s">
        <v>488</v>
      </c>
      <c r="Z81" s="86" t="s">
        <v>1294</v>
      </c>
      <c r="AA81" s="86" t="s">
        <v>1365</v>
      </c>
      <c r="AB81" s="86"/>
      <c r="AC81" s="80" t="str">
        <f t="shared" si="8"/>
        <v>&gt;34</v>
      </c>
      <c r="AE81" s="2" t="s">
        <v>505</v>
      </c>
    </row>
    <row r="82" spans="18:31">
      <c r="Y82" s="86" t="s">
        <v>490</v>
      </c>
      <c r="Z82" s="86" t="s">
        <v>1294</v>
      </c>
      <c r="AA82" s="86" t="s">
        <v>1366</v>
      </c>
      <c r="AB82" s="86"/>
      <c r="AC82" s="80" t="str">
        <f t="shared" si="8"/>
        <v>&gt;34</v>
      </c>
    </row>
    <row r="83" spans="18:31">
      <c r="Y83" s="86" t="s">
        <v>492</v>
      </c>
      <c r="Z83" s="86" t="s">
        <v>1294</v>
      </c>
      <c r="AA83" s="86" t="s">
        <v>1367</v>
      </c>
      <c r="AB83" s="86"/>
      <c r="AC83" s="80" t="str">
        <f t="shared" si="8"/>
        <v>&gt;34</v>
      </c>
    </row>
    <row r="86" spans="18:31">
      <c r="X86" t="s">
        <v>1287</v>
      </c>
      <c r="AA86" s="128" t="s">
        <v>1288</v>
      </c>
    </row>
    <row r="87" spans="18:31">
      <c r="X87" s="123" t="s">
        <v>546</v>
      </c>
      <c r="Y87" s="123" t="s">
        <v>4</v>
      </c>
      <c r="AA87" t="str">
        <f ca="1">J19&amp;"goms.xlsx"</f>
        <v>d:\글로벌백업(180329)\04.수수료작업\202108수수료\goms.xlsx</v>
      </c>
    </row>
    <row r="88" spans="18:31">
      <c r="X88" s="124" t="s">
        <v>1286</v>
      </c>
      <c r="Y88" s="125" t="s">
        <v>1290</v>
      </c>
    </row>
    <row r="89" spans="18:31">
      <c r="X89" s="124" t="s">
        <v>1286</v>
      </c>
      <c r="Y89" s="125" t="s">
        <v>1291</v>
      </c>
    </row>
    <row r="90" spans="18:31" ht="21.6">
      <c r="X90" s="124" t="s">
        <v>1286</v>
      </c>
      <c r="Y90" s="125" t="s">
        <v>1292</v>
      </c>
    </row>
    <row r="91" spans="18:31">
      <c r="X91" s="126" t="s">
        <v>1286</v>
      </c>
      <c r="Y91" s="127" t="s">
        <v>1293</v>
      </c>
    </row>
    <row r="92" spans="18:31">
      <c r="X92" s="2"/>
      <c r="Y92" s="2"/>
    </row>
    <row r="93" spans="18:31">
      <c r="X93" s="2"/>
      <c r="Y93" s="2"/>
    </row>
    <row r="94" spans="18:31">
      <c r="X94" s="2"/>
      <c r="Y94" s="2"/>
    </row>
    <row r="95" spans="18:31">
      <c r="X95" s="2"/>
      <c r="Y95" s="2"/>
    </row>
  </sheetData>
  <sortState xmlns:xlrd2="http://schemas.microsoft.com/office/spreadsheetml/2017/richdata2" ref="AU6:AX22">
    <sortCondition ref="AU6:AU22"/>
  </sortState>
  <mergeCells count="7">
    <mergeCell ref="M22:M23"/>
    <mergeCell ref="K7:L7"/>
    <mergeCell ref="A3:A4"/>
    <mergeCell ref="C3:D3"/>
    <mergeCell ref="E3:F3"/>
    <mergeCell ref="K5:L5"/>
    <mergeCell ref="K6:L6"/>
  </mergeCells>
  <phoneticPr fontId="1" type="noConversion"/>
  <dataValidations count="2">
    <dataValidation type="list" allowBlank="1" showInputMessage="1" showErrorMessage="1" sqref="P13" xr:uid="{00000000-0002-0000-0100-000000000000}">
      <formula1>$P$21:$P$29</formula1>
    </dataValidation>
    <dataValidation type="list" allowBlank="1" showInputMessage="1" showErrorMessage="1" sqref="K6:L6" xr:uid="{00000000-0002-0000-0100-000001000000}">
      <formula1>$O$5:$O$18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DataFromListFiles">
                <anchor moveWithCells="1" sizeWithCells="1">
                  <from>
                    <xdr:col>9</xdr:col>
                    <xdr:colOff>22860</xdr:colOff>
                    <xdr:row>11</xdr:row>
                    <xdr:rowOff>175260</xdr:rowOff>
                  </from>
                  <to>
                    <xdr:col>12</xdr:col>
                    <xdr:colOff>99060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P217"/>
  <sheetViews>
    <sheetView zoomScale="80" zoomScaleNormal="80" workbookViewId="0">
      <selection activeCell="C13" sqref="C13"/>
    </sheetView>
  </sheetViews>
  <sheetFormatPr defaultRowHeight="17.399999999999999"/>
  <cols>
    <col min="3" max="3" width="76.19921875" bestFit="1" customWidth="1"/>
    <col min="4" max="4" width="40.5" bestFit="1" customWidth="1"/>
    <col min="5" max="5" width="12.59765625" bestFit="1" customWidth="1"/>
    <col min="6" max="6" width="9" style="12"/>
    <col min="12" max="12" width="55.09765625" bestFit="1" customWidth="1"/>
    <col min="13" max="13" width="40.69921875" bestFit="1" customWidth="1"/>
  </cols>
  <sheetData>
    <row r="1" spans="1:6">
      <c r="A1" t="s">
        <v>52</v>
      </c>
    </row>
    <row r="2" spans="1:6">
      <c r="A2" s="4" t="s">
        <v>56</v>
      </c>
      <c r="B2" s="4" t="s">
        <v>75</v>
      </c>
      <c r="C2" s="4" t="s">
        <v>3</v>
      </c>
      <c r="D2" s="4" t="s">
        <v>1</v>
      </c>
      <c r="E2" s="4" t="s">
        <v>2</v>
      </c>
      <c r="F2" s="16" t="s">
        <v>170</v>
      </c>
    </row>
    <row r="3" spans="1:6">
      <c r="A3" s="4">
        <v>202108</v>
      </c>
      <c r="B3" s="4" t="s">
        <v>53</v>
      </c>
      <c r="C3" s="4" t="s">
        <v>1482</v>
      </c>
      <c r="D3" s="4" t="s">
        <v>1456</v>
      </c>
      <c r="E3" s="5" t="s">
        <v>7</v>
      </c>
      <c r="F3" s="16"/>
    </row>
    <row r="4" spans="1:6">
      <c r="A4" s="4">
        <v>202108</v>
      </c>
      <c r="B4" s="4" t="s">
        <v>209</v>
      </c>
      <c r="C4" s="4" t="s">
        <v>1482</v>
      </c>
      <c r="D4" s="4" t="s">
        <v>1455</v>
      </c>
      <c r="E4" s="5" t="s">
        <v>7</v>
      </c>
      <c r="F4" s="16"/>
    </row>
    <row r="5" spans="1:6">
      <c r="A5" s="4">
        <v>202108</v>
      </c>
      <c r="B5" s="4" t="s">
        <v>208</v>
      </c>
      <c r="C5" s="4" t="s">
        <v>1482</v>
      </c>
      <c r="D5" s="4" t="s">
        <v>1454</v>
      </c>
      <c r="E5" s="5" t="s">
        <v>7</v>
      </c>
      <c r="F5" s="16"/>
    </row>
    <row r="6" spans="1:6">
      <c r="A6" s="4">
        <v>202108</v>
      </c>
      <c r="B6" s="4" t="s">
        <v>1453</v>
      </c>
      <c r="C6" s="4" t="s">
        <v>1482</v>
      </c>
      <c r="D6" s="4" t="s">
        <v>1452</v>
      </c>
      <c r="E6" s="5" t="s">
        <v>7</v>
      </c>
      <c r="F6" s="16"/>
    </row>
    <row r="7" spans="1:6">
      <c r="A7" s="4">
        <v>202107</v>
      </c>
      <c r="B7" s="4" t="s">
        <v>53</v>
      </c>
      <c r="C7" s="4" t="s">
        <v>1483</v>
      </c>
      <c r="D7" s="4" t="s">
        <v>1447</v>
      </c>
      <c r="E7" s="5" t="s">
        <v>7</v>
      </c>
      <c r="F7" s="16"/>
    </row>
    <row r="8" spans="1:6">
      <c r="A8" s="4">
        <v>202107</v>
      </c>
      <c r="B8" s="4" t="s">
        <v>209</v>
      </c>
      <c r="C8" s="4" t="s">
        <v>1483</v>
      </c>
      <c r="D8" s="4" t="s">
        <v>1450</v>
      </c>
      <c r="E8" s="5" t="s">
        <v>7</v>
      </c>
      <c r="F8" s="16"/>
    </row>
    <row r="9" spans="1:6">
      <c r="A9" s="4">
        <v>202107</v>
      </c>
      <c r="B9" s="4" t="s">
        <v>208</v>
      </c>
      <c r="C9" s="4" t="s">
        <v>1483</v>
      </c>
      <c r="D9" s="4" t="s">
        <v>1449</v>
      </c>
      <c r="E9" s="5" t="s">
        <v>7</v>
      </c>
      <c r="F9" s="16"/>
    </row>
    <row r="10" spans="1:6">
      <c r="A10" s="4">
        <v>202107</v>
      </c>
      <c r="B10" s="4" t="s">
        <v>1286</v>
      </c>
      <c r="C10" s="4" t="s">
        <v>1483</v>
      </c>
      <c r="D10" s="4" t="s">
        <v>1448</v>
      </c>
      <c r="E10" s="5" t="s">
        <v>7</v>
      </c>
      <c r="F10" s="16"/>
    </row>
    <row r="11" spans="1:6">
      <c r="A11" s="4">
        <v>202106</v>
      </c>
      <c r="B11" s="4" t="s">
        <v>53</v>
      </c>
      <c r="C11" s="4" t="s">
        <v>1484</v>
      </c>
      <c r="D11" s="4" t="s">
        <v>1446</v>
      </c>
      <c r="E11" s="5" t="s">
        <v>7</v>
      </c>
      <c r="F11" s="16"/>
    </row>
    <row r="12" spans="1:6">
      <c r="A12" s="4">
        <v>202106</v>
      </c>
      <c r="B12" s="4" t="s">
        <v>209</v>
      </c>
      <c r="C12" s="4" t="s">
        <v>1484</v>
      </c>
      <c r="D12" s="4" t="s">
        <v>1445</v>
      </c>
      <c r="E12" s="5" t="s">
        <v>7</v>
      </c>
      <c r="F12" s="16"/>
    </row>
    <row r="13" spans="1:6">
      <c r="A13" s="4">
        <v>202106</v>
      </c>
      <c r="B13" s="4" t="s">
        <v>208</v>
      </c>
      <c r="C13" s="4" t="s">
        <v>1484</v>
      </c>
      <c r="D13" s="4" t="s">
        <v>1444</v>
      </c>
      <c r="E13" s="5" t="s">
        <v>7</v>
      </c>
      <c r="F13" s="16"/>
    </row>
    <row r="14" spans="1:6">
      <c r="A14" s="4">
        <v>202106</v>
      </c>
      <c r="B14" s="4" t="s">
        <v>1443</v>
      </c>
      <c r="C14" s="4" t="s">
        <v>1484</v>
      </c>
      <c r="D14" s="4" t="s">
        <v>1442</v>
      </c>
      <c r="E14" s="5" t="s">
        <v>7</v>
      </c>
      <c r="F14" s="16"/>
    </row>
    <row r="15" spans="1:6">
      <c r="A15" s="4">
        <v>202105</v>
      </c>
      <c r="B15" s="4" t="s">
        <v>53</v>
      </c>
      <c r="C15" s="4" t="s">
        <v>1485</v>
      </c>
      <c r="D15" s="4" t="s">
        <v>1439</v>
      </c>
      <c r="E15" s="5" t="s">
        <v>7</v>
      </c>
      <c r="F15" s="16"/>
    </row>
    <row r="16" spans="1:6">
      <c r="A16" s="4">
        <v>202105</v>
      </c>
      <c r="B16" s="4" t="s">
        <v>209</v>
      </c>
      <c r="C16" s="4" t="s">
        <v>1485</v>
      </c>
      <c r="D16" s="4" t="s">
        <v>1438</v>
      </c>
      <c r="E16" s="5" t="s">
        <v>7</v>
      </c>
      <c r="F16" s="16"/>
    </row>
    <row r="17" spans="1:6">
      <c r="A17" s="4">
        <v>202105</v>
      </c>
      <c r="B17" s="4" t="s">
        <v>208</v>
      </c>
      <c r="C17" s="4" t="s">
        <v>1485</v>
      </c>
      <c r="D17" s="4" t="s">
        <v>1437</v>
      </c>
      <c r="E17" s="5" t="s">
        <v>7</v>
      </c>
      <c r="F17" s="16"/>
    </row>
    <row r="18" spans="1:6">
      <c r="A18" s="4">
        <v>202105</v>
      </c>
      <c r="B18" s="4" t="s">
        <v>1436</v>
      </c>
      <c r="C18" s="4" t="s">
        <v>1485</v>
      </c>
      <c r="D18" s="4" t="s">
        <v>1435</v>
      </c>
      <c r="E18" s="5" t="s">
        <v>7</v>
      </c>
      <c r="F18" s="16"/>
    </row>
    <row r="19" spans="1:6">
      <c r="A19" s="4">
        <v>202104</v>
      </c>
      <c r="B19" s="4" t="s">
        <v>53</v>
      </c>
      <c r="C19" s="4" t="s">
        <v>1325</v>
      </c>
      <c r="D19" s="4" t="s">
        <v>1341</v>
      </c>
      <c r="E19" s="5" t="s">
        <v>7</v>
      </c>
      <c r="F19" s="16"/>
    </row>
    <row r="20" spans="1:6">
      <c r="A20" s="4">
        <v>202104</v>
      </c>
      <c r="B20" s="4" t="s">
        <v>209</v>
      </c>
      <c r="C20" s="4" t="s">
        <v>1325</v>
      </c>
      <c r="D20" s="4" t="s">
        <v>1340</v>
      </c>
      <c r="E20" s="5" t="s">
        <v>7</v>
      </c>
      <c r="F20" s="16"/>
    </row>
    <row r="21" spans="1:6">
      <c r="A21" s="4">
        <v>202104</v>
      </c>
      <c r="B21" s="4" t="s">
        <v>208</v>
      </c>
      <c r="C21" s="4" t="s">
        <v>1325</v>
      </c>
      <c r="D21" s="4" t="s">
        <v>1339</v>
      </c>
      <c r="E21" s="5" t="s">
        <v>7</v>
      </c>
      <c r="F21" s="16"/>
    </row>
    <row r="22" spans="1:6">
      <c r="A22" s="4">
        <v>202104</v>
      </c>
      <c r="B22" s="4" t="s">
        <v>1338</v>
      </c>
      <c r="C22" s="4" t="s">
        <v>1325</v>
      </c>
      <c r="D22" s="4" t="s">
        <v>1337</v>
      </c>
      <c r="E22" s="5" t="s">
        <v>7</v>
      </c>
      <c r="F22" s="16"/>
    </row>
    <row r="23" spans="1:6">
      <c r="A23" s="4">
        <v>202103</v>
      </c>
      <c r="B23" s="4" t="s">
        <v>53</v>
      </c>
      <c r="C23" s="4" t="s">
        <v>1289</v>
      </c>
      <c r="D23" s="4" t="s">
        <v>1305</v>
      </c>
      <c r="E23" s="5" t="s">
        <v>7</v>
      </c>
      <c r="F23" s="16"/>
    </row>
    <row r="24" spans="1:6">
      <c r="A24" s="4">
        <v>202103</v>
      </c>
      <c r="B24" s="4" t="s">
        <v>209</v>
      </c>
      <c r="C24" s="4" t="s">
        <v>1289</v>
      </c>
      <c r="D24" s="4" t="s">
        <v>1304</v>
      </c>
      <c r="E24" s="5" t="s">
        <v>7</v>
      </c>
      <c r="F24" s="16"/>
    </row>
    <row r="25" spans="1:6">
      <c r="A25" s="4">
        <v>202103</v>
      </c>
      <c r="B25" s="4" t="s">
        <v>208</v>
      </c>
      <c r="C25" s="4" t="s">
        <v>1289</v>
      </c>
      <c r="D25" s="4" t="s">
        <v>1303</v>
      </c>
      <c r="E25" s="5" t="s">
        <v>7</v>
      </c>
      <c r="F25" s="16"/>
    </row>
    <row r="26" spans="1:6">
      <c r="A26" s="4">
        <v>202103</v>
      </c>
      <c r="B26" s="4" t="s">
        <v>1302</v>
      </c>
      <c r="C26" s="4" t="s">
        <v>1289</v>
      </c>
      <c r="D26" s="4" t="s">
        <v>1301</v>
      </c>
      <c r="E26" s="5" t="s">
        <v>7</v>
      </c>
      <c r="F26" s="16"/>
    </row>
    <row r="27" spans="1:6">
      <c r="A27" s="4">
        <v>202102</v>
      </c>
      <c r="B27" s="4" t="s">
        <v>53</v>
      </c>
      <c r="C27" s="4" t="s">
        <v>1486</v>
      </c>
      <c r="D27" s="4" t="s">
        <v>1285</v>
      </c>
      <c r="E27" s="5" t="s">
        <v>7</v>
      </c>
      <c r="F27" s="16"/>
    </row>
    <row r="28" spans="1:6">
      <c r="A28" s="4">
        <v>202102</v>
      </c>
      <c r="B28" s="4" t="s">
        <v>209</v>
      </c>
      <c r="C28" s="4" t="s">
        <v>1486</v>
      </c>
      <c r="D28" s="4" t="s">
        <v>1284</v>
      </c>
      <c r="E28" s="5" t="s">
        <v>7</v>
      </c>
      <c r="F28" s="16"/>
    </row>
    <row r="29" spans="1:6">
      <c r="A29" s="4">
        <v>202102</v>
      </c>
      <c r="B29" s="4" t="s">
        <v>208</v>
      </c>
      <c r="C29" s="4" t="s">
        <v>1486</v>
      </c>
      <c r="D29" s="4" t="s">
        <v>1283</v>
      </c>
      <c r="E29" s="5" t="s">
        <v>7</v>
      </c>
      <c r="F29" s="16"/>
    </row>
    <row r="30" spans="1:6">
      <c r="A30" s="4">
        <v>202102</v>
      </c>
      <c r="B30" s="4" t="s">
        <v>1282</v>
      </c>
      <c r="C30" s="4" t="s">
        <v>1486</v>
      </c>
      <c r="D30" s="4" t="s">
        <v>1281</v>
      </c>
      <c r="E30" s="5" t="s">
        <v>7</v>
      </c>
      <c r="F30" s="16"/>
    </row>
    <row r="31" spans="1:6">
      <c r="A31" s="4">
        <v>202101</v>
      </c>
      <c r="B31" s="4" t="s">
        <v>53</v>
      </c>
      <c r="C31" s="4" t="s">
        <v>1487</v>
      </c>
      <c r="D31" s="4" t="s">
        <v>1280</v>
      </c>
      <c r="E31" s="5" t="s">
        <v>7</v>
      </c>
      <c r="F31" s="16"/>
    </row>
    <row r="32" spans="1:6">
      <c r="A32" s="4">
        <v>202101</v>
      </c>
      <c r="B32" s="4" t="s">
        <v>209</v>
      </c>
      <c r="C32" s="4" t="s">
        <v>1487</v>
      </c>
      <c r="D32" s="4" t="s">
        <v>1279</v>
      </c>
      <c r="E32" s="5" t="s">
        <v>7</v>
      </c>
      <c r="F32" s="16"/>
    </row>
    <row r="33" spans="1:6">
      <c r="A33" s="4">
        <v>202101</v>
      </c>
      <c r="B33" s="4" t="s">
        <v>208</v>
      </c>
      <c r="C33" s="4" t="s">
        <v>1487</v>
      </c>
      <c r="D33" s="4" t="s">
        <v>1278</v>
      </c>
      <c r="E33" s="5" t="s">
        <v>7</v>
      </c>
      <c r="F33" s="16"/>
    </row>
    <row r="34" spans="1:6">
      <c r="A34" s="4">
        <v>202101</v>
      </c>
      <c r="B34" s="4" t="s">
        <v>1277</v>
      </c>
      <c r="C34" s="4" t="s">
        <v>1487</v>
      </c>
      <c r="D34" s="4" t="s">
        <v>1276</v>
      </c>
      <c r="E34" s="5" t="s">
        <v>7</v>
      </c>
      <c r="F34" s="16"/>
    </row>
    <row r="35" spans="1:6">
      <c r="A35" s="4">
        <v>202012</v>
      </c>
      <c r="B35" s="4" t="s">
        <v>53</v>
      </c>
      <c r="C35" s="4" t="s">
        <v>1488</v>
      </c>
      <c r="D35" s="4" t="s">
        <v>1274</v>
      </c>
      <c r="E35" s="5" t="s">
        <v>7</v>
      </c>
      <c r="F35" s="16"/>
    </row>
    <row r="36" spans="1:6">
      <c r="A36" s="4">
        <v>202012</v>
      </c>
      <c r="B36" s="4" t="s">
        <v>209</v>
      </c>
      <c r="C36" s="4" t="s">
        <v>1488</v>
      </c>
      <c r="D36" s="4" t="s">
        <v>1272</v>
      </c>
      <c r="E36" s="5" t="s">
        <v>7</v>
      </c>
      <c r="F36" s="16"/>
    </row>
    <row r="37" spans="1:6">
      <c r="A37" s="4">
        <v>202012</v>
      </c>
      <c r="B37" s="4" t="s">
        <v>208</v>
      </c>
      <c r="C37" s="4" t="s">
        <v>1488</v>
      </c>
      <c r="D37" s="4" t="s">
        <v>1271</v>
      </c>
      <c r="E37" s="5" t="s">
        <v>7</v>
      </c>
      <c r="F37" s="16"/>
    </row>
    <row r="38" spans="1:6">
      <c r="A38" s="4">
        <v>202012</v>
      </c>
      <c r="B38" s="4" t="s">
        <v>1275</v>
      </c>
      <c r="C38" s="4" t="s">
        <v>1488</v>
      </c>
      <c r="D38" s="4" t="s">
        <v>1273</v>
      </c>
      <c r="E38" s="5" t="s">
        <v>7</v>
      </c>
      <c r="F38" s="16"/>
    </row>
    <row r="39" spans="1:6">
      <c r="A39" s="4">
        <v>202011</v>
      </c>
      <c r="B39" s="4" t="s">
        <v>208</v>
      </c>
      <c r="C39" s="4" t="s">
        <v>1489</v>
      </c>
      <c r="D39" s="4" t="s">
        <v>1269</v>
      </c>
      <c r="E39" s="5" t="s">
        <v>7</v>
      </c>
      <c r="F39" s="16"/>
    </row>
    <row r="40" spans="1:6">
      <c r="A40" s="4">
        <v>202011</v>
      </c>
      <c r="B40" s="4" t="s">
        <v>209</v>
      </c>
      <c r="C40" s="4" t="s">
        <v>1489</v>
      </c>
      <c r="D40" s="4" t="s">
        <v>1268</v>
      </c>
      <c r="E40" s="5" t="s">
        <v>7</v>
      </c>
      <c r="F40" s="16"/>
    </row>
    <row r="41" spans="1:6">
      <c r="A41" s="4">
        <v>202011</v>
      </c>
      <c r="B41" s="4" t="s">
        <v>1267</v>
      </c>
      <c r="C41" s="4" t="s">
        <v>1489</v>
      </c>
      <c r="D41" s="4" t="s">
        <v>1270</v>
      </c>
      <c r="E41" s="5" t="s">
        <v>7</v>
      </c>
      <c r="F41" s="16"/>
    </row>
    <row r="42" spans="1:6">
      <c r="A42" s="4">
        <v>202011</v>
      </c>
      <c r="B42" s="4" t="s">
        <v>53</v>
      </c>
      <c r="C42" s="4" t="s">
        <v>1489</v>
      </c>
      <c r="D42" s="4" t="s">
        <v>1266</v>
      </c>
      <c r="E42" s="5" t="s">
        <v>7</v>
      </c>
      <c r="F42" s="16"/>
    </row>
    <row r="43" spans="1:6">
      <c r="A43" s="4">
        <v>202010</v>
      </c>
      <c r="B43" s="4" t="s">
        <v>1263</v>
      </c>
      <c r="C43" s="4" t="s">
        <v>1490</v>
      </c>
      <c r="D43" s="4" t="s">
        <v>1264</v>
      </c>
      <c r="E43" s="5" t="s">
        <v>7</v>
      </c>
      <c r="F43" s="16"/>
    </row>
    <row r="44" spans="1:6">
      <c r="A44" s="4">
        <v>202010</v>
      </c>
      <c r="B44" s="4" t="s">
        <v>53</v>
      </c>
      <c r="C44" s="4" t="s">
        <v>1490</v>
      </c>
      <c r="D44" s="4" t="s">
        <v>1265</v>
      </c>
      <c r="E44" s="5" t="s">
        <v>7</v>
      </c>
      <c r="F44" s="16"/>
    </row>
    <row r="45" spans="1:6">
      <c r="A45" s="4">
        <v>202010</v>
      </c>
      <c r="B45" s="4" t="s">
        <v>209</v>
      </c>
      <c r="C45" s="4" t="s">
        <v>1490</v>
      </c>
      <c r="D45" s="4" t="s">
        <v>1262</v>
      </c>
      <c r="E45" s="5" t="s">
        <v>7</v>
      </c>
      <c r="F45" s="16"/>
    </row>
    <row r="46" spans="1:6">
      <c r="A46" s="4">
        <v>202010</v>
      </c>
      <c r="B46" s="4" t="s">
        <v>208</v>
      </c>
      <c r="C46" s="4" t="s">
        <v>1490</v>
      </c>
      <c r="D46" s="4" t="s">
        <v>1261</v>
      </c>
      <c r="E46" s="5" t="s">
        <v>7</v>
      </c>
      <c r="F46" s="16"/>
    </row>
    <row r="47" spans="1:6">
      <c r="A47" s="4">
        <v>202009</v>
      </c>
      <c r="B47" s="4" t="s">
        <v>1260</v>
      </c>
      <c r="C47" s="4" t="s">
        <v>1491</v>
      </c>
      <c r="D47" s="4" t="s">
        <v>1259</v>
      </c>
      <c r="E47" s="5" t="s">
        <v>7</v>
      </c>
      <c r="F47" s="16"/>
    </row>
    <row r="48" spans="1:6">
      <c r="A48" s="4">
        <v>202009</v>
      </c>
      <c r="B48" s="4" t="s">
        <v>209</v>
      </c>
      <c r="C48" s="4" t="s">
        <v>1491</v>
      </c>
      <c r="D48" s="4" t="s">
        <v>1258</v>
      </c>
      <c r="E48" s="5" t="s">
        <v>7</v>
      </c>
      <c r="F48" s="16"/>
    </row>
    <row r="49" spans="1:6">
      <c r="A49" s="4">
        <v>202009</v>
      </c>
      <c r="B49" s="4" t="s">
        <v>208</v>
      </c>
      <c r="C49" s="4" t="s">
        <v>1491</v>
      </c>
      <c r="D49" s="4" t="s">
        <v>1257</v>
      </c>
      <c r="E49" s="5" t="s">
        <v>7</v>
      </c>
      <c r="F49" s="16"/>
    </row>
    <row r="50" spans="1:6">
      <c r="A50" s="4">
        <v>202009</v>
      </c>
      <c r="B50" s="4" t="s">
        <v>53</v>
      </c>
      <c r="C50" s="4" t="s">
        <v>1491</v>
      </c>
      <c r="D50" s="4" t="s">
        <v>1256</v>
      </c>
      <c r="E50" s="5" t="s">
        <v>7</v>
      </c>
      <c r="F50" s="16"/>
    </row>
    <row r="51" spans="1:6">
      <c r="A51" s="4">
        <v>202008</v>
      </c>
      <c r="B51" s="4" t="s">
        <v>53</v>
      </c>
      <c r="C51" s="4" t="s">
        <v>1492</v>
      </c>
      <c r="D51" s="4" t="s">
        <v>1255</v>
      </c>
      <c r="E51" s="5" t="s">
        <v>7</v>
      </c>
      <c r="F51" s="16"/>
    </row>
    <row r="52" spans="1:6">
      <c r="A52" s="4">
        <v>202008</v>
      </c>
      <c r="B52" s="4" t="s">
        <v>209</v>
      </c>
      <c r="C52" s="4" t="s">
        <v>1492</v>
      </c>
      <c r="D52" s="4" t="s">
        <v>1254</v>
      </c>
      <c r="E52" s="5" t="s">
        <v>7</v>
      </c>
      <c r="F52" s="16"/>
    </row>
    <row r="53" spans="1:6">
      <c r="A53" s="4">
        <v>202008</v>
      </c>
      <c r="B53" s="4" t="s">
        <v>208</v>
      </c>
      <c r="C53" s="4" t="s">
        <v>1492</v>
      </c>
      <c r="D53" s="4" t="s">
        <v>1253</v>
      </c>
      <c r="E53" s="5" t="s">
        <v>7</v>
      </c>
      <c r="F53" s="16"/>
    </row>
    <row r="54" spans="1:6">
      <c r="A54" s="4">
        <v>202008</v>
      </c>
      <c r="B54" s="4" t="s">
        <v>30</v>
      </c>
      <c r="C54" s="4" t="s">
        <v>1492</v>
      </c>
      <c r="D54" s="4" t="s">
        <v>1252</v>
      </c>
      <c r="E54" s="5" t="s">
        <v>7</v>
      </c>
      <c r="F54" s="16"/>
    </row>
    <row r="55" spans="1:6">
      <c r="A55" s="4">
        <v>202007</v>
      </c>
      <c r="B55" s="4" t="s">
        <v>53</v>
      </c>
      <c r="C55" s="4" t="s">
        <v>1493</v>
      </c>
      <c r="D55" s="4" t="s">
        <v>1251</v>
      </c>
      <c r="E55" s="5" t="s">
        <v>7</v>
      </c>
      <c r="F55" s="16"/>
    </row>
    <row r="56" spans="1:6">
      <c r="A56" s="4">
        <v>202007</v>
      </c>
      <c r="B56" s="4" t="s">
        <v>209</v>
      </c>
      <c r="C56" s="4" t="s">
        <v>1493</v>
      </c>
      <c r="D56" s="4" t="s">
        <v>1250</v>
      </c>
      <c r="E56" s="5" t="s">
        <v>7</v>
      </c>
      <c r="F56" s="16"/>
    </row>
    <row r="57" spans="1:6">
      <c r="A57" s="4">
        <v>202007</v>
      </c>
      <c r="B57" s="4" t="s">
        <v>208</v>
      </c>
      <c r="C57" s="4" t="s">
        <v>1493</v>
      </c>
      <c r="D57" s="4" t="s">
        <v>1249</v>
      </c>
      <c r="E57" s="5" t="s">
        <v>7</v>
      </c>
      <c r="F57" s="16"/>
    </row>
    <row r="58" spans="1:6">
      <c r="A58" s="4">
        <v>202007</v>
      </c>
      <c r="B58" s="4" t="s">
        <v>1248</v>
      </c>
      <c r="C58" s="4" t="s">
        <v>1493</v>
      </c>
      <c r="D58" s="4" t="s">
        <v>1247</v>
      </c>
      <c r="E58" s="5" t="s">
        <v>7</v>
      </c>
      <c r="F58" s="16"/>
    </row>
    <row r="59" spans="1:6">
      <c r="A59" s="4">
        <v>202006</v>
      </c>
      <c r="B59" s="4" t="s">
        <v>30</v>
      </c>
      <c r="C59" s="4" t="s">
        <v>1494</v>
      </c>
      <c r="D59" s="4" t="s">
        <v>1246</v>
      </c>
      <c r="E59" s="5" t="s">
        <v>7</v>
      </c>
      <c r="F59" s="16"/>
    </row>
    <row r="60" spans="1:6">
      <c r="A60" s="4">
        <v>202006</v>
      </c>
      <c r="B60" s="4" t="s">
        <v>53</v>
      </c>
      <c r="C60" s="4" t="s">
        <v>1494</v>
      </c>
      <c r="D60" s="4" t="s">
        <v>1245</v>
      </c>
      <c r="E60" s="5" t="s">
        <v>7</v>
      </c>
      <c r="F60" s="16"/>
    </row>
    <row r="61" spans="1:6">
      <c r="A61" s="4">
        <v>202006</v>
      </c>
      <c r="B61" s="4" t="s">
        <v>209</v>
      </c>
      <c r="C61" s="4" t="s">
        <v>1494</v>
      </c>
      <c r="D61" s="4" t="s">
        <v>1244</v>
      </c>
      <c r="E61" s="5" t="s">
        <v>7</v>
      </c>
      <c r="F61" s="16"/>
    </row>
    <row r="62" spans="1:6">
      <c r="A62" s="4">
        <v>202006</v>
      </c>
      <c r="B62" s="4" t="s">
        <v>208</v>
      </c>
      <c r="C62" s="4" t="s">
        <v>1494</v>
      </c>
      <c r="D62" s="4" t="s">
        <v>1243</v>
      </c>
      <c r="E62" s="5" t="s">
        <v>7</v>
      </c>
      <c r="F62" s="16"/>
    </row>
    <row r="63" spans="1:6">
      <c r="A63" s="4">
        <v>202005</v>
      </c>
      <c r="B63" s="4" t="s">
        <v>53</v>
      </c>
      <c r="C63" s="4" t="s">
        <v>1495</v>
      </c>
      <c r="D63" s="4" t="s">
        <v>606</v>
      </c>
      <c r="E63" s="5" t="s">
        <v>7</v>
      </c>
      <c r="F63" s="16"/>
    </row>
    <row r="64" spans="1:6">
      <c r="A64" s="4">
        <v>202005</v>
      </c>
      <c r="B64" s="4" t="s">
        <v>209</v>
      </c>
      <c r="C64" s="4" t="s">
        <v>1495</v>
      </c>
      <c r="D64" s="4" t="s">
        <v>605</v>
      </c>
      <c r="E64" s="5" t="s">
        <v>7</v>
      </c>
      <c r="F64" s="16"/>
    </row>
    <row r="65" spans="1:6">
      <c r="A65" s="4">
        <v>202005</v>
      </c>
      <c r="B65" s="4" t="s">
        <v>208</v>
      </c>
      <c r="C65" s="4" t="s">
        <v>1495</v>
      </c>
      <c r="D65" s="4" t="s">
        <v>604</v>
      </c>
      <c r="E65" s="5" t="s">
        <v>7</v>
      </c>
      <c r="F65" s="16"/>
    </row>
    <row r="66" spans="1:6">
      <c r="A66" s="4">
        <v>202005</v>
      </c>
      <c r="B66" s="4" t="s">
        <v>603</v>
      </c>
      <c r="C66" s="4" t="s">
        <v>1495</v>
      </c>
      <c r="D66" s="4" t="s">
        <v>607</v>
      </c>
      <c r="E66" s="5" t="s">
        <v>7</v>
      </c>
      <c r="F66" s="16"/>
    </row>
    <row r="67" spans="1:6">
      <c r="A67" s="4">
        <v>202004</v>
      </c>
      <c r="B67" s="4" t="s">
        <v>53</v>
      </c>
      <c r="C67" s="4" t="s">
        <v>1496</v>
      </c>
      <c r="D67" s="4" t="s">
        <v>533</v>
      </c>
      <c r="E67" s="5" t="s">
        <v>7</v>
      </c>
      <c r="F67" s="16"/>
    </row>
    <row r="68" spans="1:6">
      <c r="A68" s="4">
        <v>202004</v>
      </c>
      <c r="B68" s="4" t="s">
        <v>209</v>
      </c>
      <c r="C68" s="4" t="s">
        <v>1496</v>
      </c>
      <c r="D68" s="4" t="s">
        <v>532</v>
      </c>
      <c r="E68" s="5" t="s">
        <v>7</v>
      </c>
      <c r="F68" s="16"/>
    </row>
    <row r="69" spans="1:6">
      <c r="A69" s="4">
        <v>202004</v>
      </c>
      <c r="B69" s="4" t="s">
        <v>208</v>
      </c>
      <c r="C69" s="4" t="s">
        <v>1496</v>
      </c>
      <c r="D69" s="4" t="s">
        <v>531</v>
      </c>
      <c r="E69" s="5" t="s">
        <v>7</v>
      </c>
      <c r="F69" s="16"/>
    </row>
    <row r="70" spans="1:6">
      <c r="A70" s="4">
        <v>202004</v>
      </c>
      <c r="B70" s="4" t="s">
        <v>530</v>
      </c>
      <c r="C70" s="4" t="s">
        <v>1496</v>
      </c>
      <c r="D70" s="4" t="s">
        <v>529</v>
      </c>
      <c r="E70" s="5" t="s">
        <v>7</v>
      </c>
      <c r="F70" s="16"/>
    </row>
    <row r="71" spans="1:6">
      <c r="A71" s="4">
        <v>202003</v>
      </c>
      <c r="B71" s="4" t="s">
        <v>53</v>
      </c>
      <c r="C71" s="4" t="s">
        <v>1497</v>
      </c>
      <c r="D71" s="4" t="s">
        <v>528</v>
      </c>
      <c r="E71" s="5" t="s">
        <v>7</v>
      </c>
      <c r="F71" s="16"/>
    </row>
    <row r="72" spans="1:6">
      <c r="A72" s="4">
        <v>202003</v>
      </c>
      <c r="B72" s="4" t="s">
        <v>209</v>
      </c>
      <c r="C72" s="4" t="s">
        <v>1497</v>
      </c>
      <c r="D72" s="4" t="s">
        <v>527</v>
      </c>
      <c r="E72" s="5" t="s">
        <v>7</v>
      </c>
      <c r="F72" s="16"/>
    </row>
    <row r="73" spans="1:6">
      <c r="A73" s="4">
        <v>202003</v>
      </c>
      <c r="B73" s="4" t="s">
        <v>208</v>
      </c>
      <c r="C73" s="4" t="s">
        <v>1497</v>
      </c>
      <c r="D73" s="4" t="s">
        <v>526</v>
      </c>
      <c r="E73" s="5" t="s">
        <v>7</v>
      </c>
      <c r="F73" s="16"/>
    </row>
    <row r="74" spans="1:6">
      <c r="A74" s="4">
        <v>202003</v>
      </c>
      <c r="B74" s="4" t="s">
        <v>525</v>
      </c>
      <c r="C74" s="4" t="s">
        <v>1497</v>
      </c>
      <c r="D74" s="4" t="s">
        <v>524</v>
      </c>
      <c r="E74" s="5" t="s">
        <v>7</v>
      </c>
      <c r="F74" s="16"/>
    </row>
    <row r="75" spans="1:6">
      <c r="A75" s="4">
        <v>202002</v>
      </c>
      <c r="B75" s="4" t="s">
        <v>53</v>
      </c>
      <c r="C75" s="4" t="s">
        <v>1498</v>
      </c>
      <c r="D75" s="4" t="s">
        <v>523</v>
      </c>
      <c r="E75" s="5" t="s">
        <v>7</v>
      </c>
      <c r="F75" s="16"/>
    </row>
    <row r="76" spans="1:6">
      <c r="A76" s="4">
        <v>202002</v>
      </c>
      <c r="B76" s="4" t="s">
        <v>209</v>
      </c>
      <c r="C76" s="4" t="s">
        <v>1498</v>
      </c>
      <c r="D76" s="4" t="s">
        <v>522</v>
      </c>
      <c r="E76" s="5" t="s">
        <v>7</v>
      </c>
      <c r="F76" s="16"/>
    </row>
    <row r="77" spans="1:6">
      <c r="A77" s="4">
        <v>202002</v>
      </c>
      <c r="B77" s="4" t="s">
        <v>208</v>
      </c>
      <c r="C77" s="4" t="s">
        <v>1498</v>
      </c>
      <c r="D77" s="4" t="s">
        <v>521</v>
      </c>
      <c r="E77" s="5" t="s">
        <v>7</v>
      </c>
      <c r="F77" s="16"/>
    </row>
    <row r="78" spans="1:6">
      <c r="A78" s="4">
        <v>202002</v>
      </c>
      <c r="B78" s="4" t="s">
        <v>520</v>
      </c>
      <c r="C78" s="4" t="s">
        <v>1498</v>
      </c>
      <c r="D78" s="4" t="s">
        <v>519</v>
      </c>
      <c r="E78" s="5" t="s">
        <v>7</v>
      </c>
      <c r="F78" s="16"/>
    </row>
    <row r="79" spans="1:6">
      <c r="A79" s="4">
        <v>202001</v>
      </c>
      <c r="B79" s="4" t="s">
        <v>53</v>
      </c>
      <c r="C79" s="4" t="s">
        <v>1499</v>
      </c>
      <c r="D79" s="4" t="s">
        <v>515</v>
      </c>
      <c r="E79" s="5" t="s">
        <v>7</v>
      </c>
      <c r="F79" s="16"/>
    </row>
    <row r="80" spans="1:6">
      <c r="A80" s="4">
        <v>202001</v>
      </c>
      <c r="B80" s="4" t="s">
        <v>209</v>
      </c>
      <c r="C80" s="4" t="s">
        <v>1499</v>
      </c>
      <c r="D80" s="4" t="s">
        <v>514</v>
      </c>
      <c r="E80" s="5" t="s">
        <v>7</v>
      </c>
      <c r="F80" s="16"/>
    </row>
    <row r="81" spans="1:6">
      <c r="A81" s="4">
        <v>202001</v>
      </c>
      <c r="B81" s="4" t="s">
        <v>208</v>
      </c>
      <c r="C81" s="4" t="s">
        <v>1499</v>
      </c>
      <c r="D81" s="4" t="s">
        <v>513</v>
      </c>
      <c r="E81" s="5" t="s">
        <v>7</v>
      </c>
      <c r="F81" s="16"/>
    </row>
    <row r="82" spans="1:6">
      <c r="A82" s="4">
        <v>202001</v>
      </c>
      <c r="B82" s="4" t="s">
        <v>512</v>
      </c>
      <c r="C82" s="4" t="s">
        <v>1499</v>
      </c>
      <c r="D82" s="4" t="s">
        <v>511</v>
      </c>
      <c r="E82" s="5" t="s">
        <v>7</v>
      </c>
      <c r="F82" s="16"/>
    </row>
    <row r="83" spans="1:6">
      <c r="A83" s="4">
        <v>201912</v>
      </c>
      <c r="B83" s="4" t="s">
        <v>53</v>
      </c>
      <c r="C83" s="4" t="s">
        <v>1500</v>
      </c>
      <c r="D83" s="4" t="s">
        <v>472</v>
      </c>
      <c r="E83" s="5" t="s">
        <v>7</v>
      </c>
      <c r="F83" s="16"/>
    </row>
    <row r="84" spans="1:6">
      <c r="A84" s="4">
        <v>201912</v>
      </c>
      <c r="B84" s="4" t="s">
        <v>209</v>
      </c>
      <c r="C84" s="4" t="s">
        <v>1500</v>
      </c>
      <c r="D84" s="4" t="s">
        <v>471</v>
      </c>
      <c r="E84" s="5" t="s">
        <v>7</v>
      </c>
      <c r="F84" s="16"/>
    </row>
    <row r="85" spans="1:6">
      <c r="A85" s="4">
        <v>201912</v>
      </c>
      <c r="B85" s="4" t="s">
        <v>208</v>
      </c>
      <c r="C85" s="4" t="s">
        <v>1500</v>
      </c>
      <c r="D85" s="4" t="s">
        <v>470</v>
      </c>
      <c r="E85" s="5" t="s">
        <v>7</v>
      </c>
      <c r="F85" s="16"/>
    </row>
    <row r="86" spans="1:6">
      <c r="A86" s="4">
        <v>201912</v>
      </c>
      <c r="B86" s="4" t="s">
        <v>469</v>
      </c>
      <c r="C86" s="4" t="s">
        <v>1500</v>
      </c>
      <c r="D86" s="4" t="s">
        <v>468</v>
      </c>
      <c r="E86" s="5" t="s">
        <v>7</v>
      </c>
      <c r="F86" s="16"/>
    </row>
    <row r="87" spans="1:6">
      <c r="A87" s="4">
        <v>201911</v>
      </c>
      <c r="B87" s="4" t="s">
        <v>53</v>
      </c>
      <c r="C87" s="4" t="s">
        <v>1501</v>
      </c>
      <c r="D87" s="4" t="s">
        <v>464</v>
      </c>
      <c r="E87" s="5" t="s">
        <v>7</v>
      </c>
      <c r="F87" s="16"/>
    </row>
    <row r="88" spans="1:6">
      <c r="A88" s="4">
        <v>201911</v>
      </c>
      <c r="B88" s="4" t="s">
        <v>209</v>
      </c>
      <c r="C88" s="4" t="s">
        <v>1501</v>
      </c>
      <c r="D88" s="4" t="s">
        <v>463</v>
      </c>
      <c r="E88" s="5" t="s">
        <v>7</v>
      </c>
      <c r="F88" s="16"/>
    </row>
    <row r="89" spans="1:6">
      <c r="A89" s="4">
        <v>201911</v>
      </c>
      <c r="B89" s="4" t="s">
        <v>208</v>
      </c>
      <c r="C89" s="4" t="s">
        <v>1501</v>
      </c>
      <c r="D89" s="4" t="s">
        <v>462</v>
      </c>
      <c r="E89" s="5" t="s">
        <v>7</v>
      </c>
      <c r="F89" s="16"/>
    </row>
    <row r="90" spans="1:6">
      <c r="A90" s="4">
        <v>201911</v>
      </c>
      <c r="B90" s="4" t="s">
        <v>461</v>
      </c>
      <c r="C90" s="4" t="s">
        <v>1501</v>
      </c>
      <c r="D90" s="4" t="s">
        <v>460</v>
      </c>
      <c r="E90" s="5" t="s">
        <v>7</v>
      </c>
      <c r="F90" s="16"/>
    </row>
    <row r="91" spans="1:6">
      <c r="A91" s="4">
        <v>201910</v>
      </c>
      <c r="B91" s="4" t="s">
        <v>53</v>
      </c>
      <c r="C91" s="4" t="s">
        <v>1502</v>
      </c>
      <c r="D91" s="4" t="s">
        <v>458</v>
      </c>
      <c r="E91" s="5" t="s">
        <v>7</v>
      </c>
      <c r="F91" s="16"/>
    </row>
    <row r="92" spans="1:6">
      <c r="A92" s="4">
        <v>201910</v>
      </c>
      <c r="B92" s="4" t="s">
        <v>209</v>
      </c>
      <c r="C92" s="4" t="s">
        <v>1502</v>
      </c>
      <c r="D92" s="4" t="s">
        <v>456</v>
      </c>
      <c r="E92" s="5" t="s">
        <v>7</v>
      </c>
      <c r="F92" s="16"/>
    </row>
    <row r="93" spans="1:6">
      <c r="A93" s="4">
        <v>201910</v>
      </c>
      <c r="B93" s="4" t="s">
        <v>208</v>
      </c>
      <c r="C93" s="4" t="s">
        <v>1502</v>
      </c>
      <c r="D93" s="4" t="s">
        <v>455</v>
      </c>
      <c r="E93" s="5" t="s">
        <v>7</v>
      </c>
      <c r="F93" s="16"/>
    </row>
    <row r="94" spans="1:6">
      <c r="A94" s="4">
        <v>201910</v>
      </c>
      <c r="B94" s="4" t="s">
        <v>457</v>
      </c>
      <c r="C94" s="4" t="s">
        <v>1502</v>
      </c>
      <c r="D94" s="4" t="s">
        <v>459</v>
      </c>
      <c r="E94" s="5" t="s">
        <v>7</v>
      </c>
      <c r="F94" s="16"/>
    </row>
    <row r="95" spans="1:6">
      <c r="A95" s="4">
        <v>201909</v>
      </c>
      <c r="B95" s="4" t="s">
        <v>53</v>
      </c>
      <c r="C95" s="4" t="s">
        <v>1503</v>
      </c>
      <c r="D95" s="4" t="s">
        <v>454</v>
      </c>
      <c r="E95" s="5" t="s">
        <v>7</v>
      </c>
      <c r="F95" s="16"/>
    </row>
    <row r="96" spans="1:6">
      <c r="A96" s="4">
        <v>201909</v>
      </c>
      <c r="B96" s="4" t="s">
        <v>209</v>
      </c>
      <c r="C96" s="4" t="s">
        <v>1503</v>
      </c>
      <c r="D96" s="4" t="s">
        <v>453</v>
      </c>
      <c r="E96" s="5" t="s">
        <v>7</v>
      </c>
      <c r="F96" s="16"/>
    </row>
    <row r="97" spans="1:8">
      <c r="A97" s="4">
        <v>201909</v>
      </c>
      <c r="B97" s="4" t="s">
        <v>208</v>
      </c>
      <c r="C97" s="4" t="s">
        <v>1503</v>
      </c>
      <c r="D97" s="4" t="s">
        <v>452</v>
      </c>
      <c r="E97" s="5" t="s">
        <v>7</v>
      </c>
      <c r="F97" s="16"/>
      <c r="H97" t="s">
        <v>171</v>
      </c>
    </row>
    <row r="98" spans="1:8">
      <c r="A98" s="4">
        <v>201909</v>
      </c>
      <c r="B98" s="4" t="s">
        <v>451</v>
      </c>
      <c r="C98" s="4" t="s">
        <v>1503</v>
      </c>
      <c r="D98" s="4" t="s">
        <v>450</v>
      </c>
      <c r="E98" s="5" t="s">
        <v>7</v>
      </c>
      <c r="F98" s="16"/>
      <c r="H98" t="s">
        <v>172</v>
      </c>
    </row>
    <row r="99" spans="1:8">
      <c r="A99" s="4">
        <v>201908</v>
      </c>
      <c r="B99" s="4" t="s">
        <v>53</v>
      </c>
      <c r="C99" s="4" t="s">
        <v>1504</v>
      </c>
      <c r="D99" s="4" t="s">
        <v>446</v>
      </c>
      <c r="E99" s="5" t="s">
        <v>7</v>
      </c>
      <c r="F99" s="16"/>
    </row>
    <row r="100" spans="1:8">
      <c r="A100" s="4">
        <v>201908</v>
      </c>
      <c r="B100" s="4" t="s">
        <v>209</v>
      </c>
      <c r="C100" s="4" t="s">
        <v>1504</v>
      </c>
      <c r="D100" s="4" t="s">
        <v>445</v>
      </c>
      <c r="E100" s="5" t="s">
        <v>7</v>
      </c>
      <c r="F100" s="16"/>
    </row>
    <row r="101" spans="1:8">
      <c r="A101" s="4">
        <v>201908</v>
      </c>
      <c r="B101" s="4" t="s">
        <v>208</v>
      </c>
      <c r="C101" s="4" t="s">
        <v>1504</v>
      </c>
      <c r="D101" s="4" t="s">
        <v>444</v>
      </c>
      <c r="E101" s="5" t="s">
        <v>7</v>
      </c>
      <c r="F101" s="16"/>
    </row>
    <row r="102" spans="1:8">
      <c r="A102" s="4">
        <v>201908</v>
      </c>
      <c r="B102" s="4" t="s">
        <v>443</v>
      </c>
      <c r="C102" s="4" t="s">
        <v>1504</v>
      </c>
      <c r="D102" s="4" t="s">
        <v>442</v>
      </c>
      <c r="E102" s="5" t="s">
        <v>7</v>
      </c>
      <c r="F102" s="16"/>
    </row>
    <row r="103" spans="1:8">
      <c r="A103" s="4">
        <v>201907</v>
      </c>
      <c r="B103" s="4" t="s">
        <v>53</v>
      </c>
      <c r="C103" s="4" t="s">
        <v>1505</v>
      </c>
      <c r="D103" s="4" t="s">
        <v>441</v>
      </c>
      <c r="E103" s="5" t="s">
        <v>7</v>
      </c>
      <c r="F103" s="16"/>
    </row>
    <row r="104" spans="1:8">
      <c r="A104" s="4">
        <v>201907</v>
      </c>
      <c r="B104" s="4" t="s">
        <v>209</v>
      </c>
      <c r="C104" s="4" t="s">
        <v>1505</v>
      </c>
      <c r="D104" s="4" t="s">
        <v>440</v>
      </c>
      <c r="E104" s="5" t="s">
        <v>7</v>
      </c>
      <c r="F104" s="16"/>
    </row>
    <row r="105" spans="1:8">
      <c r="A105" s="4">
        <v>201907</v>
      </c>
      <c r="B105" s="4" t="s">
        <v>208</v>
      </c>
      <c r="C105" s="4" t="s">
        <v>1505</v>
      </c>
      <c r="D105" s="4" t="s">
        <v>439</v>
      </c>
      <c r="E105" s="5" t="s">
        <v>7</v>
      </c>
      <c r="F105" s="16"/>
    </row>
    <row r="106" spans="1:8" hidden="1">
      <c r="A106" s="4">
        <v>201907</v>
      </c>
      <c r="B106" s="4" t="s">
        <v>438</v>
      </c>
      <c r="C106" s="4" t="s">
        <v>1505</v>
      </c>
      <c r="D106" s="4" t="s">
        <v>437</v>
      </c>
      <c r="E106" s="5" t="s">
        <v>7</v>
      </c>
      <c r="F106" s="16"/>
    </row>
    <row r="107" spans="1:8" hidden="1">
      <c r="A107" s="4">
        <v>201906</v>
      </c>
      <c r="B107" s="4" t="s">
        <v>53</v>
      </c>
      <c r="C107" s="4" t="s">
        <v>1506</v>
      </c>
      <c r="D107" s="4" t="s">
        <v>433</v>
      </c>
      <c r="E107" s="5" t="s">
        <v>7</v>
      </c>
      <c r="F107" s="16"/>
    </row>
    <row r="108" spans="1:8" hidden="1">
      <c r="A108" s="4">
        <v>201906</v>
      </c>
      <c r="B108" s="4" t="s">
        <v>432</v>
      </c>
      <c r="C108" s="4" t="s">
        <v>1506</v>
      </c>
      <c r="D108" s="4" t="s">
        <v>431</v>
      </c>
      <c r="E108" s="5" t="s">
        <v>7</v>
      </c>
      <c r="F108" s="16"/>
    </row>
    <row r="109" spans="1:8" hidden="1">
      <c r="A109" s="4">
        <v>201906</v>
      </c>
      <c r="B109" s="4" t="s">
        <v>209</v>
      </c>
      <c r="C109" s="4" t="s">
        <v>1506</v>
      </c>
      <c r="D109" s="4" t="s">
        <v>429</v>
      </c>
      <c r="E109" s="5" t="s">
        <v>7</v>
      </c>
      <c r="F109" s="16"/>
    </row>
    <row r="110" spans="1:8" hidden="1">
      <c r="A110" s="4">
        <v>201906</v>
      </c>
      <c r="B110" s="4" t="s">
        <v>208</v>
      </c>
      <c r="C110" s="4" t="s">
        <v>1506</v>
      </c>
      <c r="D110" s="4" t="s">
        <v>428</v>
      </c>
      <c r="E110" s="5" t="s">
        <v>7</v>
      </c>
      <c r="F110" s="16"/>
    </row>
    <row r="111" spans="1:8" hidden="1">
      <c r="A111" s="4">
        <v>201905</v>
      </c>
      <c r="B111" s="4" t="s">
        <v>53</v>
      </c>
      <c r="C111" s="4" t="s">
        <v>1507</v>
      </c>
      <c r="D111" s="4" t="s">
        <v>412</v>
      </c>
      <c r="E111" s="5" t="s">
        <v>7</v>
      </c>
      <c r="F111" s="16"/>
    </row>
    <row r="112" spans="1:8" hidden="1">
      <c r="A112" s="4">
        <v>201905</v>
      </c>
      <c r="B112" s="4" t="s">
        <v>209</v>
      </c>
      <c r="C112" s="4" t="s">
        <v>1507</v>
      </c>
      <c r="D112" s="4" t="s">
        <v>411</v>
      </c>
      <c r="E112" s="5" t="s">
        <v>7</v>
      </c>
      <c r="F112" s="16"/>
    </row>
    <row r="113" spans="1:6" hidden="1">
      <c r="A113" s="4">
        <v>201905</v>
      </c>
      <c r="B113" s="4" t="s">
        <v>208</v>
      </c>
      <c r="C113" s="4" t="s">
        <v>1507</v>
      </c>
      <c r="D113" s="4" t="s">
        <v>410</v>
      </c>
      <c r="E113" s="5" t="s">
        <v>7</v>
      </c>
      <c r="F113" s="16"/>
    </row>
    <row r="114" spans="1:6" hidden="1">
      <c r="A114" s="4">
        <v>201905</v>
      </c>
      <c r="B114" s="4" t="s">
        <v>409</v>
      </c>
      <c r="C114" s="4" t="s">
        <v>1507</v>
      </c>
      <c r="D114" s="4" t="s">
        <v>408</v>
      </c>
      <c r="E114" s="5" t="s">
        <v>7</v>
      </c>
      <c r="F114" s="16"/>
    </row>
    <row r="115" spans="1:6" hidden="1">
      <c r="A115" s="4">
        <v>201904</v>
      </c>
      <c r="B115" s="4" t="s">
        <v>208</v>
      </c>
      <c r="C115" s="4" t="s">
        <v>399</v>
      </c>
      <c r="D115" s="4" t="s">
        <v>403</v>
      </c>
      <c r="E115" s="5" t="s">
        <v>7</v>
      </c>
      <c r="F115" s="16"/>
    </row>
    <row r="116" spans="1:6" hidden="1">
      <c r="A116" s="4">
        <v>201904</v>
      </c>
      <c r="B116" s="4" t="s">
        <v>209</v>
      </c>
      <c r="C116" s="4" t="s">
        <v>399</v>
      </c>
      <c r="D116" s="4" t="s">
        <v>402</v>
      </c>
      <c r="E116" s="5" t="s">
        <v>7</v>
      </c>
      <c r="F116" s="16"/>
    </row>
    <row r="117" spans="1:6" hidden="1">
      <c r="A117" s="4">
        <v>201904</v>
      </c>
      <c r="B117" s="4" t="s">
        <v>401</v>
      </c>
      <c r="C117" s="4" t="s">
        <v>399</v>
      </c>
      <c r="D117" s="4" t="s">
        <v>400</v>
      </c>
      <c r="E117" s="5" t="s">
        <v>7</v>
      </c>
      <c r="F117" s="16"/>
    </row>
    <row r="118" spans="1:6" hidden="1">
      <c r="A118" s="4">
        <v>201904</v>
      </c>
      <c r="B118" s="4" t="s">
        <v>53</v>
      </c>
      <c r="C118" s="4" t="s">
        <v>399</v>
      </c>
      <c r="D118" s="4" t="s">
        <v>404</v>
      </c>
      <c r="E118" s="5" t="s">
        <v>7</v>
      </c>
      <c r="F118" s="16"/>
    </row>
    <row r="119" spans="1:6" hidden="1">
      <c r="A119" s="4">
        <v>201903</v>
      </c>
      <c r="B119" s="4" t="s">
        <v>209</v>
      </c>
      <c r="C119" s="4" t="s">
        <v>1508</v>
      </c>
      <c r="D119" s="4" t="s">
        <v>386</v>
      </c>
      <c r="E119" s="5" t="s">
        <v>7</v>
      </c>
      <c r="F119" s="16"/>
    </row>
    <row r="120" spans="1:6" hidden="1">
      <c r="A120" s="4">
        <v>201903</v>
      </c>
      <c r="B120" s="4" t="s">
        <v>208</v>
      </c>
      <c r="C120" s="4" t="s">
        <v>1508</v>
      </c>
      <c r="D120" s="4" t="s">
        <v>385</v>
      </c>
      <c r="E120" s="5" t="s">
        <v>7</v>
      </c>
      <c r="F120" s="16"/>
    </row>
    <row r="121" spans="1:6" hidden="1">
      <c r="A121" s="4">
        <v>201903</v>
      </c>
      <c r="B121" s="4" t="s">
        <v>384</v>
      </c>
      <c r="C121" s="4" t="s">
        <v>1508</v>
      </c>
      <c r="D121" s="4" t="s">
        <v>383</v>
      </c>
      <c r="E121" s="5" t="s">
        <v>7</v>
      </c>
      <c r="F121" s="16"/>
    </row>
    <row r="122" spans="1:6" hidden="1">
      <c r="A122" s="4">
        <v>201903</v>
      </c>
      <c r="B122" s="4" t="s">
        <v>53</v>
      </c>
      <c r="C122" s="4" t="s">
        <v>1508</v>
      </c>
      <c r="D122" s="4" t="s">
        <v>382</v>
      </c>
      <c r="E122" s="5" t="s">
        <v>7</v>
      </c>
      <c r="F122" s="16"/>
    </row>
    <row r="123" spans="1:6" hidden="1">
      <c r="A123" s="4">
        <v>201902</v>
      </c>
      <c r="B123" s="4" t="s">
        <v>377</v>
      </c>
      <c r="C123" s="4" t="s">
        <v>1509</v>
      </c>
      <c r="D123" s="4" t="s">
        <v>376</v>
      </c>
      <c r="E123" s="5" t="s">
        <v>7</v>
      </c>
      <c r="F123" s="16"/>
    </row>
    <row r="124" spans="1:6" hidden="1">
      <c r="A124" s="4">
        <v>201902</v>
      </c>
      <c r="B124" s="4" t="s">
        <v>209</v>
      </c>
      <c r="C124" s="4" t="s">
        <v>1509</v>
      </c>
      <c r="D124" s="4" t="s">
        <v>375</v>
      </c>
      <c r="E124" s="5" t="s">
        <v>7</v>
      </c>
      <c r="F124" s="16"/>
    </row>
    <row r="125" spans="1:6" hidden="1">
      <c r="A125" s="4">
        <v>201902</v>
      </c>
      <c r="B125" s="4" t="s">
        <v>208</v>
      </c>
      <c r="C125" s="4" t="s">
        <v>1509</v>
      </c>
      <c r="D125" s="4" t="s">
        <v>374</v>
      </c>
      <c r="E125" s="5" t="s">
        <v>7</v>
      </c>
      <c r="F125" s="16"/>
    </row>
    <row r="126" spans="1:6" hidden="1">
      <c r="A126" s="4">
        <v>201902</v>
      </c>
      <c r="B126" s="4" t="s">
        <v>53</v>
      </c>
      <c r="C126" s="4" t="s">
        <v>1509</v>
      </c>
      <c r="D126" s="4" t="s">
        <v>373</v>
      </c>
      <c r="E126" s="5" t="s">
        <v>7</v>
      </c>
      <c r="F126" s="16"/>
    </row>
    <row r="127" spans="1:6" hidden="1">
      <c r="A127" s="4">
        <v>201901</v>
      </c>
      <c r="B127" s="4" t="s">
        <v>53</v>
      </c>
      <c r="C127" s="4" t="s">
        <v>1510</v>
      </c>
      <c r="D127" s="4" t="s">
        <v>372</v>
      </c>
      <c r="E127" s="5" t="s">
        <v>7</v>
      </c>
      <c r="F127" s="16"/>
    </row>
    <row r="128" spans="1:6" hidden="1">
      <c r="A128" s="4">
        <v>201901</v>
      </c>
      <c r="B128" s="4" t="s">
        <v>209</v>
      </c>
      <c r="C128" s="4" t="s">
        <v>1510</v>
      </c>
      <c r="D128" s="4" t="s">
        <v>371</v>
      </c>
      <c r="E128" s="5" t="s">
        <v>7</v>
      </c>
      <c r="F128" s="16"/>
    </row>
    <row r="129" spans="1:6" hidden="1">
      <c r="A129" s="4">
        <v>201901</v>
      </c>
      <c r="B129" s="4" t="s">
        <v>208</v>
      </c>
      <c r="C129" s="4" t="s">
        <v>1510</v>
      </c>
      <c r="D129" s="4" t="s">
        <v>370</v>
      </c>
      <c r="E129" s="5" t="s">
        <v>7</v>
      </c>
      <c r="F129" s="16"/>
    </row>
    <row r="130" spans="1:6" hidden="1">
      <c r="A130" s="4">
        <v>201901</v>
      </c>
      <c r="B130" s="4" t="s">
        <v>369</v>
      </c>
      <c r="C130" s="4" t="s">
        <v>1510</v>
      </c>
      <c r="D130" s="4" t="s">
        <v>368</v>
      </c>
      <c r="E130" s="5" t="s">
        <v>7</v>
      </c>
      <c r="F130" s="16"/>
    </row>
    <row r="131" spans="1:6" hidden="1">
      <c r="A131" s="4">
        <v>201812</v>
      </c>
      <c r="B131" s="4" t="s">
        <v>53</v>
      </c>
      <c r="C131" s="4" t="s">
        <v>1511</v>
      </c>
      <c r="D131" s="4" t="s">
        <v>362</v>
      </c>
      <c r="E131" s="5" t="s">
        <v>7</v>
      </c>
      <c r="F131" s="16"/>
    </row>
    <row r="132" spans="1:6" hidden="1">
      <c r="A132" s="4">
        <v>201812</v>
      </c>
      <c r="B132" s="4" t="s">
        <v>209</v>
      </c>
      <c r="C132" s="4" t="s">
        <v>1511</v>
      </c>
      <c r="D132" s="4" t="s">
        <v>363</v>
      </c>
      <c r="E132" s="5" t="s">
        <v>7</v>
      </c>
      <c r="F132" s="16"/>
    </row>
    <row r="133" spans="1:6" hidden="1">
      <c r="A133" s="4">
        <v>201812</v>
      </c>
      <c r="B133" s="4" t="s">
        <v>208</v>
      </c>
      <c r="C133" s="4" t="s">
        <v>1511</v>
      </c>
      <c r="D133" s="4" t="s">
        <v>351</v>
      </c>
      <c r="E133" s="5" t="s">
        <v>7</v>
      </c>
      <c r="F133" s="16"/>
    </row>
    <row r="134" spans="1:6" hidden="1">
      <c r="A134" s="4">
        <v>201812</v>
      </c>
      <c r="B134" s="4" t="s">
        <v>350</v>
      </c>
      <c r="C134" s="4" t="s">
        <v>1511</v>
      </c>
      <c r="D134" s="4" t="s">
        <v>349</v>
      </c>
      <c r="E134" s="5" t="s">
        <v>7</v>
      </c>
      <c r="F134" s="16"/>
    </row>
    <row r="135" spans="1:6" hidden="1">
      <c r="A135" s="4">
        <v>201811</v>
      </c>
      <c r="B135" s="4" t="s">
        <v>53</v>
      </c>
      <c r="C135" s="4" t="s">
        <v>1512</v>
      </c>
      <c r="D135" s="4" t="s">
        <v>348</v>
      </c>
      <c r="E135" s="5" t="s">
        <v>7</v>
      </c>
      <c r="F135" s="16"/>
    </row>
    <row r="136" spans="1:6" hidden="1">
      <c r="A136" s="4">
        <v>201811</v>
      </c>
      <c r="B136" s="4" t="s">
        <v>209</v>
      </c>
      <c r="C136" s="4" t="s">
        <v>1512</v>
      </c>
      <c r="D136" s="4" t="s">
        <v>347</v>
      </c>
      <c r="E136" s="5" t="s">
        <v>7</v>
      </c>
      <c r="F136" s="16"/>
    </row>
    <row r="137" spans="1:6" hidden="1">
      <c r="A137" s="4">
        <v>201811</v>
      </c>
      <c r="B137" s="4" t="s">
        <v>208</v>
      </c>
      <c r="C137" s="4" t="s">
        <v>1512</v>
      </c>
      <c r="D137" s="4" t="s">
        <v>346</v>
      </c>
      <c r="E137" s="5" t="s">
        <v>7</v>
      </c>
      <c r="F137" s="16"/>
    </row>
    <row r="138" spans="1:6" hidden="1">
      <c r="A138" s="4">
        <v>201811</v>
      </c>
      <c r="B138" s="4" t="s">
        <v>345</v>
      </c>
      <c r="C138" s="4" t="s">
        <v>1512</v>
      </c>
      <c r="D138" s="4" t="s">
        <v>344</v>
      </c>
      <c r="E138" s="5" t="s">
        <v>7</v>
      </c>
      <c r="F138" s="16"/>
    </row>
    <row r="139" spans="1:6" hidden="1">
      <c r="A139" s="4">
        <v>201810</v>
      </c>
      <c r="B139" s="4" t="s">
        <v>53</v>
      </c>
      <c r="C139" s="4" t="s">
        <v>1513</v>
      </c>
      <c r="D139" s="4" t="s">
        <v>334</v>
      </c>
      <c r="E139" s="5" t="s">
        <v>7</v>
      </c>
      <c r="F139" s="16"/>
    </row>
    <row r="140" spans="1:6" hidden="1">
      <c r="A140" s="4">
        <v>201810</v>
      </c>
      <c r="B140" s="4" t="s">
        <v>209</v>
      </c>
      <c r="C140" s="4" t="s">
        <v>1513</v>
      </c>
      <c r="D140" s="4" t="s">
        <v>333</v>
      </c>
      <c r="E140" s="5" t="s">
        <v>7</v>
      </c>
      <c r="F140" s="16"/>
    </row>
    <row r="141" spans="1:6" hidden="1">
      <c r="A141" s="4">
        <v>201810</v>
      </c>
      <c r="B141" s="4" t="s">
        <v>208</v>
      </c>
      <c r="C141" s="4" t="s">
        <v>1513</v>
      </c>
      <c r="D141" s="4" t="s">
        <v>332</v>
      </c>
      <c r="E141" s="5" t="s">
        <v>7</v>
      </c>
      <c r="F141" s="16"/>
    </row>
    <row r="142" spans="1:6" hidden="1">
      <c r="A142" s="4">
        <v>201810</v>
      </c>
      <c r="B142" s="4" t="s">
        <v>331</v>
      </c>
      <c r="C142" s="4" t="s">
        <v>1513</v>
      </c>
      <c r="D142" s="4" t="s">
        <v>330</v>
      </c>
      <c r="E142" s="5" t="s">
        <v>7</v>
      </c>
      <c r="F142" s="16"/>
    </row>
    <row r="143" spans="1:6" hidden="1">
      <c r="A143" s="4">
        <v>201809</v>
      </c>
      <c r="B143" s="4" t="s">
        <v>53</v>
      </c>
      <c r="C143" s="4" t="s">
        <v>1514</v>
      </c>
      <c r="D143" s="4" t="s">
        <v>329</v>
      </c>
      <c r="E143" s="5" t="s">
        <v>7</v>
      </c>
      <c r="F143" s="16"/>
    </row>
    <row r="144" spans="1:6" hidden="1">
      <c r="A144" s="4">
        <v>201809</v>
      </c>
      <c r="B144" s="4" t="s">
        <v>209</v>
      </c>
      <c r="C144" s="4" t="s">
        <v>1514</v>
      </c>
      <c r="D144" s="4" t="s">
        <v>328</v>
      </c>
      <c r="E144" s="5" t="s">
        <v>7</v>
      </c>
      <c r="F144" s="16"/>
    </row>
    <row r="145" spans="1:6" hidden="1">
      <c r="A145" s="4">
        <v>201809</v>
      </c>
      <c r="B145" s="4" t="s">
        <v>208</v>
      </c>
      <c r="C145" s="4" t="s">
        <v>1514</v>
      </c>
      <c r="D145" s="4" t="s">
        <v>327</v>
      </c>
      <c r="E145" s="5" t="s">
        <v>7</v>
      </c>
      <c r="F145" s="16"/>
    </row>
    <row r="146" spans="1:6" hidden="1">
      <c r="A146" s="4">
        <v>201809</v>
      </c>
      <c r="B146" s="4" t="s">
        <v>326</v>
      </c>
      <c r="C146" s="4" t="s">
        <v>1514</v>
      </c>
      <c r="D146" s="4" t="s">
        <v>325</v>
      </c>
      <c r="E146" s="5" t="s">
        <v>7</v>
      </c>
      <c r="F146" s="16"/>
    </row>
    <row r="147" spans="1:6" hidden="1">
      <c r="A147" s="4">
        <v>201808</v>
      </c>
      <c r="B147" s="4" t="s">
        <v>53</v>
      </c>
      <c r="C147" s="4" t="s">
        <v>1515</v>
      </c>
      <c r="D147" s="4" t="s">
        <v>322</v>
      </c>
      <c r="E147" s="5" t="s">
        <v>7</v>
      </c>
      <c r="F147" s="16"/>
    </row>
    <row r="148" spans="1:6" hidden="1">
      <c r="A148" s="4">
        <v>201808</v>
      </c>
      <c r="B148" s="4" t="s">
        <v>209</v>
      </c>
      <c r="C148" s="4" t="s">
        <v>1515</v>
      </c>
      <c r="D148" s="4" t="s">
        <v>315</v>
      </c>
      <c r="E148" s="5" t="s">
        <v>7</v>
      </c>
      <c r="F148" s="16"/>
    </row>
    <row r="149" spans="1:6" hidden="1">
      <c r="A149" s="4">
        <v>201808</v>
      </c>
      <c r="B149" s="4" t="s">
        <v>208</v>
      </c>
      <c r="C149" s="4" t="s">
        <v>1515</v>
      </c>
      <c r="D149" s="4" t="s">
        <v>314</v>
      </c>
      <c r="E149" s="5" t="s">
        <v>7</v>
      </c>
      <c r="F149" s="16"/>
    </row>
    <row r="150" spans="1:6" hidden="1">
      <c r="A150" s="4">
        <v>201808</v>
      </c>
      <c r="B150" s="4" t="s">
        <v>313</v>
      </c>
      <c r="C150" s="4" t="s">
        <v>1515</v>
      </c>
      <c r="D150" s="4" t="s">
        <v>312</v>
      </c>
      <c r="E150" s="5" t="s">
        <v>7</v>
      </c>
      <c r="F150" s="16"/>
    </row>
    <row r="151" spans="1:6" hidden="1">
      <c r="A151" s="4">
        <v>201807</v>
      </c>
      <c r="B151" s="4" t="s">
        <v>209</v>
      </c>
      <c r="C151" s="4" t="s">
        <v>1516</v>
      </c>
      <c r="D151" s="4" t="s">
        <v>298</v>
      </c>
      <c r="E151" s="5" t="s">
        <v>7</v>
      </c>
      <c r="F151" s="16"/>
    </row>
    <row r="152" spans="1:6" hidden="1">
      <c r="A152" s="4">
        <v>201807</v>
      </c>
      <c r="B152" s="4" t="s">
        <v>208</v>
      </c>
      <c r="C152" s="4" t="s">
        <v>1516</v>
      </c>
      <c r="D152" s="4" t="s">
        <v>297</v>
      </c>
      <c r="E152" s="5" t="s">
        <v>7</v>
      </c>
      <c r="F152" s="16"/>
    </row>
    <row r="153" spans="1:6" hidden="1">
      <c r="A153" s="4">
        <v>201807</v>
      </c>
      <c r="B153" s="4" t="s">
        <v>296</v>
      </c>
      <c r="C153" s="4" t="s">
        <v>1516</v>
      </c>
      <c r="D153" s="4" t="s">
        <v>295</v>
      </c>
      <c r="E153" s="5" t="s">
        <v>7</v>
      </c>
      <c r="F153" s="16"/>
    </row>
    <row r="154" spans="1:6" hidden="1">
      <c r="A154" s="4">
        <v>201807</v>
      </c>
      <c r="B154" s="4" t="s">
        <v>53</v>
      </c>
      <c r="C154" s="4" t="s">
        <v>1516</v>
      </c>
      <c r="D154" s="4" t="s">
        <v>294</v>
      </c>
      <c r="E154" s="5" t="s">
        <v>7</v>
      </c>
      <c r="F154" s="16"/>
    </row>
    <row r="155" spans="1:6" hidden="1">
      <c r="A155" s="4">
        <v>201806</v>
      </c>
      <c r="B155" s="4" t="s">
        <v>208</v>
      </c>
      <c r="C155" s="4" t="s">
        <v>1517</v>
      </c>
      <c r="D155" s="4" t="s">
        <v>280</v>
      </c>
      <c r="E155" s="5" t="s">
        <v>7</v>
      </c>
      <c r="F155" s="16"/>
    </row>
    <row r="156" spans="1:6" hidden="1">
      <c r="A156" s="4">
        <v>201806</v>
      </c>
      <c r="B156" s="4" t="s">
        <v>209</v>
      </c>
      <c r="C156" s="4" t="s">
        <v>1517</v>
      </c>
      <c r="D156" s="4" t="s">
        <v>279</v>
      </c>
      <c r="E156" s="5" t="s">
        <v>7</v>
      </c>
      <c r="F156" s="16"/>
    </row>
    <row r="157" spans="1:6" hidden="1">
      <c r="A157" s="4">
        <v>201806</v>
      </c>
      <c r="B157" s="4" t="s">
        <v>278</v>
      </c>
      <c r="C157" s="4" t="s">
        <v>1517</v>
      </c>
      <c r="D157" s="4" t="s">
        <v>277</v>
      </c>
      <c r="E157" s="5" t="s">
        <v>7</v>
      </c>
      <c r="F157" s="16"/>
    </row>
    <row r="158" spans="1:6" hidden="1">
      <c r="A158" s="4">
        <v>201806</v>
      </c>
      <c r="B158" s="4" t="s">
        <v>53</v>
      </c>
      <c r="C158" s="4" t="s">
        <v>1517</v>
      </c>
      <c r="D158" s="4" t="s">
        <v>276</v>
      </c>
      <c r="E158" s="5" t="s">
        <v>7</v>
      </c>
      <c r="F158" s="16"/>
    </row>
    <row r="159" spans="1:6" hidden="1">
      <c r="A159" s="4">
        <v>201805</v>
      </c>
      <c r="B159" s="4" t="s">
        <v>53</v>
      </c>
      <c r="C159" s="4" t="s">
        <v>1518</v>
      </c>
      <c r="D159" s="4" t="s">
        <v>274</v>
      </c>
      <c r="E159" s="5" t="s">
        <v>7</v>
      </c>
      <c r="F159" s="16"/>
    </row>
    <row r="160" spans="1:6" hidden="1">
      <c r="A160" s="4">
        <v>201805</v>
      </c>
      <c r="B160" s="4" t="s">
        <v>209</v>
      </c>
      <c r="C160" s="4" t="s">
        <v>1518</v>
      </c>
      <c r="D160" s="4" t="s">
        <v>273</v>
      </c>
      <c r="E160" s="5" t="s">
        <v>7</v>
      </c>
      <c r="F160" s="16"/>
    </row>
    <row r="161" spans="1:16" hidden="1">
      <c r="A161" s="4">
        <v>201805</v>
      </c>
      <c r="B161" s="4" t="s">
        <v>208</v>
      </c>
      <c r="C161" s="4" t="s">
        <v>1518</v>
      </c>
      <c r="D161" s="4" t="s">
        <v>272</v>
      </c>
      <c r="E161" s="5" t="s">
        <v>7</v>
      </c>
      <c r="F161" s="16"/>
    </row>
    <row r="162" spans="1:16" hidden="1">
      <c r="A162" s="4">
        <v>201805</v>
      </c>
      <c r="B162" s="4" t="s">
        <v>271</v>
      </c>
      <c r="C162" s="4" t="s">
        <v>1518</v>
      </c>
      <c r="D162" s="4" t="s">
        <v>270</v>
      </c>
      <c r="E162" s="5" t="s">
        <v>7</v>
      </c>
      <c r="F162" s="16"/>
    </row>
    <row r="163" spans="1:16" hidden="1">
      <c r="A163" s="4">
        <v>201804</v>
      </c>
      <c r="B163" s="4" t="s">
        <v>53</v>
      </c>
      <c r="C163" s="4" t="s">
        <v>1519</v>
      </c>
      <c r="D163" s="4" t="s">
        <v>269</v>
      </c>
      <c r="E163" s="5" t="s">
        <v>7</v>
      </c>
      <c r="F163" s="16"/>
    </row>
    <row r="164" spans="1:16" hidden="1">
      <c r="A164" s="4">
        <v>201804</v>
      </c>
      <c r="B164" s="4" t="s">
        <v>209</v>
      </c>
      <c r="C164" s="4" t="s">
        <v>1519</v>
      </c>
      <c r="D164" s="4" t="s">
        <v>260</v>
      </c>
      <c r="E164" s="5" t="s">
        <v>7</v>
      </c>
      <c r="F164" s="16"/>
    </row>
    <row r="165" spans="1:16" hidden="1">
      <c r="A165" s="4">
        <v>201804</v>
      </c>
      <c r="B165" s="4" t="s">
        <v>208</v>
      </c>
      <c r="C165" s="4" t="s">
        <v>1519</v>
      </c>
      <c r="D165" s="4" t="s">
        <v>259</v>
      </c>
      <c r="E165" s="5" t="s">
        <v>7</v>
      </c>
      <c r="F165" s="16"/>
    </row>
    <row r="166" spans="1:16" hidden="1">
      <c r="A166" s="4">
        <v>201804</v>
      </c>
      <c r="B166" s="4" t="s">
        <v>258</v>
      </c>
      <c r="C166" s="4" t="s">
        <v>1519</v>
      </c>
      <c r="D166" s="4" t="s">
        <v>268</v>
      </c>
      <c r="E166" s="5" t="s">
        <v>7</v>
      </c>
      <c r="F166" s="16"/>
    </row>
    <row r="167" spans="1:16" hidden="1">
      <c r="A167" s="4">
        <v>201803</v>
      </c>
      <c r="B167" s="4" t="s">
        <v>209</v>
      </c>
      <c r="C167" s="4" t="s">
        <v>1520</v>
      </c>
      <c r="D167" s="4" t="s">
        <v>255</v>
      </c>
      <c r="E167" s="5" t="s">
        <v>7</v>
      </c>
      <c r="F167" s="16"/>
    </row>
    <row r="168" spans="1:16" hidden="1">
      <c r="A168" s="4">
        <v>201803</v>
      </c>
      <c r="B168" s="4" t="s">
        <v>53</v>
      </c>
      <c r="C168" s="4" t="s">
        <v>1520</v>
      </c>
      <c r="D168" s="4" t="s">
        <v>257</v>
      </c>
      <c r="E168" s="5" t="s">
        <v>7</v>
      </c>
      <c r="F168" s="16"/>
    </row>
    <row r="169" spans="1:16" hidden="1">
      <c r="A169" s="4">
        <v>201803</v>
      </c>
      <c r="B169" s="4" t="s">
        <v>208</v>
      </c>
      <c r="C169" s="4" t="s">
        <v>1520</v>
      </c>
      <c r="D169" s="4" t="s">
        <v>254</v>
      </c>
      <c r="E169" s="5" t="s">
        <v>7</v>
      </c>
      <c r="F169" s="16"/>
    </row>
    <row r="170" spans="1:16" hidden="1">
      <c r="A170" s="4">
        <v>201803</v>
      </c>
      <c r="B170" s="4" t="s">
        <v>253</v>
      </c>
      <c r="C170" s="4" t="s">
        <v>1520</v>
      </c>
      <c r="D170" s="4" t="s">
        <v>256</v>
      </c>
      <c r="E170" s="5" t="s">
        <v>7</v>
      </c>
      <c r="F170" s="16"/>
    </row>
    <row r="171" spans="1:16" hidden="1">
      <c r="A171" s="4">
        <v>201802</v>
      </c>
      <c r="B171" s="4" t="s">
        <v>53</v>
      </c>
      <c r="C171" s="4" t="s">
        <v>1521</v>
      </c>
      <c r="D171" s="4" t="s">
        <v>244</v>
      </c>
      <c r="E171" s="5" t="s">
        <v>7</v>
      </c>
      <c r="F171" s="16"/>
    </row>
    <row r="172" spans="1:16" hidden="1">
      <c r="A172" s="4">
        <v>201802</v>
      </c>
      <c r="B172" s="4" t="s">
        <v>209</v>
      </c>
      <c r="C172" s="4" t="s">
        <v>1521</v>
      </c>
      <c r="D172" s="4" t="s">
        <v>243</v>
      </c>
      <c r="E172" s="5" t="s">
        <v>7</v>
      </c>
      <c r="F172" s="16"/>
    </row>
    <row r="173" spans="1:16" hidden="1">
      <c r="A173" s="4">
        <v>201802</v>
      </c>
      <c r="B173" s="4" t="s">
        <v>208</v>
      </c>
      <c r="C173" s="4" t="s">
        <v>1521</v>
      </c>
      <c r="D173" s="4" t="s">
        <v>242</v>
      </c>
      <c r="E173" s="5" t="s">
        <v>7</v>
      </c>
      <c r="F173" s="16"/>
    </row>
    <row r="174" spans="1:16" hidden="1">
      <c r="A174" s="4">
        <v>201802</v>
      </c>
      <c r="B174" s="4" t="s">
        <v>245</v>
      </c>
      <c r="C174" s="4" t="s">
        <v>1521</v>
      </c>
      <c r="D174" s="4" t="s">
        <v>241</v>
      </c>
      <c r="E174" s="5" t="s">
        <v>7</v>
      </c>
      <c r="F174" s="16"/>
    </row>
    <row r="175" spans="1:16" hidden="1">
      <c r="A175" s="4">
        <v>201801</v>
      </c>
      <c r="B175" s="4" t="s">
        <v>54</v>
      </c>
      <c r="C175" s="15" t="str">
        <f>"d:\글로벌백업(180329)\04.수수료작업\"&amp;A175&amp;"수수료\"</f>
        <v>d:\글로벌백업(180329)\04.수수료작업\201801수수료\</v>
      </c>
      <c r="D175" s="5" t="s">
        <v>43</v>
      </c>
      <c r="E175" s="5" t="s">
        <v>7</v>
      </c>
      <c r="F175" s="58"/>
      <c r="N175" t="s">
        <v>246</v>
      </c>
      <c r="O175" t="s">
        <v>247</v>
      </c>
      <c r="P175" t="s">
        <v>246</v>
      </c>
    </row>
    <row r="176" spans="1:16" hidden="1">
      <c r="A176" s="4">
        <v>201801</v>
      </c>
      <c r="B176" s="4" t="s">
        <v>81</v>
      </c>
      <c r="C176" s="15" t="str">
        <f>"d:\글로벌백업(180329)\04.수수료작업\"&amp;A176&amp;"수수료\"</f>
        <v>d:\글로벌백업(180329)\04.수수료작업\201801수수료\</v>
      </c>
      <c r="D176" s="5" t="s">
        <v>84</v>
      </c>
      <c r="E176" s="5" t="s">
        <v>7</v>
      </c>
      <c r="F176" s="13"/>
      <c r="N176" t="s">
        <v>248</v>
      </c>
      <c r="O176" t="s">
        <v>249</v>
      </c>
      <c r="P176" t="s">
        <v>246</v>
      </c>
    </row>
    <row r="177" spans="1:6" hidden="1">
      <c r="A177" s="4">
        <v>201801</v>
      </c>
      <c r="B177" s="4" t="s">
        <v>82</v>
      </c>
      <c r="C177" s="15" t="str">
        <f>"d:\글로벌백업(180329)\04.수수료작업\"&amp;A177&amp;"수수료\"</f>
        <v>d:\글로벌백업(180329)\04.수수료작업\201801수수료\</v>
      </c>
      <c r="D177" s="5" t="s">
        <v>85</v>
      </c>
      <c r="E177" s="5" t="s">
        <v>7</v>
      </c>
      <c r="F177" s="13"/>
    </row>
    <row r="178" spans="1:6" hidden="1">
      <c r="A178" s="4">
        <v>201801</v>
      </c>
      <c r="B178" s="4" t="s">
        <v>83</v>
      </c>
      <c r="C178" s="15" t="str">
        <f>"d:\글로벌백업(180329)\04.수수료작업\"&amp;A178&amp;"수수료\"</f>
        <v>d:\글로벌백업(180329)\04.수수료작업\201801수수료\</v>
      </c>
      <c r="D178" s="5" t="s">
        <v>86</v>
      </c>
      <c r="E178" s="5" t="s">
        <v>7</v>
      </c>
      <c r="F178" s="13"/>
    </row>
    <row r="179" spans="1:6" hidden="1">
      <c r="A179" s="4">
        <v>201712</v>
      </c>
      <c r="B179" s="4" t="s">
        <v>76</v>
      </c>
      <c r="C179" s="15" t="str">
        <f>"d:\글로벌백업(180329)\04.수수료작업\"&amp;A179&amp;"수수료\"</f>
        <v>d:\글로벌백업(180329)\04.수수료작업\201712수수료\</v>
      </c>
      <c r="D179" s="5" t="s">
        <v>42</v>
      </c>
      <c r="E179" s="5" t="s">
        <v>7</v>
      </c>
      <c r="F179" s="13"/>
    </row>
    <row r="180" spans="1:6" hidden="1">
      <c r="A180" s="4">
        <v>201711</v>
      </c>
      <c r="B180" s="4" t="s">
        <v>76</v>
      </c>
      <c r="C180" s="15" t="str">
        <f>"d:\글로벌백업(180329)\04.수수료작업\"&amp;A180&amp;"수수료\"</f>
        <v>d:\글로벌백업(180329)\04.수수료작업\201711수수료\</v>
      </c>
      <c r="D180" s="5" t="s">
        <v>41</v>
      </c>
      <c r="E180" s="5" t="s">
        <v>7</v>
      </c>
      <c r="F180" s="13"/>
    </row>
    <row r="181" spans="1:6" hidden="1">
      <c r="A181" s="4">
        <v>201710</v>
      </c>
      <c r="B181" s="4" t="s">
        <v>76</v>
      </c>
      <c r="C181" s="15" t="str">
        <f>"d:\글로벌백업(180329)\04.수수료작업\"&amp;A181&amp;"수수료\"</f>
        <v>d:\글로벌백업(180329)\04.수수료작업\201710수수료\</v>
      </c>
      <c r="D181" s="5" t="s">
        <v>40</v>
      </c>
      <c r="E181" s="5" t="s">
        <v>7</v>
      </c>
      <c r="F181" s="13"/>
    </row>
    <row r="182" spans="1:6" hidden="1">
      <c r="A182" s="4">
        <v>201709</v>
      </c>
      <c r="B182" s="4" t="s">
        <v>76</v>
      </c>
      <c r="C182" s="15" t="str">
        <f>"d:\글로벌백업(180329)\04.수수료작업\"&amp;A182&amp;"수수료\"</f>
        <v>d:\글로벌백업(180329)\04.수수료작업\201709수수료\</v>
      </c>
      <c r="D182" s="5" t="s">
        <v>39</v>
      </c>
      <c r="E182" s="5" t="s">
        <v>7</v>
      </c>
      <c r="F182" s="13"/>
    </row>
    <row r="183" spans="1:6" hidden="1">
      <c r="A183" s="4">
        <v>201708</v>
      </c>
      <c r="B183" s="4" t="s">
        <v>76</v>
      </c>
      <c r="C183" s="15" t="str">
        <f>"d:\글로벌백업(180329)\04.수수료작업\"&amp;A183&amp;"수수료\"</f>
        <v>d:\글로벌백업(180329)\04.수수료작업\201708수수료\</v>
      </c>
      <c r="D183" s="5" t="s">
        <v>38</v>
      </c>
      <c r="E183" s="5" t="s">
        <v>7</v>
      </c>
      <c r="F183" s="13"/>
    </row>
    <row r="184" spans="1:6" hidden="1">
      <c r="A184" s="4">
        <v>201707</v>
      </c>
      <c r="B184" s="4" t="s">
        <v>76</v>
      </c>
      <c r="C184" s="15" t="str">
        <f>"d:\글로벌백업(180329)\04.수수료작업\"&amp;A184&amp;"수수료\"</f>
        <v>d:\글로벌백업(180329)\04.수수료작업\201707수수료\</v>
      </c>
      <c r="D184" s="5" t="s">
        <v>37</v>
      </c>
      <c r="E184" s="5" t="s">
        <v>7</v>
      </c>
      <c r="F184" s="13"/>
    </row>
    <row r="185" spans="1:6" hidden="1">
      <c r="A185" s="4">
        <v>201706</v>
      </c>
      <c r="B185" s="4" t="s">
        <v>76</v>
      </c>
      <c r="C185" s="15" t="str">
        <f>"d:\글로벌백업(180329)\04.수수료작업\2016~2017\"&amp;A185&amp;"수수료\"</f>
        <v>d:\글로벌백업(180329)\04.수수료작업\2016~2017\201706수수료\</v>
      </c>
      <c r="D185" s="5" t="s">
        <v>36</v>
      </c>
      <c r="E185" s="5" t="s">
        <v>7</v>
      </c>
      <c r="F185" s="13"/>
    </row>
    <row r="186" spans="1:6" hidden="1">
      <c r="A186" s="4">
        <v>201705</v>
      </c>
      <c r="B186" s="4" t="s">
        <v>76</v>
      </c>
      <c r="C186" s="15" t="str">
        <f>"d:\글로벌백업(180329)\04.수수료작업\2016~2017\"&amp;A186&amp;"수수료\"</f>
        <v>d:\글로벌백업(180329)\04.수수료작업\2016~2017\201705수수료\</v>
      </c>
      <c r="D186" s="5" t="s">
        <v>35</v>
      </c>
      <c r="E186" s="5" t="s">
        <v>7</v>
      </c>
      <c r="F186" s="13"/>
    </row>
    <row r="187" spans="1:6" hidden="1">
      <c r="A187" s="4">
        <v>201704</v>
      </c>
      <c r="B187" s="4" t="s">
        <v>76</v>
      </c>
      <c r="C187" s="15" t="str">
        <f>"d:\글로벌백업(180329)\04.수수료작업\2016~2017\"&amp;A187&amp;"수수료\"</f>
        <v>d:\글로벌백업(180329)\04.수수료작업\2016~2017\201704수수료\</v>
      </c>
      <c r="D187" s="5" t="s">
        <v>158</v>
      </c>
      <c r="E187" s="5" t="s">
        <v>7</v>
      </c>
      <c r="F187" s="13"/>
    </row>
    <row r="188" spans="1:6" hidden="1">
      <c r="A188" s="4">
        <v>201703</v>
      </c>
      <c r="B188" s="4" t="s">
        <v>76</v>
      </c>
      <c r="C188" s="15" t="str">
        <f>"d:\글로벌백업(180329)\04.수수료작업\2016~2017\"&amp;A188&amp;"수수료\"</f>
        <v>d:\글로벌백업(180329)\04.수수료작업\2016~2017\201703수수료\</v>
      </c>
      <c r="D188" s="5" t="s">
        <v>34</v>
      </c>
      <c r="E188" s="5" t="s">
        <v>7</v>
      </c>
      <c r="F188" s="13"/>
    </row>
    <row r="189" spans="1:6" hidden="1">
      <c r="A189" s="4">
        <v>201702</v>
      </c>
      <c r="B189" s="4" t="s">
        <v>76</v>
      </c>
      <c r="C189" s="15" t="str">
        <f>"d:\글로벌백업(180329)\04.수수료작업\2016~2017\"&amp;A189&amp;"수수료\"</f>
        <v>d:\글로벌백업(180329)\04.수수료작업\2016~2017\201702수수료\</v>
      </c>
      <c r="D189" s="5" t="s">
        <v>51</v>
      </c>
      <c r="E189" s="5" t="s">
        <v>7</v>
      </c>
      <c r="F189" s="13"/>
    </row>
    <row r="190" spans="1:6" hidden="1">
      <c r="A190" s="4">
        <v>201701</v>
      </c>
      <c r="B190" s="4" t="s">
        <v>76</v>
      </c>
      <c r="C190" s="15" t="str">
        <f>"d:\글로벌백업(180329)\04.수수료작업\2016~2017\"&amp;A190&amp;"수수료\"</f>
        <v>d:\글로벌백업(180329)\04.수수료작업\2016~2017\201701수수료\</v>
      </c>
      <c r="D190" s="5" t="s">
        <v>46</v>
      </c>
      <c r="E190" s="5" t="s">
        <v>7</v>
      </c>
      <c r="F190" s="13"/>
    </row>
    <row r="191" spans="1:6" hidden="1">
      <c r="A191" s="4">
        <v>201612</v>
      </c>
      <c r="B191" s="4" t="s">
        <v>76</v>
      </c>
      <c r="C191" s="15" t="str">
        <f>"d:\글로벌백업(180329)\04.수수료작업\2016~2017\"&amp;A191&amp;"수수료\"</f>
        <v>d:\글로벌백업(180329)\04.수수료작업\2016~2017\201612수수료\</v>
      </c>
      <c r="D191" s="5"/>
      <c r="E191" s="5"/>
      <c r="F191" s="13"/>
    </row>
    <row r="192" spans="1:6" hidden="1">
      <c r="A192" s="4"/>
      <c r="B192" s="4"/>
      <c r="C192" s="15"/>
      <c r="D192" s="5"/>
      <c r="E192" s="5"/>
      <c r="F192" s="13"/>
    </row>
    <row r="196" spans="1:5">
      <c r="A196" t="s">
        <v>608</v>
      </c>
    </row>
    <row r="197" spans="1:5">
      <c r="B197" s="4" t="s">
        <v>56</v>
      </c>
      <c r="C197" s="4" t="s">
        <v>3</v>
      </c>
      <c r="D197" s="4" t="s">
        <v>1</v>
      </c>
      <c r="E197" s="4" t="s">
        <v>2</v>
      </c>
    </row>
    <row r="198" spans="1:5">
      <c r="B198" s="4">
        <v>202003</v>
      </c>
      <c r="C198" s="4" t="str">
        <f>"d:\글로벌백업(180329)\04.수수료작업\"&amp;B198&amp;"수수료\"</f>
        <v>d:\글로벌백업(180329)\04.수수료작업\202003수수료\</v>
      </c>
      <c r="D198" s="4" t="str">
        <f t="shared" ref="D198" si="0">LEFT(B198,4)&amp;"-"&amp;MID(B198,5,2)&amp;" 수입원장(KJ).xlsx"</f>
        <v>2020-03 수입원장(KJ).xlsx</v>
      </c>
      <c r="E198" s="5" t="s">
        <v>505</v>
      </c>
    </row>
    <row r="199" spans="1:5">
      <c r="B199" s="4">
        <v>202003</v>
      </c>
      <c r="C199" s="4" t="str">
        <f>"d:\글로벌백업(180329)\04.수수료작업\"&amp;B199&amp;"수수료\"</f>
        <v>d:\글로벌백업(180329)\04.수수료작업\202003수수료\</v>
      </c>
      <c r="D199" s="4" t="str">
        <f t="shared" ref="D199" si="1">LEFT(B199,4)&amp;"-"&amp;MID(B199,5,2)&amp;" 수입원장(KJ).xlsx"</f>
        <v>2020-03 수입원장(KJ).xlsx</v>
      </c>
      <c r="E199" s="5" t="s">
        <v>505</v>
      </c>
    </row>
    <row r="200" spans="1:5">
      <c r="B200" s="4">
        <v>202002</v>
      </c>
      <c r="C200" s="4" t="str">
        <f>"d:\글로벌백업(180329)\04.수수료작업\"&amp;B200&amp;"수수료\"</f>
        <v>d:\글로벌백업(180329)\04.수수료작업\202002수수료\</v>
      </c>
      <c r="D200" s="4" t="str">
        <f t="shared" ref="D200" si="2">LEFT(B200,4)&amp;"-"&amp;MID(B200,5,2)&amp;" 수입원장(KJ).xlsx"</f>
        <v>2020-02 수입원장(KJ).xlsx</v>
      </c>
      <c r="E200" s="5" t="s">
        <v>505</v>
      </c>
    </row>
    <row r="201" spans="1:5">
      <c r="B201" s="4">
        <v>202001</v>
      </c>
      <c r="C201" s="4" t="str">
        <f>"d:\글로벌백업(180329)\04.수수료작업\"&amp;B201&amp;"수수료\"</f>
        <v>d:\글로벌백업(180329)\04.수수료작업\202001수수료\</v>
      </c>
      <c r="D201" s="4" t="str">
        <f t="shared" ref="D201:D215" si="3">LEFT(B201,4)&amp;"-"&amp;MID(B201,5,2)&amp;" 수입원장(KJ).xlsx"</f>
        <v>2020-01 수입원장(KJ).xlsx</v>
      </c>
      <c r="E201" s="5" t="s">
        <v>541</v>
      </c>
    </row>
    <row r="202" spans="1:5">
      <c r="B202" s="4">
        <v>201912</v>
      </c>
      <c r="C202" s="4" t="str">
        <f>"d:\글로벌백업(180329)\04.수수료작업\"&amp;B202&amp;"수수료\"</f>
        <v>d:\글로벌백업(180329)\04.수수료작업\201912수수료\</v>
      </c>
      <c r="D202" s="4" t="str">
        <f t="shared" si="3"/>
        <v>2019-12 수입원장(KJ).xlsx</v>
      </c>
      <c r="E202" s="5" t="s">
        <v>541</v>
      </c>
    </row>
    <row r="203" spans="1:5">
      <c r="B203" s="4">
        <v>201911</v>
      </c>
      <c r="C203" s="4" t="str">
        <f>"d:\글로벌백업(180329)\04.수수료작업\"&amp;B203&amp;"수수료\"</f>
        <v>d:\글로벌백업(180329)\04.수수료작업\201911수수료\</v>
      </c>
      <c r="D203" s="4" t="str">
        <f t="shared" si="3"/>
        <v>2019-11 수입원장(KJ).xlsx</v>
      </c>
      <c r="E203" s="5" t="s">
        <v>541</v>
      </c>
    </row>
    <row r="204" spans="1:5">
      <c r="B204" s="4">
        <v>201910</v>
      </c>
      <c r="C204" s="4" t="str">
        <f>"d:\글로벌백업(180329)\04.수수료작업\"&amp;B204&amp;"수수료\"</f>
        <v>d:\글로벌백업(180329)\04.수수료작업\201910수수료\</v>
      </c>
      <c r="D204" s="4" t="str">
        <f t="shared" si="3"/>
        <v>2019-10 수입원장(KJ).xlsx</v>
      </c>
      <c r="E204" s="5" t="s">
        <v>541</v>
      </c>
    </row>
    <row r="205" spans="1:5">
      <c r="B205" s="4">
        <v>201909</v>
      </c>
      <c r="C205" s="4" t="str">
        <f>"d:\글로벌백업(180329)\04.수수료작업\"&amp;B205&amp;"수수료\"</f>
        <v>d:\글로벌백업(180329)\04.수수료작업\201909수수료\</v>
      </c>
      <c r="D205" s="4" t="str">
        <f t="shared" si="3"/>
        <v>2019-09 수입원장(KJ).xlsx</v>
      </c>
      <c r="E205" s="5" t="s">
        <v>541</v>
      </c>
    </row>
    <row r="206" spans="1:5">
      <c r="B206" s="4">
        <v>201908</v>
      </c>
      <c r="C206" s="4" t="str">
        <f>"d:\글로벌백업(180329)\04.수수료작업\"&amp;B206&amp;"수수료\"</f>
        <v>d:\글로벌백업(180329)\04.수수료작업\201908수수료\</v>
      </c>
      <c r="D206" s="4" t="str">
        <f t="shared" si="3"/>
        <v>2019-08 수입원장(KJ).xlsx</v>
      </c>
      <c r="E206" s="5" t="s">
        <v>541</v>
      </c>
    </row>
    <row r="207" spans="1:5">
      <c r="B207" s="4">
        <v>201907</v>
      </c>
      <c r="C207" s="4" t="str">
        <f>"d:\글로벌백업(180329)\04.수수료작업\"&amp;B207&amp;"수수료\"</f>
        <v>d:\글로벌백업(180329)\04.수수료작업\201907수수료\</v>
      </c>
      <c r="D207" s="4" t="str">
        <f t="shared" si="3"/>
        <v>2019-07 수입원장(KJ).xlsx</v>
      </c>
      <c r="E207" s="5" t="s">
        <v>541</v>
      </c>
    </row>
    <row r="208" spans="1:5">
      <c r="B208" s="4">
        <v>201906</v>
      </c>
      <c r="C208" s="4" t="str">
        <f>"d:\글로벌백업(180329)\04.수수료작업\"&amp;B208&amp;"수수료\"</f>
        <v>d:\글로벌백업(180329)\04.수수료작업\201906수수료\</v>
      </c>
      <c r="D208" s="4" t="str">
        <f t="shared" si="3"/>
        <v>2019-06 수입원장(KJ).xlsx</v>
      </c>
      <c r="E208" s="5" t="s">
        <v>541</v>
      </c>
    </row>
    <row r="209" spans="2:5">
      <c r="B209" s="4">
        <v>201905</v>
      </c>
      <c r="C209" s="4" t="str">
        <f>"d:\글로벌백업(180329)\04.수수료작업\"&amp;B209&amp;"수수료\"</f>
        <v>d:\글로벌백업(180329)\04.수수료작업\201905수수료\</v>
      </c>
      <c r="D209" s="4" t="str">
        <f t="shared" si="3"/>
        <v>2019-05 수입원장(KJ).xlsx</v>
      </c>
      <c r="E209" s="5" t="s">
        <v>541</v>
      </c>
    </row>
    <row r="210" spans="2:5">
      <c r="B210" s="4">
        <v>201904</v>
      </c>
      <c r="C210" s="4" t="str">
        <f>"d:\글로벌백업(180329)\04.수수료작업\"&amp;B210&amp;"수수료\"</f>
        <v>d:\글로벌백업(180329)\04.수수료작업\201904수수료\</v>
      </c>
      <c r="D210" s="4" t="str">
        <f t="shared" si="3"/>
        <v>2019-04 수입원장(KJ).xlsx</v>
      </c>
      <c r="E210" s="5" t="s">
        <v>541</v>
      </c>
    </row>
    <row r="211" spans="2:5">
      <c r="B211" s="4">
        <v>201903</v>
      </c>
      <c r="C211" s="4" t="str">
        <f>"d:\글로벌백업(180329)\04.수수료작업\"&amp;B211&amp;"수수료\"</f>
        <v>d:\글로벌백업(180329)\04.수수료작업\201903수수료\</v>
      </c>
      <c r="D211" s="4" t="str">
        <f t="shared" si="3"/>
        <v>2019-03 수입원장(KJ).xlsx</v>
      </c>
      <c r="E211" s="5" t="s">
        <v>541</v>
      </c>
    </row>
    <row r="212" spans="2:5">
      <c r="B212" s="4">
        <v>201902</v>
      </c>
      <c r="C212" s="4" t="str">
        <f>"d:\글로벌백업(180329)\04.수수료작업\"&amp;B212&amp;"수수료\"</f>
        <v>d:\글로벌백업(180329)\04.수수료작업\201902수수료\</v>
      </c>
      <c r="D212" s="4" t="str">
        <f t="shared" si="3"/>
        <v>2019-02 수입원장(KJ).xlsx</v>
      </c>
      <c r="E212" s="5" t="s">
        <v>541</v>
      </c>
    </row>
    <row r="213" spans="2:5">
      <c r="B213" s="4">
        <v>201901</v>
      </c>
      <c r="C213" s="4" t="str">
        <f>"d:\글로벌백업(180329)\04.수수료작업\"&amp;B213&amp;"수수료\"</f>
        <v>d:\글로벌백업(180329)\04.수수료작업\201901수수료\</v>
      </c>
      <c r="D213" s="4" t="str">
        <f t="shared" si="3"/>
        <v>2019-01 수입원장(KJ).xlsx</v>
      </c>
      <c r="E213" s="5" t="s">
        <v>541</v>
      </c>
    </row>
    <row r="214" spans="2:5">
      <c r="B214" s="4">
        <v>201812</v>
      </c>
      <c r="C214" s="4" t="str">
        <f>"d:\글로벌백업(180329)\04.수수료작업\"&amp;B214&amp;"수수료\"</f>
        <v>d:\글로벌백업(180329)\04.수수료작업\201812수수료\</v>
      </c>
      <c r="D214" s="4" t="str">
        <f t="shared" si="3"/>
        <v>2018-12 수입원장(KJ).xlsx</v>
      </c>
      <c r="E214" s="5" t="s">
        <v>541</v>
      </c>
    </row>
    <row r="215" spans="2:5">
      <c r="B215" s="4">
        <v>201811</v>
      </c>
      <c r="C215" s="4" t="str">
        <f>"d:\글로벌백업(180329)\04.수수료작업\"&amp;B215&amp;"수수료\"</f>
        <v>d:\글로벌백업(180329)\04.수수료작업\201811수수료\</v>
      </c>
      <c r="D215" s="4" t="str">
        <f t="shared" si="3"/>
        <v>2018-11 수입원장(KJ).xlsx</v>
      </c>
      <c r="E215" s="5" t="s">
        <v>541</v>
      </c>
    </row>
    <row r="216" spans="2:5">
      <c r="B216" s="4">
        <v>201810</v>
      </c>
      <c r="C216" s="4" t="str">
        <f>"d:\글로벌백업(180329)\04.수수료작업\"&amp;B216&amp;"수수료\"</f>
        <v>d:\글로벌백업(180329)\04.수수료작업\201810수수료\</v>
      </c>
      <c r="D216" s="4" t="str">
        <f t="shared" ref="D216" si="4">LEFT(B216,4)&amp;"-"&amp;MID(B216,5,2)&amp;" 수입원장(KJ).xlsx"</f>
        <v>2018-10 수입원장(KJ).xlsx</v>
      </c>
      <c r="E216" s="5" t="s">
        <v>505</v>
      </c>
    </row>
    <row r="217" spans="2:5">
      <c r="B217" s="4"/>
      <c r="C217" s="4"/>
      <c r="D217" s="4"/>
      <c r="E217" s="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tFileName">
                <anchor moveWithCells="1" sizeWithCells="1">
                  <from>
                    <xdr:col>6</xdr:col>
                    <xdr:colOff>525780</xdr:colOff>
                    <xdr:row>93</xdr:row>
                    <xdr:rowOff>144780</xdr:rowOff>
                  </from>
                  <to>
                    <xdr:col>8</xdr:col>
                    <xdr:colOff>182880</xdr:colOff>
                    <xdr:row>95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9" tint="0.59999389629810485"/>
  </sheetPr>
  <dimension ref="A2:C39"/>
  <sheetViews>
    <sheetView workbookViewId="0">
      <selection activeCell="H15" sqref="H15"/>
    </sheetView>
  </sheetViews>
  <sheetFormatPr defaultRowHeight="17.399999999999999"/>
  <cols>
    <col min="1" max="1" width="20.09765625" bestFit="1" customWidth="1"/>
    <col min="2" max="2" width="15.09765625" bestFit="1" customWidth="1"/>
  </cols>
  <sheetData>
    <row r="2" spans="1:3">
      <c r="A2" s="131" t="s">
        <v>1368</v>
      </c>
      <c r="B2" s="131" t="s">
        <v>1369</v>
      </c>
      <c r="C2" t="s">
        <v>1431</v>
      </c>
    </row>
    <row r="3" spans="1:3">
      <c r="A3" t="s">
        <v>1370</v>
      </c>
      <c r="B3" t="s">
        <v>1371</v>
      </c>
      <c r="C3" t="s">
        <v>1431</v>
      </c>
    </row>
    <row r="4" spans="1:3">
      <c r="A4" t="s">
        <v>1372</v>
      </c>
      <c r="B4" t="s">
        <v>1373</v>
      </c>
      <c r="C4" t="s">
        <v>1431</v>
      </c>
    </row>
    <row r="5" spans="1:3">
      <c r="A5" t="s">
        <v>1374</v>
      </c>
      <c r="B5" t="s">
        <v>1375</v>
      </c>
      <c r="C5" t="s">
        <v>1431</v>
      </c>
    </row>
    <row r="6" spans="1:3">
      <c r="A6" t="s">
        <v>1376</v>
      </c>
      <c r="B6" t="s">
        <v>1377</v>
      </c>
      <c r="C6" t="s">
        <v>1431</v>
      </c>
    </row>
    <row r="7" spans="1:3">
      <c r="A7" t="s">
        <v>1378</v>
      </c>
      <c r="B7" t="s">
        <v>1379</v>
      </c>
      <c r="C7" t="s">
        <v>1431</v>
      </c>
    </row>
    <row r="8" spans="1:3">
      <c r="A8" t="s">
        <v>1380</v>
      </c>
      <c r="B8" t="s">
        <v>1381</v>
      </c>
      <c r="C8" t="s">
        <v>1431</v>
      </c>
    </row>
    <row r="9" spans="1:3">
      <c r="A9" t="s">
        <v>1382</v>
      </c>
      <c r="B9" t="s">
        <v>1383</v>
      </c>
      <c r="C9" t="s">
        <v>1431</v>
      </c>
    </row>
    <row r="10" spans="1:3">
      <c r="A10" t="s">
        <v>1384</v>
      </c>
      <c r="B10" t="s">
        <v>1385</v>
      </c>
      <c r="C10" t="s">
        <v>1431</v>
      </c>
    </row>
    <row r="11" spans="1:3">
      <c r="A11" t="s">
        <v>1386</v>
      </c>
      <c r="B11" t="s">
        <v>1387</v>
      </c>
      <c r="C11" t="s">
        <v>1431</v>
      </c>
    </row>
    <row r="12" spans="1:3">
      <c r="A12" t="s">
        <v>1388</v>
      </c>
      <c r="B12" t="s">
        <v>1389</v>
      </c>
      <c r="C12" t="s">
        <v>1431</v>
      </c>
    </row>
    <row r="13" spans="1:3">
      <c r="A13" t="s">
        <v>1390</v>
      </c>
      <c r="B13" t="s">
        <v>1391</v>
      </c>
      <c r="C13" t="s">
        <v>1431</v>
      </c>
    </row>
    <row r="14" spans="1:3">
      <c r="A14" t="s">
        <v>1392</v>
      </c>
      <c r="B14" t="s">
        <v>1393</v>
      </c>
      <c r="C14" t="s">
        <v>1431</v>
      </c>
    </row>
    <row r="15" spans="1:3">
      <c r="A15" t="s">
        <v>1394</v>
      </c>
      <c r="B15" t="s">
        <v>1395</v>
      </c>
      <c r="C15" t="s">
        <v>1431</v>
      </c>
    </row>
    <row r="16" spans="1:3">
      <c r="A16" t="s">
        <v>1396</v>
      </c>
      <c r="B16" t="s">
        <v>1397</v>
      </c>
      <c r="C16" t="s">
        <v>1431</v>
      </c>
    </row>
    <row r="17" spans="1:3">
      <c r="A17" t="s">
        <v>1398</v>
      </c>
      <c r="B17" t="s">
        <v>1399</v>
      </c>
      <c r="C17" t="s">
        <v>1431</v>
      </c>
    </row>
    <row r="18" spans="1:3">
      <c r="A18" t="s">
        <v>1400</v>
      </c>
      <c r="B18" t="s">
        <v>1401</v>
      </c>
      <c r="C18" t="s">
        <v>1431</v>
      </c>
    </row>
    <row r="19" spans="1:3">
      <c r="A19" t="s">
        <v>1402</v>
      </c>
      <c r="B19" t="s">
        <v>1403</v>
      </c>
      <c r="C19" t="s">
        <v>1431</v>
      </c>
    </row>
    <row r="20" spans="1:3">
      <c r="A20" t="s">
        <v>1404</v>
      </c>
      <c r="B20" t="s">
        <v>1405</v>
      </c>
      <c r="C20" t="s">
        <v>1431</v>
      </c>
    </row>
    <row r="21" spans="1:3">
      <c r="A21" t="s">
        <v>1406</v>
      </c>
      <c r="B21" t="s">
        <v>1407</v>
      </c>
      <c r="C21" t="s">
        <v>1431</v>
      </c>
    </row>
    <row r="22" spans="1:3">
      <c r="A22" t="s">
        <v>1408</v>
      </c>
      <c r="B22" t="s">
        <v>1409</v>
      </c>
      <c r="C22" t="s">
        <v>1431</v>
      </c>
    </row>
    <row r="23" spans="1:3">
      <c r="A23" t="s">
        <v>1410</v>
      </c>
      <c r="B23" t="s">
        <v>1411</v>
      </c>
      <c r="C23" t="s">
        <v>1431</v>
      </c>
    </row>
    <row r="24" spans="1:3">
      <c r="A24" t="s">
        <v>1412</v>
      </c>
      <c r="B24" t="s">
        <v>497</v>
      </c>
      <c r="C24" t="s">
        <v>1431</v>
      </c>
    </row>
    <row r="25" spans="1:3">
      <c r="A25" t="s">
        <v>1413</v>
      </c>
      <c r="B25" t="s">
        <v>196</v>
      </c>
      <c r="C25" t="s">
        <v>1431</v>
      </c>
    </row>
    <row r="26" spans="1:3">
      <c r="A26" t="s">
        <v>1414</v>
      </c>
      <c r="B26" t="s">
        <v>498</v>
      </c>
      <c r="C26" t="s">
        <v>1431</v>
      </c>
    </row>
    <row r="27" spans="1:3">
      <c r="A27" t="s">
        <v>1415</v>
      </c>
      <c r="B27" t="s">
        <v>502</v>
      </c>
      <c r="C27" t="s">
        <v>1431</v>
      </c>
    </row>
    <row r="28" spans="1:3">
      <c r="A28" t="s">
        <v>1416</v>
      </c>
      <c r="B28" t="s">
        <v>200</v>
      </c>
      <c r="C28" t="s">
        <v>1431</v>
      </c>
    </row>
    <row r="29" spans="1:3">
      <c r="A29" t="s">
        <v>1417</v>
      </c>
      <c r="B29" t="s">
        <v>501</v>
      </c>
      <c r="C29" t="s">
        <v>1431</v>
      </c>
    </row>
    <row r="30" spans="1:3">
      <c r="A30" t="s">
        <v>1418</v>
      </c>
      <c r="B30" t="s">
        <v>198</v>
      </c>
      <c r="C30" t="s">
        <v>1431</v>
      </c>
    </row>
    <row r="31" spans="1:3">
      <c r="A31" t="s">
        <v>1419</v>
      </c>
      <c r="B31" t="s">
        <v>503</v>
      </c>
      <c r="C31" t="s">
        <v>1431</v>
      </c>
    </row>
    <row r="32" spans="1:3">
      <c r="A32" t="s">
        <v>1420</v>
      </c>
      <c r="B32" t="s">
        <v>1421</v>
      </c>
      <c r="C32" t="s">
        <v>1431</v>
      </c>
    </row>
    <row r="33" spans="1:3">
      <c r="A33" t="s">
        <v>1422</v>
      </c>
      <c r="B33" t="s">
        <v>500</v>
      </c>
      <c r="C33" t="s">
        <v>1431</v>
      </c>
    </row>
    <row r="34" spans="1:3">
      <c r="A34" t="s">
        <v>1423</v>
      </c>
      <c r="B34" t="s">
        <v>197</v>
      </c>
      <c r="C34" t="s">
        <v>1431</v>
      </c>
    </row>
    <row r="35" spans="1:3">
      <c r="A35" t="s">
        <v>1424</v>
      </c>
      <c r="B35" t="s">
        <v>499</v>
      </c>
      <c r="C35" t="s">
        <v>1431</v>
      </c>
    </row>
    <row r="36" spans="1:3">
      <c r="A36" t="s">
        <v>1425</v>
      </c>
      <c r="B36" t="s">
        <v>1426</v>
      </c>
      <c r="C36" t="s">
        <v>1431</v>
      </c>
    </row>
    <row r="37" spans="1:3">
      <c r="A37" t="s">
        <v>1427</v>
      </c>
      <c r="B37" t="s">
        <v>1428</v>
      </c>
      <c r="C37" t="s">
        <v>1431</v>
      </c>
    </row>
    <row r="38" spans="1:3">
      <c r="A38" t="s">
        <v>1429</v>
      </c>
      <c r="B38" t="s">
        <v>1430</v>
      </c>
      <c r="C38" t="s">
        <v>1431</v>
      </c>
    </row>
    <row r="39" spans="1:3">
      <c r="A39" t="s">
        <v>1432</v>
      </c>
      <c r="B39" t="s">
        <v>505</v>
      </c>
      <c r="C39" t="s">
        <v>250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rename_sheet">
                <anchor moveWithCells="1" sizeWithCells="1">
                  <from>
                    <xdr:col>3</xdr:col>
                    <xdr:colOff>502920</xdr:colOff>
                    <xdr:row>3</xdr:row>
                    <xdr:rowOff>144780</xdr:rowOff>
                  </from>
                  <to>
                    <xdr:col>4</xdr:col>
                    <xdr:colOff>647700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Q12388"/>
  <sheetViews>
    <sheetView workbookViewId="0">
      <selection activeCell="A3" sqref="A3"/>
    </sheetView>
  </sheetViews>
  <sheetFormatPr defaultRowHeight="17.399999999999999"/>
  <cols>
    <col min="3" max="3" width="14.19921875" customWidth="1"/>
    <col min="8" max="8" width="13.69921875" customWidth="1"/>
    <col min="10" max="10" width="11.19921875" customWidth="1"/>
    <col min="13" max="13" width="16.09765625" customWidth="1"/>
  </cols>
  <sheetData>
    <row r="1" spans="1:21">
      <c r="A1" s="7" t="s">
        <v>9</v>
      </c>
      <c r="B1" s="7"/>
      <c r="C1" s="7"/>
      <c r="D1" s="7"/>
      <c r="E1" s="7"/>
      <c r="F1" s="7"/>
      <c r="G1" s="7"/>
      <c r="H1" s="7"/>
      <c r="J1" s="7" t="s">
        <v>10</v>
      </c>
      <c r="K1" s="6"/>
      <c r="L1" s="6"/>
      <c r="M1" s="6"/>
      <c r="N1" s="6"/>
      <c r="O1" s="3">
        <f>MAX(J15:O15)</f>
        <v>2</v>
      </c>
      <c r="Q1" s="6" t="s">
        <v>25</v>
      </c>
      <c r="R1" s="6"/>
      <c r="T1" s="6" t="s">
        <v>21</v>
      </c>
      <c r="U1" s="6"/>
    </row>
    <row r="2" spans="1:21">
      <c r="A2" s="8" t="s">
        <v>8</v>
      </c>
      <c r="B2" s="2" t="s">
        <v>3</v>
      </c>
      <c r="C2" s="138" t="e">
        <f ca="1">IF($A$3="파일1",VLOOKUP($A$4,파일1정보,2,0),VLOOKUP($A$4,파일2정보,2,0))</f>
        <v>#N/A</v>
      </c>
      <c r="D2" s="138"/>
      <c r="E2" s="138"/>
      <c r="F2" s="138"/>
      <c r="G2" s="138"/>
      <c r="H2" s="138"/>
      <c r="J2" s="22" t="s">
        <v>4</v>
      </c>
      <c r="K2" s="22" t="s">
        <v>5</v>
      </c>
      <c r="L2" s="22" t="s">
        <v>6</v>
      </c>
      <c r="M2" s="22" t="s">
        <v>0</v>
      </c>
      <c r="N2" s="23" t="s">
        <v>48</v>
      </c>
      <c r="O2" s="23"/>
      <c r="Q2" s="19" t="s">
        <v>28</v>
      </c>
      <c r="R2" s="19" t="s">
        <v>29</v>
      </c>
      <c r="T2" s="19" t="s">
        <v>22</v>
      </c>
      <c r="U2" s="20" t="s">
        <v>14</v>
      </c>
    </row>
    <row r="3" spans="1:21">
      <c r="A3" s="9" t="s">
        <v>44</v>
      </c>
      <c r="B3" s="2" t="s">
        <v>1</v>
      </c>
      <c r="C3" s="138" t="e">
        <f ca="1">IF($A$3="파일1",VLOOKUP($A$4,파일1정보,3,0),VLOOKUP($A$4,파일2정보,3,0))</f>
        <v>#N/A</v>
      </c>
      <c r="D3" s="138"/>
      <c r="E3" s="138"/>
      <c r="F3" s="138"/>
      <c r="G3" s="138"/>
      <c r="H3" s="138"/>
      <c r="J3" s="21" t="s">
        <v>50</v>
      </c>
      <c r="K3" s="21"/>
      <c r="L3" s="21"/>
      <c r="M3" s="21"/>
      <c r="N3" s="21" t="s">
        <v>49</v>
      </c>
      <c r="O3" s="21"/>
      <c r="Q3" s="19" t="s">
        <v>12</v>
      </c>
      <c r="R3" s="19" t="s">
        <v>27</v>
      </c>
      <c r="T3" s="20" t="s">
        <v>15</v>
      </c>
      <c r="U3" s="20" t="s">
        <v>16</v>
      </c>
    </row>
    <row r="4" spans="1:21">
      <c r="A4" s="9">
        <v>201712</v>
      </c>
      <c r="B4" s="2" t="s">
        <v>2</v>
      </c>
      <c r="C4" s="138" t="e">
        <f ca="1">IF($A$3="파일1",VLOOKUP($A$4,파일1정보,4,0),VLOOKUP($A$4,파일2정보,4,0))</f>
        <v>#N/A</v>
      </c>
      <c r="D4" s="138"/>
      <c r="E4" s="138"/>
      <c r="F4" s="138"/>
      <c r="G4" s="138"/>
      <c r="H4" s="138"/>
      <c r="J4" s="21"/>
      <c r="K4" s="21"/>
      <c r="L4" s="21"/>
      <c r="M4" s="21"/>
      <c r="N4" s="21"/>
      <c r="O4" s="21"/>
      <c r="Q4" s="19" t="s">
        <v>20</v>
      </c>
      <c r="R4" s="19" t="s">
        <v>13</v>
      </c>
      <c r="T4" s="20" t="s">
        <v>17</v>
      </c>
      <c r="U4" s="20" t="s">
        <v>18</v>
      </c>
    </row>
    <row r="5" spans="1:21">
      <c r="J5" s="21"/>
      <c r="K5" s="21"/>
      <c r="L5" s="21"/>
      <c r="M5" s="21"/>
      <c r="N5" s="21"/>
      <c r="O5" s="21"/>
      <c r="Q5" s="19" t="s">
        <v>26</v>
      </c>
      <c r="R5" s="19"/>
      <c r="T5" s="20" t="s">
        <v>19</v>
      </c>
      <c r="U5" s="19" t="s">
        <v>23</v>
      </c>
    </row>
    <row r="6" spans="1:21">
      <c r="J6" s="21"/>
      <c r="K6" s="21"/>
      <c r="L6" s="21"/>
      <c r="M6" s="21"/>
      <c r="N6" s="21"/>
      <c r="O6" s="21"/>
      <c r="Q6" s="19"/>
      <c r="R6" s="19"/>
      <c r="T6" s="19" t="s">
        <v>24</v>
      </c>
      <c r="U6" s="19"/>
    </row>
    <row r="7" spans="1:21">
      <c r="A7" s="14" t="s">
        <v>31</v>
      </c>
      <c r="D7" s="14" t="s">
        <v>32</v>
      </c>
      <c r="G7" s="14" t="s">
        <v>33</v>
      </c>
      <c r="J7" s="21"/>
      <c r="K7" s="21"/>
      <c r="L7" s="21"/>
      <c r="M7" s="21"/>
      <c r="N7" s="21"/>
      <c r="O7" s="21"/>
      <c r="Q7" s="19"/>
      <c r="R7" s="19"/>
      <c r="T7" s="19"/>
      <c r="U7" s="19"/>
    </row>
    <row r="8" spans="1:21">
      <c r="A8" s="14"/>
      <c r="C8" s="14"/>
      <c r="D8" s="14"/>
      <c r="G8" s="14"/>
      <c r="J8" s="21"/>
      <c r="K8" s="21"/>
      <c r="L8" s="21"/>
      <c r="M8" s="21"/>
      <c r="N8" s="21"/>
      <c r="O8" s="21"/>
      <c r="Q8" s="19"/>
      <c r="R8" s="19"/>
      <c r="T8" s="19"/>
      <c r="U8" s="19"/>
    </row>
    <row r="9" spans="1:21">
      <c r="A9" s="14"/>
      <c r="D9" s="14"/>
      <c r="G9" s="14"/>
      <c r="J9" s="21"/>
      <c r="K9" s="21"/>
      <c r="L9" s="21"/>
      <c r="M9" s="21"/>
      <c r="N9" s="21"/>
      <c r="O9" s="21"/>
      <c r="Q9" s="19"/>
      <c r="R9" s="19"/>
      <c r="T9" s="19"/>
      <c r="U9" s="19"/>
    </row>
    <row r="10" spans="1:21">
      <c r="A10" s="14"/>
      <c r="D10" s="14"/>
      <c r="G10" s="14"/>
      <c r="J10" s="21"/>
      <c r="K10" s="21"/>
      <c r="L10" s="21"/>
      <c r="M10" s="21"/>
      <c r="N10" s="21"/>
      <c r="O10" s="21"/>
      <c r="Q10" s="19"/>
      <c r="R10" s="19"/>
      <c r="T10" s="19"/>
      <c r="U10" s="19"/>
    </row>
    <row r="11" spans="1:21">
      <c r="J11" s="21"/>
      <c r="K11" s="21"/>
      <c r="L11" s="21"/>
      <c r="M11" s="21"/>
      <c r="N11" s="21"/>
      <c r="O11" s="21"/>
      <c r="Q11" s="19"/>
      <c r="R11" s="19"/>
      <c r="T11" s="19"/>
      <c r="U11" s="19"/>
    </row>
    <row r="12" spans="1:21">
      <c r="J12" s="21"/>
      <c r="K12" s="21"/>
      <c r="L12" s="21"/>
      <c r="M12" s="21"/>
      <c r="N12" s="21"/>
      <c r="O12" s="21"/>
      <c r="Q12" s="19"/>
      <c r="R12" s="19"/>
      <c r="T12" s="19"/>
      <c r="U12" s="19"/>
    </row>
    <row r="13" spans="1:21">
      <c r="A13" s="14" t="s">
        <v>47</v>
      </c>
      <c r="J13" s="21"/>
      <c r="K13" s="21"/>
      <c r="L13" s="21"/>
      <c r="M13" s="21"/>
      <c r="N13" s="21"/>
      <c r="O13" s="21"/>
      <c r="Q13" s="19"/>
      <c r="R13" s="19"/>
      <c r="T13" s="19"/>
      <c r="U13" s="19"/>
    </row>
    <row r="14" spans="1:21">
      <c r="J14" s="21"/>
      <c r="K14" s="21"/>
      <c r="L14" s="21"/>
      <c r="M14" s="21"/>
      <c r="N14" s="21"/>
      <c r="O14" s="21"/>
      <c r="Q14" s="19"/>
      <c r="R14" s="19"/>
      <c r="T14" s="19"/>
      <c r="U14" s="19"/>
    </row>
    <row r="15" spans="1:21">
      <c r="J15" s="3">
        <f t="shared" ref="J15:O15" si="0">COUNTA(J2:J14)</f>
        <v>2</v>
      </c>
      <c r="K15" s="3">
        <f t="shared" si="0"/>
        <v>1</v>
      </c>
      <c r="L15" s="3">
        <f t="shared" si="0"/>
        <v>1</v>
      </c>
      <c r="M15" s="3">
        <f t="shared" si="0"/>
        <v>1</v>
      </c>
      <c r="N15" s="3">
        <f t="shared" si="0"/>
        <v>2</v>
      </c>
      <c r="O15" s="3">
        <f t="shared" si="0"/>
        <v>0</v>
      </c>
    </row>
    <row r="17" spans="1:43" s="11" customFormat="1">
      <c r="A17" s="10" t="s">
        <v>11</v>
      </c>
    </row>
    <row r="18" spans="1:4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spans="1:4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spans="1:4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spans="1:4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spans="1:4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spans="1:4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spans="1:4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spans="1:4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spans="1:4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spans="1:4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spans="1:4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spans="1:4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spans="1:4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spans="1:4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1:4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spans="1:4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spans="1:4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spans="1:4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spans="1:4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spans="1:4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spans="1:4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spans="1:4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spans="1:4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spans="1:4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spans="1:4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spans="1:4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spans="1:4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spans="1:4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spans="1:4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spans="1:4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spans="1:4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spans="1:4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spans="1:4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</row>
    <row r="51" spans="1:4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</row>
    <row r="52" spans="1:4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</row>
    <row r="53" spans="1:4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</row>
    <row r="54" spans="1:4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</row>
    <row r="56" spans="1:4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</row>
    <row r="57" spans="1:4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</row>
    <row r="58" spans="1:4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</row>
    <row r="59" spans="1:4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</row>
    <row r="60" spans="1:4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</row>
    <row r="61" spans="1:4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</row>
    <row r="62" spans="1:4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</row>
    <row r="63" spans="1:4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</row>
    <row r="64" spans="1:4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</row>
    <row r="65" spans="1:4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</row>
    <row r="66" spans="1:4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</row>
    <row r="67" spans="1:4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</row>
    <row r="68" spans="1:4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</row>
    <row r="69" spans="1:4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</row>
    <row r="70" spans="1:4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</row>
    <row r="71" spans="1:4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</row>
    <row r="72" spans="1:4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</row>
    <row r="73" spans="1:4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</row>
    <row r="74" spans="1:4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</row>
    <row r="75" spans="1:4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</row>
    <row r="76" spans="1:4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</row>
    <row r="77" spans="1:4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</row>
    <row r="78" spans="1:4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</row>
    <row r="79" spans="1:4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</row>
    <row r="80" spans="1:4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</row>
    <row r="81" spans="1:4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</row>
    <row r="82" spans="1:4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</row>
    <row r="83" spans="1:4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</row>
    <row r="84" spans="1:4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</row>
    <row r="85" spans="1:4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</row>
    <row r="86" spans="1:4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</row>
    <row r="87" spans="1:4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</row>
    <row r="88" spans="1:4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</row>
    <row r="89" spans="1:4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</row>
    <row r="90" spans="1:4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</row>
    <row r="91" spans="1:4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</row>
    <row r="92" spans="1:4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</row>
    <row r="93" spans="1:4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</row>
    <row r="94" spans="1:4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</row>
    <row r="95" spans="1:4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</row>
    <row r="96" spans="1:4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</row>
    <row r="97" spans="1:4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</row>
    <row r="98" spans="1:4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</row>
    <row r="99" spans="1:4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</row>
    <row r="100" spans="1:4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</row>
    <row r="101" spans="1:4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</row>
    <row r="102" spans="1:4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</row>
    <row r="103" spans="1:4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</row>
    <row r="104" spans="1:4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</row>
    <row r="105" spans="1:4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</row>
    <row r="106" spans="1:4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</row>
    <row r="107" spans="1:4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</row>
    <row r="108" spans="1:4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</row>
    <row r="109" spans="1:4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</row>
    <row r="110" spans="1:4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</row>
    <row r="111" spans="1:4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</row>
    <row r="112" spans="1:4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</row>
    <row r="113" spans="1:4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</row>
    <row r="114" spans="1:4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</row>
    <row r="115" spans="1:4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</row>
    <row r="116" spans="1:4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</row>
    <row r="117" spans="1:4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</row>
    <row r="118" spans="1:4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</row>
    <row r="119" spans="1:4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</row>
    <row r="120" spans="1:4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</row>
    <row r="121" spans="1:4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</row>
    <row r="122" spans="1:4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</row>
    <row r="123" spans="1:4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</row>
    <row r="124" spans="1:4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</row>
    <row r="125" spans="1:4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</row>
    <row r="126" spans="1:4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</row>
    <row r="127" spans="1:4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</row>
    <row r="128" spans="1:4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</row>
    <row r="129" spans="1:4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</row>
    <row r="130" spans="1:4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</row>
    <row r="131" spans="1:4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</row>
    <row r="132" spans="1:4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</row>
    <row r="133" spans="1:4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</row>
    <row r="134" spans="1:4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</row>
    <row r="135" spans="1:4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</row>
    <row r="136" spans="1:4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</row>
    <row r="137" spans="1:4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</row>
    <row r="138" spans="1:4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</row>
    <row r="139" spans="1:4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</row>
    <row r="140" spans="1:4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</row>
    <row r="141" spans="1:4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</row>
    <row r="142" spans="1:4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</row>
    <row r="143" spans="1:4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</row>
    <row r="144" spans="1:4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</row>
    <row r="145" spans="1:4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</row>
    <row r="146" spans="1:4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</row>
    <row r="147" spans="1:4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</row>
    <row r="148" spans="1:4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</row>
    <row r="149" spans="1:4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</row>
    <row r="150" spans="1:4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</row>
    <row r="151" spans="1:4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</row>
    <row r="152" spans="1:4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</row>
    <row r="153" spans="1:4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</row>
    <row r="154" spans="1:4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</row>
    <row r="155" spans="1:4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</row>
    <row r="156" spans="1:4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</row>
    <row r="157" spans="1:4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</row>
    <row r="158" spans="1:4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</row>
    <row r="159" spans="1:4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</row>
    <row r="160" spans="1:4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</row>
    <row r="161" spans="1:4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</row>
    <row r="162" spans="1:4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</row>
    <row r="163" spans="1:4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</row>
    <row r="164" spans="1:4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</row>
    <row r="165" spans="1:4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</row>
    <row r="166" spans="1:4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</row>
    <row r="167" spans="1:4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</row>
    <row r="168" spans="1:4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</row>
    <row r="169" spans="1:4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</row>
    <row r="170" spans="1:4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</row>
    <row r="171" spans="1:4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</row>
    <row r="172" spans="1:4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</row>
    <row r="173" spans="1:4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</row>
    <row r="174" spans="1:4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</row>
    <row r="175" spans="1:4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</row>
    <row r="176" spans="1:4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</row>
    <row r="177" spans="1:4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</row>
    <row r="178" spans="1:4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</row>
    <row r="179" spans="1:4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</row>
    <row r="180" spans="1:4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</row>
    <row r="181" spans="1:4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</row>
    <row r="182" spans="1:4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</row>
    <row r="183" spans="1:4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</row>
    <row r="184" spans="1:4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</row>
    <row r="185" spans="1:4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</row>
    <row r="186" spans="1:4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</row>
    <row r="187" spans="1:4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</row>
    <row r="188" spans="1:4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</row>
    <row r="189" spans="1:4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</row>
    <row r="190" spans="1:4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</row>
    <row r="191" spans="1:4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</row>
    <row r="192" spans="1:4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</row>
    <row r="193" spans="1:4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</row>
    <row r="194" spans="1:4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</row>
    <row r="195" spans="1:4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</row>
    <row r="196" spans="1:4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</row>
    <row r="197" spans="1:4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</row>
    <row r="198" spans="1:4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</row>
    <row r="199" spans="1:4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</row>
    <row r="200" spans="1:4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</row>
    <row r="201" spans="1:4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</row>
    <row r="202" spans="1:4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</row>
    <row r="203" spans="1:4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</row>
    <row r="204" spans="1:4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</row>
    <row r="205" spans="1:4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</row>
    <row r="206" spans="1:4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</row>
    <row r="207" spans="1:4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</row>
    <row r="208" spans="1:4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</row>
    <row r="209" spans="1:4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</row>
    <row r="210" spans="1:4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</row>
    <row r="211" spans="1:4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</row>
    <row r="212" spans="1:4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</row>
    <row r="213" spans="1:4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</row>
    <row r="214" spans="1:4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</row>
    <row r="215" spans="1:4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</row>
    <row r="216" spans="1:4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</row>
    <row r="217" spans="1:4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</row>
    <row r="218" spans="1:4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</row>
    <row r="219" spans="1:4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</row>
    <row r="220" spans="1:4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</row>
    <row r="221" spans="1:4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</row>
    <row r="222" spans="1:4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</row>
    <row r="223" spans="1:4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</row>
    <row r="224" spans="1:4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</row>
    <row r="225" spans="1:4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</row>
    <row r="226" spans="1:4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</row>
    <row r="227" spans="1:4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</row>
    <row r="228" spans="1:4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</row>
    <row r="229" spans="1:4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</row>
    <row r="230" spans="1:4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</row>
    <row r="231" spans="1:4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</row>
    <row r="232" spans="1:4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</row>
    <row r="233" spans="1:4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</row>
    <row r="234" spans="1:4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</row>
    <row r="235" spans="1:4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</row>
    <row r="236" spans="1:4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</row>
    <row r="237" spans="1:4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</row>
    <row r="238" spans="1:4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</row>
    <row r="239" spans="1:4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</row>
    <row r="240" spans="1:4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</row>
    <row r="241" spans="1:4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</row>
    <row r="242" spans="1:4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</row>
    <row r="243" spans="1:4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</row>
    <row r="244" spans="1:4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</row>
    <row r="245" spans="1:4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</row>
    <row r="246" spans="1:4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</row>
    <row r="247" spans="1:4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</row>
    <row r="248" spans="1:4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</row>
    <row r="249" spans="1:4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</row>
    <row r="250" spans="1:4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</row>
    <row r="251" spans="1:4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</row>
    <row r="252" spans="1:4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</row>
    <row r="253" spans="1:4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</row>
    <row r="254" spans="1:4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</row>
    <row r="255" spans="1:4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</row>
    <row r="256" spans="1:4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</row>
    <row r="257" spans="1:4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</row>
    <row r="258" spans="1:4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</row>
    <row r="259" spans="1:4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</row>
    <row r="260" spans="1:4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</row>
    <row r="261" spans="1:4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</row>
    <row r="262" spans="1:4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</row>
    <row r="263" spans="1:4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</row>
    <row r="264" spans="1:4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</row>
    <row r="265" spans="1:4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</row>
    <row r="266" spans="1:4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</row>
    <row r="267" spans="1:4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</row>
    <row r="268" spans="1:4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</row>
    <row r="269" spans="1:4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</row>
    <row r="270" spans="1:4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</row>
    <row r="271" spans="1:4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</row>
    <row r="272" spans="1:4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</row>
    <row r="273" spans="1:4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</row>
    <row r="274" spans="1:4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</row>
    <row r="275" spans="1:4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</row>
    <row r="276" spans="1:4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</row>
    <row r="277" spans="1:4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</row>
    <row r="278" spans="1:4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</row>
    <row r="279" spans="1:4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</row>
    <row r="280" spans="1:4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</row>
    <row r="281" spans="1:4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</row>
    <row r="282" spans="1:4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</row>
    <row r="283" spans="1:4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</row>
    <row r="284" spans="1:4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</row>
    <row r="285" spans="1:4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</row>
    <row r="286" spans="1:4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</row>
    <row r="287" spans="1:4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</row>
    <row r="288" spans="1:4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</row>
    <row r="289" spans="1:4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</row>
    <row r="290" spans="1:4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</row>
    <row r="291" spans="1:4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</row>
    <row r="292" spans="1:4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</row>
    <row r="293" spans="1:4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</row>
    <row r="294" spans="1:4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</row>
    <row r="295" spans="1:4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</row>
    <row r="296" spans="1:4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</row>
    <row r="297" spans="1:4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</row>
    <row r="298" spans="1:4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</row>
    <row r="299" spans="1:4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</row>
    <row r="300" spans="1:4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</row>
    <row r="301" spans="1:4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</row>
    <row r="302" spans="1:4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</row>
    <row r="303" spans="1:4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</row>
    <row r="304" spans="1:4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</row>
    <row r="305" spans="1:4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</row>
    <row r="306" spans="1:4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</row>
    <row r="307" spans="1:4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</row>
    <row r="308" spans="1:4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</row>
    <row r="309" spans="1:4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</row>
    <row r="310" spans="1:4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</row>
    <row r="311" spans="1:4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</row>
    <row r="312" spans="1:4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</row>
    <row r="313" spans="1:4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</row>
    <row r="314" spans="1:4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</row>
    <row r="315" spans="1:4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</row>
    <row r="316" spans="1:4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</row>
    <row r="317" spans="1:4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</row>
    <row r="318" spans="1:4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</row>
    <row r="319" spans="1:4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</row>
    <row r="320" spans="1:4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spans="1:3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spans="1:3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spans="1:3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spans="1:3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spans="1:3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spans="1:3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spans="1:3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spans="1:3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spans="1:3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spans="1:3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spans="1:3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spans="1:3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spans="1:3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spans="1:3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spans="1:3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spans="1:3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spans="1:3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spans="1:3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spans="1:3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spans="1:3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spans="1:3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spans="1:3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spans="1:3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spans="1:3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spans="1:3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spans="1:3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spans="1:3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spans="1:3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spans="1:3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spans="1:3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spans="1:3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spans="1:3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spans="1:3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spans="1:3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spans="1:3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spans="1:3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spans="1:3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spans="1:3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spans="1:3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spans="1:3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spans="1:3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spans="1:3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spans="1:3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spans="1:3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spans="1:3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spans="1:3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spans="1:3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spans="1:3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spans="1:3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spans="1:3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spans="1:3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spans="1:3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spans="1:3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spans="1:3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spans="1:3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spans="1:3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spans="1:3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spans="1:3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spans="1:3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spans="1:3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spans="1:3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spans="1:3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spans="1:3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spans="1:3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spans="1:3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spans="1:3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spans="1:3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spans="1:3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spans="1:3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spans="1:3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spans="1:3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spans="1:3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spans="1:3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spans="1:3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spans="1:3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spans="1:3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spans="1:3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spans="1:3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spans="1:3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spans="1:3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spans="1:3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spans="1:3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spans="1:3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spans="1:3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spans="1:3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spans="1:3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spans="1:3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spans="1:3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spans="1:3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spans="1:3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spans="1:3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spans="1:3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spans="1:3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spans="1:3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spans="1:3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spans="1:3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spans="1:3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spans="1:3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spans="1:3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spans="1:3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spans="1:3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spans="1:3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spans="1:3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spans="1:3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spans="1:3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spans="1:3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spans="1:3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spans="1:3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spans="1:3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spans="1:3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spans="1:3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spans="1:3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spans="1:3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spans="1:3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spans="1:3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spans="1:3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spans="1:3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spans="1:3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spans="1:3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spans="1:3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spans="1:3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spans="1:3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spans="1:3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spans="1:3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spans="1:3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spans="1:3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spans="1:3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spans="1:3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spans="1:3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spans="1:3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spans="1:3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spans="1:3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spans="1:3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spans="1:3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spans="1:3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spans="1:3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spans="1:3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spans="1:3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spans="1:3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spans="1:3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spans="1:3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spans="1:3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spans="1:3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spans="1:3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spans="1:3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spans="1:3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spans="1:3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spans="1:3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spans="1:3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spans="1:3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spans="1:3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spans="1:3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spans="1:3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spans="1:3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spans="1:3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spans="1:3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spans="1:3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spans="1:3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spans="1:3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spans="1:3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spans="1:3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spans="1:3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spans="1:3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spans="1:34" s="17" customForma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spans="1:3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spans="1:3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spans="1:3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spans="1:3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spans="1:3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spans="1:3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spans="1:3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spans="1:3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spans="1:3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spans="1:3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spans="1:3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spans="1:3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spans="1:3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spans="1:3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spans="1:3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spans="1:3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spans="1:3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spans="1:3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spans="1:3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spans="1:3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spans="1:3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spans="1:3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spans="1:3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spans="1:3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spans="1:3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spans="1:3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spans="1:3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spans="1:3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spans="1:3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spans="1:3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spans="1:3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spans="1:3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spans="1:3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spans="1:3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spans="1:3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spans="1:3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spans="1:3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spans="1:3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spans="1:3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spans="1:3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spans="1:3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spans="1:3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spans="1:3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spans="1:3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spans="1:3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spans="1:3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spans="1:3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spans="1:3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spans="1:3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spans="1:3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spans="1:3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spans="1:3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spans="1:3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spans="1:3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spans="1:3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spans="1:3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spans="1:3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spans="1:3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spans="1:3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spans="1:3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spans="1:3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spans="1:3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spans="1:3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spans="1:3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spans="1:3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spans="1:3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spans="1:3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spans="1:3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spans="1:3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spans="1:3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spans="1:3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spans="1:3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spans="1:3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spans="1:3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spans="1:3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spans="1:3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spans="1:3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spans="1:3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spans="1:3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spans="1:3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spans="1:3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spans="1:3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spans="1:3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spans="1:3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spans="1:3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spans="1:3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spans="1:3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spans="1:3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spans="1:3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spans="1:3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spans="1:3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spans="1:3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spans="1:3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spans="1:3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spans="1:3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spans="1:3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spans="1:3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spans="1:3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spans="1:3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spans="1:3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spans="1:3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spans="1:3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spans="1:3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spans="1:3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spans="1:3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spans="1:3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spans="1:3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spans="1:3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spans="1:3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spans="1:3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spans="1:3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spans="1:3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spans="1:3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spans="1:3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spans="1:3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spans="1:3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spans="1:3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spans="1:3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spans="1:3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spans="1:3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spans="1:3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spans="1:3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spans="1:3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spans="1:3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spans="1:3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spans="1:3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spans="1:3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spans="1:3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spans="1:3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spans="1:3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spans="1:3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spans="1:3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spans="1:3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spans="1:3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spans="1:3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spans="1:3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spans="1:3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spans="1:3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spans="1:3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spans="1:3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spans="1:3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spans="1:3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spans="1:3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spans="1:3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spans="1:3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spans="1:3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spans="1:3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spans="1:3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spans="1:3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spans="1:3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spans="1:3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spans="1:3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spans="1:3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spans="1:3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spans="1:3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spans="1:3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spans="1:3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spans="1:3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spans="1:3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spans="1:3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spans="1:3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spans="1:3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spans="1:3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spans="1:3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spans="1:3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spans="1:3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spans="1:3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spans="1:3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spans="1:3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spans="1:3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spans="1:3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spans="1:3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spans="1:3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spans="1:3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spans="1:3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spans="1:3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spans="1:3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spans="1:3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spans="1:3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spans="1:3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spans="1:3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spans="1:3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spans="1:3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spans="1:3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spans="1:3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spans="1:3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spans="1:3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spans="1:3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spans="1:3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spans="1:3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spans="1:3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spans="1:3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spans="1:3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spans="1:3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spans="1:3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spans="1:3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spans="1:3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spans="1:3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spans="1:3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spans="1:3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spans="1:3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spans="1:3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spans="1:3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spans="1:3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spans="1:3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spans="1:3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spans="1:3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spans="1:3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spans="1:3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spans="1:3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spans="1:3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spans="1:3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spans="1:3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spans="1:3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spans="1:3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spans="1:3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spans="1:3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spans="1:3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spans="1:3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spans="1:3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spans="1:3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spans="1:3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spans="1:3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spans="1:3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spans="1:3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spans="1:3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spans="1:3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spans="1:3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spans="1:3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spans="1:3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spans="1:3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spans="1:3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spans="1:3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spans="1:3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spans="1:3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spans="1:3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spans="1:3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spans="1:3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spans="1:3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spans="1:3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spans="1:3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spans="1:3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spans="1:3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spans="1:3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spans="1:3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spans="1:3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spans="1:3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spans="1:3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spans="1:3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spans="1:3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spans="1:3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spans="1:3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spans="1:3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spans="1:3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spans="1:3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spans="1:3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spans="1:3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spans="1:3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spans="1:3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spans="1:3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spans="1:3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spans="1:3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spans="1:3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spans="1:3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spans="1:3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spans="1:3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spans="1:3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spans="1:3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spans="1:3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spans="1:3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spans="1:3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spans="1:3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spans="1:3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spans="1:3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spans="1:3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spans="1:3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spans="1:3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spans="1:3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spans="1:3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spans="1:3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spans="1:3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spans="1:3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spans="1:3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spans="1:3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spans="1:3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spans="1:3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spans="1:3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spans="1:3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spans="1:3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spans="1:3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spans="1:3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spans="1:3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spans="1:3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spans="1:3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spans="1:3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spans="1:3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spans="1:3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spans="1:3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spans="1:3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spans="1:3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spans="1:3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spans="1:3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spans="1:3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spans="1:3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spans="1:3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spans="1:3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spans="1:3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spans="1:3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spans="1:3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spans="1:3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spans="1:3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spans="1:3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spans="1:3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spans="1:3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spans="1:3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spans="1:3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spans="1:3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spans="1:3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spans="1:3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spans="1:3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spans="1:3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spans="1:3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spans="1:3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spans="1:3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spans="1:3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spans="1:3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spans="1:3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spans="1:3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spans="1:3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spans="1:3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spans="1:3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spans="1:3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spans="1:3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spans="1:3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spans="1:3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spans="1:3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spans="1:3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spans="1:3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spans="1:3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spans="1:3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spans="1:3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spans="1:3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spans="1:3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spans="1:3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spans="1:3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spans="1:3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spans="1:3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spans="1:3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spans="1:3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spans="1:3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spans="1:3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spans="1:3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spans="1:3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spans="1:3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spans="1:3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spans="1:3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spans="1:3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spans="1:3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spans="1:3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spans="1:3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spans="1:3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spans="1:3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spans="1:3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spans="1:3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spans="1:3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spans="1:3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spans="1:3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spans="1:3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spans="1:3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spans="1:3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spans="1:3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spans="1:3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spans="1:3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spans="1:3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spans="1:3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spans="1:3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spans="1:3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spans="1:3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spans="1:3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spans="1:3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spans="1:3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spans="1:3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spans="1:3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spans="1:3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spans="1:3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spans="1:3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spans="1:3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spans="1:3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spans="1:3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spans="1:3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spans="1:3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spans="1:3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spans="1:3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spans="1:3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spans="1:3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spans="1:3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spans="1:3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spans="1:3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spans="1:3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spans="1:3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spans="1:3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spans="1:3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spans="1:3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spans="1:3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spans="1:3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spans="1:3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spans="1:3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spans="1:3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spans="1:3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spans="1:3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spans="1:3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spans="1:3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spans="1:3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spans="1:3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spans="1:3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spans="1:3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spans="1:3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spans="1:3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spans="1:3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spans="1:3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spans="1:3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spans="1:3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spans="1:3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spans="1:3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spans="1:3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spans="1:3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spans="1:3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spans="1:3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spans="1:3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spans="1:3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spans="1:3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spans="1:3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spans="1:3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spans="1:3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spans="1:3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spans="1:3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spans="1:3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spans="1:3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spans="1:3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spans="1:3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spans="1:3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spans="1:3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spans="1:3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spans="1:3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spans="1:3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spans="1:3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spans="1:3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spans="1:3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spans="1:3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spans="1:3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spans="1:3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spans="1:3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spans="1:3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spans="1:3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spans="1:3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spans="1:3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spans="1:3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spans="1:3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spans="1:3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spans="1:3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spans="1:3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spans="1:3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spans="1:3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spans="1:3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spans="1:3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spans="1:3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spans="1:3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spans="1:3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spans="1:3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spans="1:3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spans="1:3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spans="1:3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spans="1:3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spans="1:3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spans="1:3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spans="1:3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spans="1:3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spans="1:3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spans="1:3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spans="1:3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spans="1:3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spans="1:3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spans="1:3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spans="1:3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spans="1:3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spans="1:3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spans="1:3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spans="1:3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spans="1:3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spans="1:3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spans="1:3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spans="1:3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spans="1:3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spans="1:3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spans="1:3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spans="1:3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spans="1:3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spans="1:3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spans="1:3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spans="1:3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spans="1:3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spans="1:3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spans="1:3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spans="1:3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spans="1:3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spans="1:3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spans="1:3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spans="1:3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spans="1:3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spans="1:3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spans="1:3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spans="1:3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  <row r="1001" spans="1:34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</row>
    <row r="1002" spans="1:34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</row>
    <row r="1003" spans="1:34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</row>
    <row r="1004" spans="1:34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</row>
    <row r="1005" spans="1:34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</row>
    <row r="1006" spans="1:34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</row>
    <row r="1007" spans="1:34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</row>
    <row r="1008" spans="1:34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</row>
    <row r="1009" spans="1:34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</row>
    <row r="1010" spans="1:34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</row>
    <row r="1011" spans="1:34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</row>
    <row r="1012" spans="1:34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</row>
    <row r="1013" spans="1:34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</row>
    <row r="1014" spans="1:34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</row>
    <row r="1015" spans="1:34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</row>
    <row r="1016" spans="1:34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</row>
    <row r="1017" spans="1:34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</row>
    <row r="1018" spans="1:34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</row>
    <row r="1019" spans="1:34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</row>
    <row r="1020" spans="1:34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</row>
    <row r="1021" spans="1:34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</row>
    <row r="1022" spans="1:34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</row>
    <row r="1023" spans="1:34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</row>
    <row r="1024" spans="1:34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</row>
    <row r="1025" spans="1:34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</row>
    <row r="1026" spans="1:34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</row>
    <row r="1027" spans="1:34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</row>
    <row r="1028" spans="1:34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</row>
    <row r="1029" spans="1:34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</row>
    <row r="1030" spans="1:34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</row>
    <row r="1031" spans="1:34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</row>
    <row r="1032" spans="1:34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</row>
    <row r="1033" spans="1:34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</row>
    <row r="1034" spans="1:34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</row>
    <row r="1035" spans="1:34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</row>
    <row r="1036" spans="1:34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</row>
    <row r="1037" spans="1:34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</row>
    <row r="1038" spans="1:34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</row>
    <row r="1039" spans="1:34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</row>
    <row r="1040" spans="1:34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</row>
    <row r="1041" spans="1:34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</row>
    <row r="1042" spans="1:34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</row>
    <row r="1043" spans="1:34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</row>
    <row r="1044" spans="1:34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</row>
    <row r="1045" spans="1:34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</row>
    <row r="1046" spans="1:34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</row>
    <row r="1047" spans="1:34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</row>
    <row r="1048" spans="1:34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</row>
    <row r="1049" spans="1:34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</row>
    <row r="1050" spans="1:34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</row>
    <row r="1051" spans="1:34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</row>
    <row r="1052" spans="1:34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</row>
    <row r="1053" spans="1:34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</row>
    <row r="1054" spans="1:34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</row>
    <row r="1055" spans="1:34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</row>
    <row r="1056" spans="1:34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</row>
    <row r="1057" spans="1:34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</row>
    <row r="1058" spans="1:34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</row>
    <row r="1059" spans="1:34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</row>
    <row r="1060" spans="1:34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</row>
    <row r="1061" spans="1:34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</row>
    <row r="1062" spans="1:34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</row>
    <row r="1063" spans="1:34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</row>
    <row r="1064" spans="1:34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</row>
    <row r="1065" spans="1:34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</row>
    <row r="1066" spans="1:34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</row>
    <row r="1067" spans="1:34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</row>
    <row r="1068" spans="1:34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</row>
    <row r="1069" spans="1:34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</row>
    <row r="1070" spans="1:34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</row>
    <row r="1071" spans="1:34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</row>
    <row r="1072" spans="1:34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</row>
    <row r="1073" spans="1:34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</row>
    <row r="1074" spans="1:34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</row>
    <row r="1075" spans="1:34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</row>
    <row r="1076" spans="1:34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</row>
    <row r="1077" spans="1:34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</row>
    <row r="1078" spans="1:34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</row>
    <row r="1079" spans="1:34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</row>
    <row r="1080" spans="1:34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</row>
    <row r="1081" spans="1:34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</row>
    <row r="1082" spans="1:34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</row>
    <row r="1083" spans="1:34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</row>
    <row r="1084" spans="1:34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</row>
    <row r="1085" spans="1:34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</row>
    <row r="1086" spans="1:34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</row>
    <row r="1087" spans="1:34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</row>
    <row r="1088" spans="1:34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</row>
    <row r="1089" spans="1:34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</row>
    <row r="1090" spans="1:34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</row>
    <row r="1091" spans="1:34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</row>
    <row r="1092" spans="1:34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</row>
    <row r="1093" spans="1:34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</row>
    <row r="1094" spans="1:34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</row>
    <row r="1095" spans="1:34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</row>
    <row r="1096" spans="1:34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8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</row>
    <row r="1097" spans="1:34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</row>
    <row r="1098" spans="1:34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</row>
    <row r="1099" spans="1:34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</row>
    <row r="1100" spans="1:34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</row>
    <row r="1101" spans="1:34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8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</row>
    <row r="1102" spans="1:34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8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</row>
    <row r="1103" spans="1:34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8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</row>
    <row r="1104" spans="1:34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</row>
    <row r="1105" spans="1:34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</row>
    <row r="1106" spans="1:34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</row>
    <row r="1107" spans="1:34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</row>
    <row r="1108" spans="1:34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</row>
    <row r="1109" spans="1:34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</row>
    <row r="1110" spans="1:34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</row>
    <row r="1111" spans="1:34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</row>
    <row r="1112" spans="1:34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</row>
    <row r="1113" spans="1:34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</row>
    <row r="1114" spans="1:34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</row>
    <row r="1115" spans="1:34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</row>
    <row r="1116" spans="1:34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</row>
    <row r="1117" spans="1:34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</row>
    <row r="1118" spans="1:34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</row>
    <row r="1119" spans="1:34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</row>
    <row r="1120" spans="1:34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</row>
    <row r="1121" spans="1:34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</row>
    <row r="1122" spans="1:34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</row>
    <row r="1123" spans="1:34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</row>
    <row r="1124" spans="1:34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</row>
    <row r="1125" spans="1:34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</row>
    <row r="1126" spans="1:34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</row>
    <row r="1127" spans="1:34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</row>
    <row r="1128" spans="1:34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</row>
    <row r="1129" spans="1:34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</row>
    <row r="1130" spans="1:34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</row>
    <row r="1131" spans="1:34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</row>
    <row r="1132" spans="1:34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</row>
    <row r="1133" spans="1:34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</row>
    <row r="1134" spans="1:34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</row>
    <row r="1135" spans="1:34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</row>
    <row r="1136" spans="1:34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</row>
    <row r="1137" spans="1:34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</row>
    <row r="1138" spans="1:34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</row>
    <row r="1139" spans="1:34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</row>
    <row r="1140" spans="1:34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</row>
    <row r="1141" spans="1:34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</row>
    <row r="1142" spans="1:34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</row>
    <row r="1143" spans="1:34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</row>
    <row r="1144" spans="1:34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</row>
    <row r="1145" spans="1:34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</row>
    <row r="1146" spans="1:34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</row>
    <row r="1147" spans="1:34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</row>
    <row r="1148" spans="1:34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</row>
    <row r="1149" spans="1:34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</row>
    <row r="1150" spans="1:34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</row>
    <row r="1151" spans="1:34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</row>
    <row r="1152" spans="1:34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</row>
    <row r="1153" spans="1:34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</row>
    <row r="1154" spans="1:34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</row>
    <row r="1155" spans="1:34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</row>
    <row r="1156" spans="1:34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</row>
    <row r="1157" spans="1:34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</row>
    <row r="1158" spans="1:34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</row>
    <row r="1159" spans="1:34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</row>
    <row r="1160" spans="1:34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</row>
    <row r="1161" spans="1:34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</row>
    <row r="1162" spans="1:34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</row>
    <row r="1163" spans="1:34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</row>
    <row r="1164" spans="1:34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</row>
    <row r="1165" spans="1:34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</row>
    <row r="1166" spans="1:34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</row>
    <row r="1167" spans="1:34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</row>
    <row r="1168" spans="1:34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</row>
    <row r="1169" spans="1:34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</row>
    <row r="1170" spans="1:34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</row>
    <row r="1171" spans="1:34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</row>
    <row r="1172" spans="1:34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</row>
    <row r="1173" spans="1:34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</row>
    <row r="1174" spans="1:34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</row>
    <row r="1175" spans="1:34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</row>
    <row r="1176" spans="1:34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</row>
    <row r="1177" spans="1:34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</row>
    <row r="1178" spans="1:34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</row>
    <row r="1179" spans="1:34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</row>
    <row r="1180" spans="1:34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</row>
    <row r="1181" spans="1:34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</row>
    <row r="1182" spans="1:34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</row>
    <row r="1183" spans="1:34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</row>
    <row r="1184" spans="1:34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</row>
    <row r="1185" spans="1:34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</row>
    <row r="1186" spans="1:34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</row>
    <row r="1187" spans="1:34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</row>
    <row r="1188" spans="1:34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</row>
    <row r="1189" spans="1:34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</row>
    <row r="1190" spans="1:34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</row>
    <row r="1191" spans="1:34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</row>
    <row r="1192" spans="1:34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</row>
    <row r="1193" spans="1:34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</row>
    <row r="1194" spans="1:34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</row>
    <row r="1195" spans="1:34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</row>
    <row r="1196" spans="1:34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</row>
    <row r="1197" spans="1:34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</row>
    <row r="1198" spans="1:34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</row>
    <row r="1199" spans="1:34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</row>
    <row r="1200" spans="1:34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</row>
    <row r="1201" spans="1:34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</row>
    <row r="1202" spans="1:34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</row>
    <row r="1203" spans="1:34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</row>
    <row r="1204" spans="1:34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</row>
    <row r="1205" spans="1:34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</row>
    <row r="1206" spans="1:34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</row>
    <row r="1207" spans="1:34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</row>
    <row r="1208" spans="1:34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</row>
    <row r="1209" spans="1:34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</row>
    <row r="1210" spans="1:34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</row>
    <row r="1211" spans="1:34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</row>
    <row r="1212" spans="1:34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</row>
    <row r="1213" spans="1:34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</row>
    <row r="1214" spans="1:34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</row>
    <row r="1215" spans="1:34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</row>
    <row r="1216" spans="1:34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</row>
    <row r="1217" spans="1:34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</row>
    <row r="1218" spans="1:34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</row>
    <row r="1219" spans="1:34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</row>
    <row r="1220" spans="1:34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</row>
    <row r="1221" spans="1:34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</row>
    <row r="1222" spans="1:34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</row>
    <row r="1223" spans="1:34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</row>
    <row r="1224" spans="1:34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</row>
    <row r="1225" spans="1:34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</row>
    <row r="1226" spans="1:34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</row>
    <row r="1227" spans="1:34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</row>
    <row r="1228" spans="1:34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</row>
    <row r="1229" spans="1:34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</row>
    <row r="1230" spans="1:34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</row>
    <row r="1231" spans="1:34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</row>
    <row r="1232" spans="1:34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</row>
    <row r="1233" spans="1:34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</row>
    <row r="1234" spans="1:34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</row>
    <row r="1235" spans="1:34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</row>
    <row r="1236" spans="1:34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</row>
    <row r="1237" spans="1:34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</row>
    <row r="1238" spans="1:34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</row>
    <row r="1239" spans="1:34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</row>
    <row r="1240" spans="1:34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</row>
    <row r="1241" spans="1:34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</row>
    <row r="1242" spans="1:34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</row>
    <row r="1243" spans="1:34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</row>
    <row r="1244" spans="1:34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</row>
    <row r="1245" spans="1:34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</row>
    <row r="1246" spans="1:34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</row>
    <row r="1247" spans="1:34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</row>
    <row r="1248" spans="1:34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</row>
    <row r="1249" spans="1:34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</row>
    <row r="1250" spans="1:34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</row>
    <row r="1251" spans="1:34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</row>
    <row r="1252" spans="1:34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</row>
    <row r="1253" spans="1:34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</row>
    <row r="1254" spans="1:34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</row>
    <row r="1255" spans="1:34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</row>
    <row r="1256" spans="1:34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</row>
    <row r="1257" spans="1:34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</row>
    <row r="1258" spans="1:34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</row>
    <row r="1259" spans="1:34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</row>
    <row r="1260" spans="1:34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</row>
    <row r="1261" spans="1:34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</row>
    <row r="1262" spans="1:34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</row>
    <row r="1263" spans="1:34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</row>
    <row r="1264" spans="1:34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</row>
    <row r="1265" spans="1:34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</row>
    <row r="1266" spans="1:34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</row>
    <row r="1267" spans="1:34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</row>
    <row r="1268" spans="1:34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</row>
    <row r="1269" spans="1:34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</row>
    <row r="1270" spans="1:34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</row>
    <row r="1271" spans="1:34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</row>
    <row r="1272" spans="1:34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</row>
    <row r="1273" spans="1:34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</row>
    <row r="1274" spans="1:34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</row>
    <row r="1275" spans="1:34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</row>
    <row r="1276" spans="1:34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</row>
    <row r="1277" spans="1:34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</row>
    <row r="1278" spans="1:34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</row>
    <row r="1279" spans="1:34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</row>
    <row r="1280" spans="1:34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</row>
    <row r="1281" spans="1:34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</row>
    <row r="1282" spans="1:34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</row>
    <row r="1283" spans="1:34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</row>
    <row r="1284" spans="1:34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</row>
    <row r="1285" spans="1:34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</row>
    <row r="1286" spans="1:34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</row>
    <row r="1287" spans="1:34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</row>
    <row r="1288" spans="1:34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</row>
    <row r="1289" spans="1:34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</row>
    <row r="1290" spans="1:34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</row>
    <row r="1291" spans="1:34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</row>
    <row r="1292" spans="1:34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</row>
    <row r="1293" spans="1:34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</row>
    <row r="1294" spans="1:34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</row>
    <row r="1295" spans="1:34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</row>
    <row r="1296" spans="1:34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</row>
    <row r="1297" spans="1:34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</row>
    <row r="1298" spans="1:34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</row>
    <row r="1299" spans="1:34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</row>
    <row r="1300" spans="1:34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</row>
    <row r="1301" spans="1:34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</row>
    <row r="1302" spans="1:34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</row>
    <row r="1303" spans="1:34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</row>
    <row r="1304" spans="1:34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</row>
    <row r="1305" spans="1:34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</row>
    <row r="1306" spans="1:34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</row>
    <row r="1307" spans="1:34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</row>
    <row r="1308" spans="1:34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</row>
    <row r="1309" spans="1:34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</row>
    <row r="1310" spans="1:34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</row>
    <row r="1311" spans="1:34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</row>
    <row r="1312" spans="1:34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</row>
    <row r="1313" spans="1:34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</row>
    <row r="1314" spans="1:34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</row>
    <row r="1315" spans="1:34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</row>
    <row r="1316" spans="1:34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</row>
    <row r="1317" spans="1:34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</row>
    <row r="1318" spans="1:34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</row>
    <row r="1319" spans="1:34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</row>
    <row r="1320" spans="1:34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</row>
    <row r="1321" spans="1:34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</row>
    <row r="1322" spans="1:34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</row>
    <row r="1323" spans="1:34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</row>
    <row r="1324" spans="1:34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</row>
    <row r="1325" spans="1:34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</row>
    <row r="1326" spans="1:34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</row>
    <row r="1327" spans="1:34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</row>
    <row r="1328" spans="1:34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</row>
    <row r="1329" spans="1:34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</row>
    <row r="1330" spans="1:34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</row>
    <row r="1331" spans="1:34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</row>
    <row r="1332" spans="1:34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</row>
    <row r="1333" spans="1:34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</row>
    <row r="1334" spans="1:34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</row>
    <row r="1335" spans="1:34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</row>
    <row r="1336" spans="1:34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</row>
    <row r="1337" spans="1:34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</row>
    <row r="1338" spans="1:34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</row>
    <row r="1339" spans="1:34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</row>
    <row r="1340" spans="1:34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</row>
    <row r="1341" spans="1:34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</row>
    <row r="1342" spans="1:34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</row>
    <row r="1343" spans="1:34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</row>
    <row r="1344" spans="1:34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</row>
    <row r="1345" spans="1:34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</row>
    <row r="1346" spans="1:34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</row>
    <row r="1347" spans="1:34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</row>
    <row r="1348" spans="1:34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</row>
    <row r="1349" spans="1:34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</row>
    <row r="1350" spans="1:34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</row>
    <row r="1351" spans="1:34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</row>
    <row r="1352" spans="1:34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</row>
    <row r="1353" spans="1:34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</row>
    <row r="1354" spans="1:34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</row>
    <row r="1355" spans="1:34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</row>
    <row r="1356" spans="1:34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</row>
    <row r="1357" spans="1:34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</row>
    <row r="1358" spans="1:34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</row>
    <row r="1359" spans="1:34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</row>
    <row r="1360" spans="1:34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</row>
    <row r="1361" spans="1:34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</row>
    <row r="1362" spans="1:34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</row>
    <row r="1363" spans="1:34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</row>
    <row r="1364" spans="1:34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</row>
    <row r="1365" spans="1:34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</row>
    <row r="1366" spans="1:34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</row>
    <row r="1367" spans="1:34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</row>
    <row r="1368" spans="1:34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</row>
    <row r="1369" spans="1:34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</row>
    <row r="1370" spans="1:34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</row>
    <row r="1371" spans="1:34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</row>
    <row r="1372" spans="1:34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</row>
    <row r="1373" spans="1:34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</row>
    <row r="1374" spans="1:34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</row>
    <row r="1375" spans="1:34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</row>
    <row r="1376" spans="1:34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</row>
    <row r="1377" spans="1:34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</row>
    <row r="1378" spans="1:34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</row>
    <row r="1379" spans="1:34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</row>
    <row r="1380" spans="1:34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</row>
    <row r="1381" spans="1:34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</row>
    <row r="1382" spans="1:34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</row>
    <row r="1383" spans="1:34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</row>
    <row r="1384" spans="1:34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</row>
    <row r="1385" spans="1:34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</row>
    <row r="1386" spans="1:34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</row>
    <row r="1387" spans="1:34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</row>
    <row r="1388" spans="1:34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</row>
    <row r="1389" spans="1:34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</row>
    <row r="1390" spans="1:34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</row>
    <row r="1391" spans="1:34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</row>
    <row r="1392" spans="1:34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</row>
    <row r="1393" spans="1:34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</row>
    <row r="1394" spans="1:34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</row>
    <row r="1395" spans="1:34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</row>
    <row r="1396" spans="1:34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</row>
    <row r="1397" spans="1:34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</row>
    <row r="1398" spans="1:34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</row>
    <row r="1399" spans="1:34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</row>
    <row r="1400" spans="1:34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</row>
    <row r="1401" spans="1:34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</row>
    <row r="1402" spans="1:34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</row>
    <row r="1403" spans="1:34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</row>
    <row r="1404" spans="1:34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</row>
    <row r="1405" spans="1:34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</row>
    <row r="1406" spans="1:34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</row>
    <row r="1407" spans="1:34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</row>
    <row r="1408" spans="1:34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</row>
    <row r="1409" spans="1:34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</row>
    <row r="1410" spans="1:34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</row>
    <row r="1411" spans="1:34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</row>
    <row r="1412" spans="1:34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</row>
    <row r="1413" spans="1:34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</row>
    <row r="1414" spans="1:34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</row>
    <row r="1415" spans="1:34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</row>
    <row r="1416" spans="1:34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</row>
    <row r="1417" spans="1:34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</row>
    <row r="1418" spans="1:34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</row>
    <row r="1419" spans="1:34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</row>
    <row r="1420" spans="1:34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</row>
    <row r="1421" spans="1:34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</row>
    <row r="1422" spans="1:34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</row>
    <row r="1423" spans="1:34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</row>
    <row r="1424" spans="1:34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</row>
    <row r="1425" spans="1:34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</row>
    <row r="1426" spans="1:34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</row>
    <row r="1427" spans="1:34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</row>
    <row r="1428" spans="1:34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</row>
    <row r="1429" spans="1:34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</row>
    <row r="1430" spans="1:34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</row>
    <row r="1431" spans="1:34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</row>
    <row r="1432" spans="1:34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</row>
    <row r="1433" spans="1:34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</row>
    <row r="1434" spans="1:34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</row>
    <row r="1435" spans="1:34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</row>
    <row r="1436" spans="1:34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</row>
    <row r="1437" spans="1:34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</row>
    <row r="1438" spans="1:34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</row>
    <row r="1439" spans="1:34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</row>
    <row r="1440" spans="1:34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</row>
    <row r="1441" spans="1:34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</row>
    <row r="1442" spans="1:34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</row>
    <row r="1443" spans="1:34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</row>
    <row r="1444" spans="1:34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</row>
    <row r="1445" spans="1:34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</row>
    <row r="1446" spans="1:34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</row>
    <row r="1447" spans="1:34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</row>
    <row r="1448" spans="1:34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</row>
    <row r="1449" spans="1:34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</row>
    <row r="1450" spans="1:34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</row>
    <row r="1451" spans="1:34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</row>
    <row r="1452" spans="1:34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</row>
    <row r="1453" spans="1:34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</row>
    <row r="1454" spans="1:34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</row>
    <row r="1455" spans="1:34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</row>
    <row r="1456" spans="1:34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</row>
    <row r="1457" spans="1:34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</row>
    <row r="1458" spans="1:34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</row>
    <row r="1459" spans="1:34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</row>
    <row r="1460" spans="1:34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</row>
    <row r="1461" spans="1:34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</row>
    <row r="1462" spans="1:34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</row>
    <row r="1463" spans="1:34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</row>
    <row r="1464" spans="1:34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</row>
    <row r="1465" spans="1:34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</row>
    <row r="1466" spans="1:34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</row>
    <row r="1467" spans="1:34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</row>
    <row r="1468" spans="1:34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</row>
    <row r="1469" spans="1:34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</row>
    <row r="1470" spans="1:34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</row>
    <row r="1471" spans="1:34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</row>
    <row r="1472" spans="1:34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</row>
    <row r="1473" spans="1:34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</row>
    <row r="1474" spans="1:34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</row>
    <row r="1475" spans="1:34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</row>
    <row r="1476" spans="1:34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</row>
    <row r="1477" spans="1:34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</row>
    <row r="1478" spans="1:34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</row>
    <row r="1479" spans="1:34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  <c r="AF1479" s="1"/>
      <c r="AG1479" s="1"/>
      <c r="AH1479" s="1"/>
    </row>
    <row r="1480" spans="1:34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  <c r="AF1480" s="1"/>
      <c r="AG1480" s="1"/>
      <c r="AH1480" s="1"/>
    </row>
    <row r="1481" spans="1:34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  <c r="AF1481" s="1"/>
      <c r="AG1481" s="1"/>
      <c r="AH1481" s="1"/>
    </row>
    <row r="1482" spans="1:34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  <c r="AF1482" s="1"/>
      <c r="AG1482" s="1"/>
      <c r="AH1482" s="1"/>
    </row>
    <row r="1483" spans="1:34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  <c r="AF1483" s="1"/>
      <c r="AG1483" s="1"/>
      <c r="AH1483" s="1"/>
    </row>
    <row r="1484" spans="1:34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  <c r="AF1484" s="1"/>
      <c r="AG1484" s="1"/>
      <c r="AH1484" s="1"/>
    </row>
    <row r="1485" spans="1:34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  <c r="AF1485" s="1"/>
      <c r="AG1485" s="1"/>
      <c r="AH1485" s="1"/>
    </row>
    <row r="1486" spans="1:34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  <c r="AF1486" s="1"/>
      <c r="AG1486" s="1"/>
      <c r="AH1486" s="1"/>
    </row>
    <row r="1487" spans="1:34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  <c r="AF1487" s="1"/>
      <c r="AG1487" s="1"/>
      <c r="AH1487" s="1"/>
    </row>
    <row r="1488" spans="1:34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  <c r="AF1488" s="1"/>
      <c r="AG1488" s="1"/>
      <c r="AH1488" s="1"/>
    </row>
    <row r="1489" spans="1:34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  <c r="AF1489" s="1"/>
      <c r="AG1489" s="1"/>
      <c r="AH1489" s="1"/>
    </row>
    <row r="1490" spans="1:34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  <c r="AF1490" s="1"/>
      <c r="AG1490" s="1"/>
      <c r="AH1490" s="1"/>
    </row>
    <row r="1491" spans="1:34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  <c r="AF1491" s="1"/>
      <c r="AG1491" s="1"/>
      <c r="AH1491" s="1"/>
    </row>
    <row r="1492" spans="1:34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  <c r="AF1492" s="1"/>
      <c r="AG1492" s="1"/>
      <c r="AH1492" s="1"/>
    </row>
    <row r="1493" spans="1:34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  <c r="AF1493" s="1"/>
      <c r="AG1493" s="1"/>
      <c r="AH1493" s="1"/>
    </row>
    <row r="1494" spans="1:34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  <c r="AF1494" s="1"/>
      <c r="AG1494" s="1"/>
      <c r="AH1494" s="1"/>
    </row>
    <row r="1495" spans="1:34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  <c r="AF1495" s="1"/>
      <c r="AG1495" s="1"/>
      <c r="AH1495" s="1"/>
    </row>
    <row r="1496" spans="1:34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  <c r="AF1496" s="1"/>
      <c r="AG1496" s="1"/>
      <c r="AH1496" s="1"/>
    </row>
    <row r="1497" spans="1:34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  <c r="AF1497" s="1"/>
      <c r="AG1497" s="1"/>
      <c r="AH1497" s="1"/>
    </row>
    <row r="1498" spans="1:34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  <c r="AF1498" s="1"/>
      <c r="AG1498" s="1"/>
      <c r="AH1498" s="1"/>
    </row>
    <row r="1499" spans="1:34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  <c r="AF1499" s="1"/>
      <c r="AG1499" s="1"/>
      <c r="AH1499" s="1"/>
    </row>
    <row r="1500" spans="1:34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  <c r="AF1500" s="1"/>
      <c r="AG1500" s="1"/>
      <c r="AH1500" s="1"/>
    </row>
    <row r="1501" spans="1:34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  <c r="AF1501" s="1"/>
      <c r="AG1501" s="1"/>
      <c r="AH1501" s="1"/>
    </row>
    <row r="1502" spans="1:34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  <c r="AF1502" s="1"/>
      <c r="AG1502" s="1"/>
      <c r="AH1502" s="1"/>
    </row>
    <row r="1503" spans="1:34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  <c r="AF1503" s="1"/>
      <c r="AG1503" s="1"/>
      <c r="AH1503" s="1"/>
    </row>
    <row r="1504" spans="1:34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  <c r="AF1504" s="1"/>
      <c r="AG1504" s="1"/>
      <c r="AH1504" s="1"/>
    </row>
    <row r="1505" spans="1:34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  <c r="AF1505" s="1"/>
      <c r="AG1505" s="1"/>
      <c r="AH1505" s="1"/>
    </row>
    <row r="1506" spans="1:34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  <c r="AF1506" s="1"/>
      <c r="AG1506" s="1"/>
      <c r="AH1506" s="1"/>
    </row>
    <row r="1507" spans="1:34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  <c r="AF1507" s="1"/>
      <c r="AG1507" s="1"/>
      <c r="AH1507" s="1"/>
    </row>
    <row r="1508" spans="1:34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  <c r="AF1508" s="1"/>
      <c r="AG1508" s="1"/>
      <c r="AH1508" s="1"/>
    </row>
    <row r="1509" spans="1:34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  <c r="AF1509" s="1"/>
      <c r="AG1509" s="1"/>
      <c r="AH1509" s="1"/>
    </row>
    <row r="1510" spans="1:34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  <c r="AF1510" s="1"/>
      <c r="AG1510" s="1"/>
      <c r="AH1510" s="1"/>
    </row>
    <row r="1511" spans="1:34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  <c r="AF1511" s="1"/>
      <c r="AG1511" s="1"/>
      <c r="AH1511" s="1"/>
    </row>
    <row r="1512" spans="1:34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  <c r="AF1512" s="1"/>
      <c r="AG1512" s="1"/>
      <c r="AH1512" s="1"/>
    </row>
    <row r="1513" spans="1:34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  <c r="AF1513" s="1"/>
      <c r="AG1513" s="1"/>
      <c r="AH1513" s="1"/>
    </row>
    <row r="1514" spans="1:34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  <c r="AF1514" s="1"/>
      <c r="AG1514" s="1"/>
      <c r="AH1514" s="1"/>
    </row>
    <row r="1515" spans="1:34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  <c r="AF1515" s="1"/>
      <c r="AG1515" s="1"/>
      <c r="AH1515" s="1"/>
    </row>
    <row r="1516" spans="1:34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  <c r="AF1516" s="1"/>
      <c r="AG1516" s="1"/>
      <c r="AH1516" s="1"/>
    </row>
    <row r="1517" spans="1:34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  <c r="AF1517" s="1"/>
      <c r="AG1517" s="1"/>
      <c r="AH1517" s="1"/>
    </row>
    <row r="1518" spans="1:34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  <c r="AF1518" s="1"/>
      <c r="AG1518" s="1"/>
      <c r="AH1518" s="1"/>
    </row>
    <row r="1519" spans="1:34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  <c r="AF1519" s="1"/>
      <c r="AG1519" s="1"/>
      <c r="AH1519" s="1"/>
    </row>
    <row r="1520" spans="1:34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  <c r="AF1520" s="1"/>
      <c r="AG1520" s="1"/>
      <c r="AH1520" s="1"/>
    </row>
    <row r="1521" spans="1:34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  <c r="AF1521" s="1"/>
      <c r="AG1521" s="1"/>
      <c r="AH1521" s="1"/>
    </row>
    <row r="1522" spans="1:34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  <c r="AF1522" s="1"/>
      <c r="AG1522" s="1"/>
      <c r="AH1522" s="1"/>
    </row>
    <row r="1523" spans="1:34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  <c r="AF1523" s="1"/>
      <c r="AG1523" s="1"/>
      <c r="AH1523" s="1"/>
    </row>
    <row r="1524" spans="1:34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  <c r="AF1524" s="1"/>
      <c r="AG1524" s="1"/>
      <c r="AH1524" s="1"/>
    </row>
    <row r="1525" spans="1:34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  <c r="AF1525" s="1"/>
      <c r="AG1525" s="1"/>
      <c r="AH1525" s="1"/>
    </row>
    <row r="1526" spans="1:34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  <c r="AF1526" s="1"/>
      <c r="AG1526" s="1"/>
      <c r="AH1526" s="1"/>
    </row>
    <row r="1527" spans="1:34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  <c r="AF1527" s="1"/>
      <c r="AG1527" s="1"/>
      <c r="AH1527" s="1"/>
    </row>
    <row r="1528" spans="1:34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  <c r="AF1528" s="1"/>
      <c r="AG1528" s="1"/>
      <c r="AH1528" s="1"/>
    </row>
    <row r="1529" spans="1:34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  <c r="AF1529" s="1"/>
      <c r="AG1529" s="1"/>
      <c r="AH1529" s="1"/>
    </row>
    <row r="1530" spans="1:34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  <c r="AF1530" s="1"/>
      <c r="AG1530" s="1"/>
      <c r="AH1530" s="1"/>
    </row>
    <row r="1531" spans="1:34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  <c r="AF1531" s="1"/>
      <c r="AG1531" s="1"/>
      <c r="AH1531" s="1"/>
    </row>
    <row r="1532" spans="1:34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  <c r="AF1532" s="1"/>
      <c r="AG1532" s="1"/>
      <c r="AH1532" s="1"/>
    </row>
    <row r="1533" spans="1:34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  <c r="AF1533" s="1"/>
      <c r="AG1533" s="1"/>
      <c r="AH1533" s="1"/>
    </row>
    <row r="1534" spans="1:34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  <c r="AF1534" s="1"/>
      <c r="AG1534" s="1"/>
      <c r="AH1534" s="1"/>
    </row>
    <row r="1535" spans="1:34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  <c r="AF1535" s="1"/>
      <c r="AG1535" s="1"/>
      <c r="AH1535" s="1"/>
    </row>
    <row r="1536" spans="1:34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  <c r="AF1536" s="1"/>
      <c r="AG1536" s="1"/>
      <c r="AH1536" s="1"/>
    </row>
    <row r="1537" spans="1:34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  <c r="AF1537" s="1"/>
      <c r="AG1537" s="1"/>
      <c r="AH1537" s="1"/>
    </row>
    <row r="1538" spans="1:34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  <c r="AF1538" s="1"/>
      <c r="AG1538" s="1"/>
      <c r="AH1538" s="1"/>
    </row>
    <row r="1539" spans="1:34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  <c r="AF1539" s="1"/>
      <c r="AG1539" s="1"/>
      <c r="AH1539" s="1"/>
    </row>
    <row r="1540" spans="1:34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  <c r="AF1540" s="1"/>
      <c r="AG1540" s="1"/>
      <c r="AH1540" s="1"/>
    </row>
    <row r="1541" spans="1:34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  <c r="AF1541" s="1"/>
      <c r="AG1541" s="1"/>
      <c r="AH1541" s="1"/>
    </row>
    <row r="1542" spans="1:34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"/>
      <c r="AC1542" s="1"/>
      <c r="AD1542" s="1"/>
      <c r="AE1542" s="1"/>
      <c r="AF1542" s="1"/>
      <c r="AG1542" s="1"/>
      <c r="AH1542" s="1"/>
    </row>
    <row r="1543" spans="1:34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"/>
      <c r="AC1543" s="1"/>
      <c r="AD1543" s="1"/>
      <c r="AE1543" s="1"/>
      <c r="AF1543" s="1"/>
      <c r="AG1543" s="1"/>
      <c r="AH1543" s="1"/>
    </row>
    <row r="1544" spans="1:34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"/>
      <c r="AC1544" s="1"/>
      <c r="AD1544" s="1"/>
      <c r="AE1544" s="1"/>
      <c r="AF1544" s="1"/>
      <c r="AG1544" s="1"/>
      <c r="AH1544" s="1"/>
    </row>
    <row r="1545" spans="1:34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"/>
      <c r="AC1545" s="1"/>
      <c r="AD1545" s="1"/>
      <c r="AE1545" s="1"/>
      <c r="AF1545" s="1"/>
      <c r="AG1545" s="1"/>
      <c r="AH1545" s="1"/>
    </row>
    <row r="1546" spans="1:34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"/>
      <c r="AC1546" s="1"/>
      <c r="AD1546" s="1"/>
      <c r="AE1546" s="1"/>
      <c r="AF1546" s="1"/>
      <c r="AG1546" s="1"/>
      <c r="AH1546" s="1"/>
    </row>
    <row r="1547" spans="1:34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"/>
      <c r="AC1547" s="1"/>
      <c r="AD1547" s="1"/>
      <c r="AE1547" s="1"/>
      <c r="AF1547" s="1"/>
      <c r="AG1547" s="1"/>
      <c r="AH1547" s="1"/>
    </row>
    <row r="1548" spans="1:34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"/>
      <c r="AC1548" s="1"/>
      <c r="AD1548" s="1"/>
      <c r="AE1548" s="1"/>
      <c r="AF1548" s="1"/>
      <c r="AG1548" s="1"/>
      <c r="AH1548" s="1"/>
    </row>
    <row r="1549" spans="1:34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"/>
      <c r="AC1549" s="1"/>
      <c r="AD1549" s="1"/>
      <c r="AE1549" s="1"/>
      <c r="AF1549" s="1"/>
      <c r="AG1549" s="1"/>
      <c r="AH1549" s="1"/>
    </row>
    <row r="1550" spans="1:34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"/>
      <c r="AC1550" s="1"/>
      <c r="AD1550" s="1"/>
      <c r="AE1550" s="1"/>
      <c r="AF1550" s="1"/>
      <c r="AG1550" s="1"/>
      <c r="AH1550" s="1"/>
    </row>
    <row r="1551" spans="1:34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"/>
      <c r="AC1551" s="1"/>
      <c r="AD1551" s="1"/>
      <c r="AE1551" s="1"/>
      <c r="AF1551" s="1"/>
      <c r="AG1551" s="1"/>
      <c r="AH1551" s="1"/>
    </row>
    <row r="1552" spans="1:34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"/>
      <c r="AC1552" s="1"/>
      <c r="AD1552" s="1"/>
      <c r="AE1552" s="1"/>
      <c r="AF1552" s="1"/>
      <c r="AG1552" s="1"/>
      <c r="AH1552" s="1"/>
    </row>
    <row r="1553" spans="1:34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"/>
      <c r="AC1553" s="1"/>
      <c r="AD1553" s="1"/>
      <c r="AE1553" s="1"/>
      <c r="AF1553" s="1"/>
      <c r="AG1553" s="1"/>
      <c r="AH1553" s="1"/>
    </row>
    <row r="1554" spans="1:34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"/>
      <c r="AC1554" s="1"/>
      <c r="AD1554" s="1"/>
      <c r="AE1554" s="1"/>
      <c r="AF1554" s="1"/>
      <c r="AG1554" s="1"/>
      <c r="AH1554" s="1"/>
    </row>
    <row r="1555" spans="1:34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"/>
      <c r="AC1555" s="1"/>
      <c r="AD1555" s="1"/>
      <c r="AE1555" s="1"/>
      <c r="AF1555" s="1"/>
      <c r="AG1555" s="1"/>
      <c r="AH1555" s="1"/>
    </row>
    <row r="1556" spans="1:34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"/>
      <c r="AC1556" s="1"/>
      <c r="AD1556" s="1"/>
      <c r="AE1556" s="1"/>
      <c r="AF1556" s="1"/>
      <c r="AG1556" s="1"/>
      <c r="AH1556" s="1"/>
    </row>
    <row r="1557" spans="1:34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"/>
      <c r="AC1557" s="1"/>
      <c r="AD1557" s="1"/>
      <c r="AE1557" s="1"/>
      <c r="AF1557" s="1"/>
      <c r="AG1557" s="1"/>
      <c r="AH1557" s="1"/>
    </row>
    <row r="1558" spans="1:34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"/>
      <c r="AC1558" s="1"/>
      <c r="AD1558" s="1"/>
      <c r="AE1558" s="1"/>
      <c r="AF1558" s="1"/>
      <c r="AG1558" s="1"/>
      <c r="AH1558" s="1"/>
    </row>
    <row r="1559" spans="1:34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"/>
      <c r="AC1559" s="1"/>
      <c r="AD1559" s="1"/>
      <c r="AE1559" s="1"/>
      <c r="AF1559" s="1"/>
      <c r="AG1559" s="1"/>
      <c r="AH1559" s="1"/>
    </row>
    <row r="1560" spans="1:34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"/>
      <c r="AC1560" s="1"/>
      <c r="AD1560" s="1"/>
      <c r="AE1560" s="1"/>
      <c r="AF1560" s="1"/>
      <c r="AG1560" s="1"/>
      <c r="AH1560" s="1"/>
    </row>
    <row r="1561" spans="1:34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"/>
      <c r="AC1561" s="1"/>
      <c r="AD1561" s="1"/>
      <c r="AE1561" s="1"/>
      <c r="AF1561" s="1"/>
      <c r="AG1561" s="1"/>
      <c r="AH1561" s="1"/>
    </row>
    <row r="1562" spans="1:34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"/>
      <c r="AC1562" s="1"/>
      <c r="AD1562" s="1"/>
      <c r="AE1562" s="1"/>
      <c r="AF1562" s="1"/>
      <c r="AG1562" s="1"/>
      <c r="AH1562" s="1"/>
    </row>
    <row r="1563" spans="1:34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  <c r="AD1563" s="1"/>
      <c r="AE1563" s="1"/>
      <c r="AF1563" s="1"/>
      <c r="AG1563" s="1"/>
      <c r="AH1563" s="1"/>
    </row>
    <row r="1564" spans="1:34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"/>
      <c r="AC1564" s="1"/>
      <c r="AD1564" s="1"/>
      <c r="AE1564" s="1"/>
      <c r="AF1564" s="1"/>
      <c r="AG1564" s="1"/>
      <c r="AH1564" s="1"/>
    </row>
    <row r="1565" spans="1:34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"/>
      <c r="AC1565" s="1"/>
      <c r="AD1565" s="1"/>
      <c r="AE1565" s="1"/>
      <c r="AF1565" s="1"/>
      <c r="AG1565" s="1"/>
      <c r="AH1565" s="1"/>
    </row>
    <row r="1566" spans="1:34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"/>
      <c r="AC1566" s="1"/>
      <c r="AD1566" s="1"/>
      <c r="AE1566" s="1"/>
      <c r="AF1566" s="1"/>
      <c r="AG1566" s="1"/>
      <c r="AH1566" s="1"/>
    </row>
    <row r="1567" spans="1:34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"/>
      <c r="AC1567" s="1"/>
      <c r="AD1567" s="1"/>
      <c r="AE1567" s="1"/>
      <c r="AF1567" s="1"/>
      <c r="AG1567" s="1"/>
      <c r="AH1567" s="1"/>
    </row>
    <row r="1568" spans="1:34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"/>
      <c r="AC1568" s="1"/>
      <c r="AD1568" s="1"/>
      <c r="AE1568" s="1"/>
      <c r="AF1568" s="1"/>
      <c r="AG1568" s="1"/>
      <c r="AH1568" s="1"/>
    </row>
    <row r="1569" spans="1:34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"/>
      <c r="AC1569" s="1"/>
      <c r="AD1569" s="1"/>
      <c r="AE1569" s="1"/>
      <c r="AF1569" s="1"/>
      <c r="AG1569" s="1"/>
      <c r="AH1569" s="1"/>
    </row>
    <row r="1570" spans="1:34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  <c r="AD1570" s="1"/>
      <c r="AE1570" s="1"/>
      <c r="AF1570" s="1"/>
      <c r="AG1570" s="1"/>
      <c r="AH1570" s="1"/>
    </row>
    <row r="1571" spans="1:34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  <c r="AD1571" s="1"/>
      <c r="AE1571" s="1"/>
      <c r="AF1571" s="1"/>
      <c r="AG1571" s="1"/>
      <c r="AH1571" s="1"/>
    </row>
    <row r="1572" spans="1:34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"/>
      <c r="AC1572" s="1"/>
      <c r="AD1572" s="1"/>
      <c r="AE1572" s="1"/>
      <c r="AF1572" s="1"/>
      <c r="AG1572" s="1"/>
      <c r="AH1572" s="1"/>
    </row>
    <row r="1573" spans="1:34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"/>
      <c r="AC1573" s="1"/>
      <c r="AD1573" s="1"/>
      <c r="AE1573" s="1"/>
      <c r="AF1573" s="1"/>
      <c r="AG1573" s="1"/>
      <c r="AH1573" s="1"/>
    </row>
    <row r="1574" spans="1:34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"/>
      <c r="AC1574" s="1"/>
      <c r="AD1574" s="1"/>
      <c r="AE1574" s="1"/>
      <c r="AF1574" s="1"/>
      <c r="AG1574" s="1"/>
      <c r="AH1574" s="1"/>
    </row>
    <row r="1575" spans="1:34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"/>
      <c r="AC1575" s="1"/>
      <c r="AD1575" s="1"/>
      <c r="AE1575" s="1"/>
      <c r="AF1575" s="1"/>
      <c r="AG1575" s="1"/>
      <c r="AH1575" s="1"/>
    </row>
    <row r="1576" spans="1:34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"/>
      <c r="AC1576" s="1"/>
      <c r="AD1576" s="1"/>
      <c r="AE1576" s="1"/>
      <c r="AF1576" s="1"/>
      <c r="AG1576" s="1"/>
      <c r="AH1576" s="1"/>
    </row>
    <row r="1577" spans="1:34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  <c r="AD1577" s="1"/>
      <c r="AE1577" s="1"/>
      <c r="AF1577" s="1"/>
      <c r="AG1577" s="1"/>
      <c r="AH1577" s="1"/>
    </row>
    <row r="1578" spans="1:34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"/>
      <c r="AC1578" s="1"/>
      <c r="AD1578" s="1"/>
      <c r="AE1578" s="1"/>
      <c r="AF1578" s="1"/>
      <c r="AG1578" s="1"/>
      <c r="AH1578" s="1"/>
    </row>
    <row r="1579" spans="1:34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  <c r="AD1579" s="1"/>
      <c r="AE1579" s="1"/>
      <c r="AF1579" s="1"/>
      <c r="AG1579" s="1"/>
      <c r="AH1579" s="1"/>
    </row>
    <row r="1580" spans="1:34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  <c r="AD1580" s="1"/>
      <c r="AE1580" s="1"/>
      <c r="AF1580" s="1"/>
      <c r="AG1580" s="1"/>
      <c r="AH1580" s="1"/>
    </row>
    <row r="1581" spans="1:34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"/>
      <c r="AC1581" s="1"/>
      <c r="AD1581" s="1"/>
      <c r="AE1581" s="1"/>
      <c r="AF1581" s="1"/>
      <c r="AG1581" s="1"/>
      <c r="AH1581" s="1"/>
    </row>
    <row r="1582" spans="1:34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"/>
      <c r="AC1582" s="1"/>
      <c r="AD1582" s="1"/>
      <c r="AE1582" s="1"/>
      <c r="AF1582" s="1"/>
      <c r="AG1582" s="1"/>
      <c r="AH1582" s="1"/>
    </row>
    <row r="1583" spans="1:34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"/>
      <c r="AC1583" s="1"/>
      <c r="AD1583" s="1"/>
      <c r="AE1583" s="1"/>
      <c r="AF1583" s="1"/>
      <c r="AG1583" s="1"/>
      <c r="AH1583" s="1"/>
    </row>
    <row r="1584" spans="1:34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"/>
      <c r="AC1584" s="1"/>
      <c r="AD1584" s="1"/>
      <c r="AE1584" s="1"/>
      <c r="AF1584" s="1"/>
      <c r="AG1584" s="1"/>
      <c r="AH1584" s="1"/>
    </row>
    <row r="1585" spans="1:34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"/>
      <c r="AC1585" s="1"/>
      <c r="AD1585" s="1"/>
      <c r="AE1585" s="1"/>
      <c r="AF1585" s="1"/>
      <c r="AG1585" s="1"/>
      <c r="AH1585" s="1"/>
    </row>
    <row r="1586" spans="1:34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"/>
      <c r="AC1586" s="1"/>
      <c r="AD1586" s="1"/>
      <c r="AE1586" s="1"/>
      <c r="AF1586" s="1"/>
      <c r="AG1586" s="1"/>
      <c r="AH1586" s="1"/>
    </row>
    <row r="1587" spans="1:34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"/>
      <c r="AC1587" s="1"/>
      <c r="AD1587" s="1"/>
      <c r="AE1587" s="1"/>
      <c r="AF1587" s="1"/>
      <c r="AG1587" s="1"/>
      <c r="AH1587" s="1"/>
    </row>
    <row r="1588" spans="1:34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"/>
      <c r="AC1588" s="1"/>
      <c r="AD1588" s="1"/>
      <c r="AE1588" s="1"/>
      <c r="AF1588" s="1"/>
      <c r="AG1588" s="1"/>
      <c r="AH1588" s="1"/>
    </row>
    <row r="1589" spans="1:34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"/>
      <c r="AC1589" s="1"/>
      <c r="AD1589" s="1"/>
      <c r="AE1589" s="1"/>
      <c r="AF1589" s="1"/>
      <c r="AG1589" s="1"/>
      <c r="AH1589" s="1"/>
    </row>
    <row r="1590" spans="1:34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"/>
      <c r="AC1590" s="1"/>
      <c r="AD1590" s="1"/>
      <c r="AE1590" s="1"/>
      <c r="AF1590" s="1"/>
      <c r="AG1590" s="1"/>
      <c r="AH1590" s="1"/>
    </row>
    <row r="1591" spans="1:34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"/>
      <c r="AC1591" s="1"/>
      <c r="AD1591" s="1"/>
      <c r="AE1591" s="1"/>
      <c r="AF1591" s="1"/>
      <c r="AG1591" s="1"/>
      <c r="AH1591" s="1"/>
    </row>
    <row r="1592" spans="1:34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"/>
      <c r="AC1592" s="1"/>
      <c r="AD1592" s="1"/>
      <c r="AE1592" s="1"/>
      <c r="AF1592" s="1"/>
      <c r="AG1592" s="1"/>
      <c r="AH1592" s="1"/>
    </row>
    <row r="1593" spans="1:34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"/>
      <c r="AC1593" s="1"/>
      <c r="AD1593" s="1"/>
      <c r="AE1593" s="1"/>
      <c r="AF1593" s="1"/>
      <c r="AG1593" s="1"/>
      <c r="AH1593" s="1"/>
    </row>
    <row r="1594" spans="1:34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"/>
      <c r="AC1594" s="1"/>
      <c r="AD1594" s="1"/>
      <c r="AE1594" s="1"/>
      <c r="AF1594" s="1"/>
      <c r="AG1594" s="1"/>
      <c r="AH1594" s="1"/>
    </row>
    <row r="1595" spans="1:34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"/>
      <c r="AC1595" s="1"/>
      <c r="AD1595" s="1"/>
      <c r="AE1595" s="1"/>
      <c r="AF1595" s="1"/>
      <c r="AG1595" s="1"/>
      <c r="AH1595" s="1"/>
    </row>
    <row r="1596" spans="1:34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"/>
      <c r="AC1596" s="1"/>
      <c r="AD1596" s="1"/>
      <c r="AE1596" s="1"/>
      <c r="AF1596" s="1"/>
      <c r="AG1596" s="1"/>
      <c r="AH1596" s="1"/>
    </row>
    <row r="1597" spans="1:34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"/>
      <c r="AC1597" s="1"/>
      <c r="AD1597" s="1"/>
      <c r="AE1597" s="1"/>
      <c r="AF1597" s="1"/>
      <c r="AG1597" s="1"/>
      <c r="AH1597" s="1"/>
    </row>
    <row r="1598" spans="1:34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"/>
      <c r="AC1598" s="1"/>
      <c r="AD1598" s="1"/>
      <c r="AE1598" s="1"/>
      <c r="AF1598" s="1"/>
      <c r="AG1598" s="1"/>
      <c r="AH1598" s="1"/>
    </row>
    <row r="1599" spans="1:34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"/>
      <c r="AC1599" s="1"/>
      <c r="AD1599" s="1"/>
      <c r="AE1599" s="1"/>
      <c r="AF1599" s="1"/>
      <c r="AG1599" s="1"/>
      <c r="AH1599" s="1"/>
    </row>
    <row r="1600" spans="1:34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"/>
      <c r="AC1600" s="1"/>
      <c r="AD1600" s="1"/>
      <c r="AE1600" s="1"/>
      <c r="AF1600" s="1"/>
      <c r="AG1600" s="1"/>
      <c r="AH1600" s="1"/>
    </row>
    <row r="1601" spans="1:34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"/>
      <c r="AC1601" s="1"/>
      <c r="AD1601" s="1"/>
      <c r="AE1601" s="1"/>
      <c r="AF1601" s="1"/>
      <c r="AG1601" s="1"/>
      <c r="AH1601" s="1"/>
    </row>
    <row r="1602" spans="1:34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"/>
      <c r="AC1602" s="1"/>
      <c r="AD1602" s="1"/>
      <c r="AE1602" s="1"/>
      <c r="AF1602" s="1"/>
      <c r="AG1602" s="1"/>
      <c r="AH1602" s="1"/>
    </row>
    <row r="1603" spans="1:34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"/>
      <c r="AC1603" s="1"/>
      <c r="AD1603" s="1"/>
      <c r="AE1603" s="1"/>
      <c r="AF1603" s="1"/>
      <c r="AG1603" s="1"/>
      <c r="AH1603" s="1"/>
    </row>
    <row r="1604" spans="1:34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"/>
      <c r="AC1604" s="1"/>
      <c r="AD1604" s="1"/>
      <c r="AE1604" s="1"/>
      <c r="AF1604" s="1"/>
      <c r="AG1604" s="1"/>
      <c r="AH1604" s="1"/>
    </row>
    <row r="1605" spans="1:34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"/>
      <c r="AC1605" s="1"/>
      <c r="AD1605" s="1"/>
      <c r="AE1605" s="1"/>
      <c r="AF1605" s="1"/>
      <c r="AG1605" s="1"/>
      <c r="AH1605" s="1"/>
    </row>
    <row r="1606" spans="1:34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"/>
      <c r="AC1606" s="1"/>
      <c r="AD1606" s="1"/>
      <c r="AE1606" s="1"/>
      <c r="AF1606" s="1"/>
      <c r="AG1606" s="1"/>
      <c r="AH1606" s="1"/>
    </row>
    <row r="1607" spans="1:34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"/>
      <c r="AC1607" s="1"/>
      <c r="AD1607" s="1"/>
      <c r="AE1607" s="1"/>
      <c r="AF1607" s="1"/>
      <c r="AG1607" s="1"/>
      <c r="AH1607" s="1"/>
    </row>
    <row r="1608" spans="1:34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"/>
      <c r="AC1608" s="1"/>
      <c r="AD1608" s="1"/>
      <c r="AE1608" s="1"/>
      <c r="AF1608" s="1"/>
      <c r="AG1608" s="1"/>
      <c r="AH1608" s="1"/>
    </row>
    <row r="1609" spans="1:34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"/>
      <c r="AC1609" s="1"/>
      <c r="AD1609" s="1"/>
      <c r="AE1609" s="1"/>
      <c r="AF1609" s="1"/>
      <c r="AG1609" s="1"/>
      <c r="AH1609" s="1"/>
    </row>
    <row r="1610" spans="1:34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"/>
      <c r="AC1610" s="1"/>
      <c r="AD1610" s="1"/>
      <c r="AE1610" s="1"/>
      <c r="AF1610" s="1"/>
      <c r="AG1610" s="1"/>
      <c r="AH1610" s="1"/>
    </row>
    <row r="1611" spans="1:34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"/>
      <c r="AC1611" s="1"/>
      <c r="AD1611" s="1"/>
      <c r="AE1611" s="1"/>
      <c r="AF1611" s="1"/>
      <c r="AG1611" s="1"/>
      <c r="AH1611" s="1"/>
    </row>
    <row r="1612" spans="1:34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"/>
      <c r="AC1612" s="1"/>
      <c r="AD1612" s="1"/>
      <c r="AE1612" s="1"/>
      <c r="AF1612" s="1"/>
      <c r="AG1612" s="1"/>
      <c r="AH1612" s="1"/>
    </row>
    <row r="1613" spans="1:34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"/>
      <c r="AC1613" s="1"/>
      <c r="AD1613" s="1"/>
      <c r="AE1613" s="1"/>
      <c r="AF1613" s="1"/>
      <c r="AG1613" s="1"/>
      <c r="AH1613" s="1"/>
    </row>
    <row r="1614" spans="1:34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"/>
      <c r="AC1614" s="1"/>
      <c r="AD1614" s="1"/>
      <c r="AE1614" s="1"/>
      <c r="AF1614" s="1"/>
      <c r="AG1614" s="1"/>
      <c r="AH1614" s="1"/>
    </row>
    <row r="1615" spans="1:34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"/>
      <c r="AC1615" s="1"/>
      <c r="AD1615" s="1"/>
      <c r="AE1615" s="1"/>
      <c r="AF1615" s="1"/>
      <c r="AG1615" s="1"/>
      <c r="AH1615" s="1"/>
    </row>
    <row r="1616" spans="1:34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"/>
      <c r="AC1616" s="1"/>
      <c r="AD1616" s="1"/>
      <c r="AE1616" s="1"/>
      <c r="AF1616" s="1"/>
      <c r="AG1616" s="1"/>
      <c r="AH1616" s="1"/>
    </row>
    <row r="1617" spans="1:34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"/>
      <c r="AC1617" s="1"/>
      <c r="AD1617" s="1"/>
      <c r="AE1617" s="1"/>
      <c r="AF1617" s="1"/>
      <c r="AG1617" s="1"/>
      <c r="AH1617" s="1"/>
    </row>
    <row r="1618" spans="1:34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"/>
      <c r="AC1618" s="1"/>
      <c r="AD1618" s="1"/>
      <c r="AE1618" s="1"/>
      <c r="AF1618" s="1"/>
      <c r="AG1618" s="1"/>
      <c r="AH1618" s="1"/>
    </row>
    <row r="1619" spans="1:34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"/>
      <c r="AC1619" s="1"/>
      <c r="AD1619" s="1"/>
      <c r="AE1619" s="1"/>
      <c r="AF1619" s="1"/>
      <c r="AG1619" s="1"/>
      <c r="AH1619" s="1"/>
    </row>
    <row r="1620" spans="1:34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"/>
      <c r="AC1620" s="1"/>
      <c r="AD1620" s="1"/>
      <c r="AE1620" s="1"/>
      <c r="AF1620" s="1"/>
      <c r="AG1620" s="1"/>
      <c r="AH1620" s="1"/>
    </row>
    <row r="1621" spans="1:34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"/>
      <c r="AC1621" s="1"/>
      <c r="AD1621" s="1"/>
      <c r="AE1621" s="1"/>
      <c r="AF1621" s="1"/>
      <c r="AG1621" s="1"/>
      <c r="AH1621" s="1"/>
    </row>
    <row r="1622" spans="1:34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"/>
      <c r="AC1622" s="1"/>
      <c r="AD1622" s="1"/>
      <c r="AE1622" s="1"/>
      <c r="AF1622" s="1"/>
      <c r="AG1622" s="1"/>
      <c r="AH1622" s="1"/>
    </row>
    <row r="1623" spans="1:34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"/>
      <c r="AC1623" s="1"/>
      <c r="AD1623" s="1"/>
      <c r="AE1623" s="1"/>
      <c r="AF1623" s="1"/>
      <c r="AG1623" s="1"/>
      <c r="AH1623" s="1"/>
    </row>
    <row r="1624" spans="1:34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"/>
      <c r="AC1624" s="1"/>
      <c r="AD1624" s="1"/>
      <c r="AE1624" s="1"/>
      <c r="AF1624" s="1"/>
      <c r="AG1624" s="1"/>
      <c r="AH1624" s="1"/>
    </row>
    <row r="1625" spans="1:34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"/>
      <c r="AC1625" s="1"/>
      <c r="AD1625" s="1"/>
      <c r="AE1625" s="1"/>
      <c r="AF1625" s="1"/>
      <c r="AG1625" s="1"/>
      <c r="AH1625" s="1"/>
    </row>
    <row r="1626" spans="1:34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"/>
      <c r="AC1626" s="1"/>
      <c r="AD1626" s="1"/>
      <c r="AE1626" s="1"/>
      <c r="AF1626" s="1"/>
      <c r="AG1626" s="1"/>
      <c r="AH1626" s="1"/>
    </row>
    <row r="1627" spans="1:34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"/>
      <c r="AC1627" s="1"/>
      <c r="AD1627" s="1"/>
      <c r="AE1627" s="1"/>
      <c r="AF1627" s="1"/>
      <c r="AG1627" s="1"/>
      <c r="AH1627" s="1"/>
    </row>
    <row r="1628" spans="1:34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"/>
      <c r="AC1628" s="1"/>
      <c r="AD1628" s="1"/>
      <c r="AE1628" s="1"/>
      <c r="AF1628" s="1"/>
      <c r="AG1628" s="1"/>
      <c r="AH1628" s="1"/>
    </row>
    <row r="1629" spans="1:34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"/>
      <c r="AC1629" s="1"/>
      <c r="AD1629" s="1"/>
      <c r="AE1629" s="1"/>
      <c r="AF1629" s="1"/>
      <c r="AG1629" s="1"/>
      <c r="AH1629" s="1"/>
    </row>
    <row r="1630" spans="1:34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"/>
      <c r="AC1630" s="1"/>
      <c r="AD1630" s="1"/>
      <c r="AE1630" s="1"/>
      <c r="AF1630" s="1"/>
      <c r="AG1630" s="1"/>
      <c r="AH1630" s="1"/>
    </row>
    <row r="1631" spans="1:34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"/>
      <c r="AC1631" s="1"/>
      <c r="AD1631" s="1"/>
      <c r="AE1631" s="1"/>
      <c r="AF1631" s="1"/>
      <c r="AG1631" s="1"/>
      <c r="AH1631" s="1"/>
    </row>
    <row r="1632" spans="1:34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"/>
      <c r="AC1632" s="1"/>
      <c r="AD1632" s="1"/>
      <c r="AE1632" s="1"/>
      <c r="AF1632" s="1"/>
      <c r="AG1632" s="1"/>
      <c r="AH1632" s="1"/>
    </row>
    <row r="1633" spans="1:34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"/>
      <c r="AC1633" s="1"/>
      <c r="AD1633" s="1"/>
      <c r="AE1633" s="1"/>
      <c r="AF1633" s="1"/>
      <c r="AG1633" s="1"/>
      <c r="AH1633" s="1"/>
    </row>
    <row r="1634" spans="1:34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"/>
      <c r="AC1634" s="1"/>
      <c r="AD1634" s="1"/>
      <c r="AE1634" s="1"/>
      <c r="AF1634" s="1"/>
      <c r="AG1634" s="1"/>
      <c r="AH1634" s="1"/>
    </row>
    <row r="1635" spans="1:34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"/>
      <c r="AC1635" s="1"/>
      <c r="AD1635" s="1"/>
      <c r="AE1635" s="1"/>
      <c r="AF1635" s="1"/>
      <c r="AG1635" s="1"/>
      <c r="AH1635" s="1"/>
    </row>
    <row r="1636" spans="1:34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"/>
      <c r="AC1636" s="1"/>
      <c r="AD1636" s="1"/>
      <c r="AE1636" s="1"/>
      <c r="AF1636" s="1"/>
      <c r="AG1636" s="1"/>
      <c r="AH1636" s="1"/>
    </row>
    <row r="1637" spans="1:34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"/>
      <c r="AC1637" s="1"/>
      <c r="AD1637" s="1"/>
      <c r="AE1637" s="1"/>
      <c r="AF1637" s="1"/>
      <c r="AG1637" s="1"/>
      <c r="AH1637" s="1"/>
    </row>
    <row r="1638" spans="1:34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"/>
      <c r="AC1638" s="1"/>
      <c r="AD1638" s="1"/>
      <c r="AE1638" s="1"/>
      <c r="AF1638" s="1"/>
      <c r="AG1638" s="1"/>
      <c r="AH1638" s="1"/>
    </row>
    <row r="1639" spans="1:34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"/>
      <c r="AC1639" s="1"/>
      <c r="AD1639" s="1"/>
      <c r="AE1639" s="1"/>
      <c r="AF1639" s="1"/>
      <c r="AG1639" s="1"/>
      <c r="AH1639" s="1"/>
    </row>
    <row r="1640" spans="1:34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"/>
      <c r="AC1640" s="1"/>
      <c r="AD1640" s="1"/>
      <c r="AE1640" s="1"/>
      <c r="AF1640" s="1"/>
      <c r="AG1640" s="1"/>
      <c r="AH1640" s="1"/>
    </row>
    <row r="1641" spans="1:34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"/>
      <c r="AC1641" s="1"/>
      <c r="AD1641" s="1"/>
      <c r="AE1641" s="1"/>
      <c r="AF1641" s="1"/>
      <c r="AG1641" s="1"/>
      <c r="AH1641" s="1"/>
    </row>
    <row r="1642" spans="1:34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"/>
      <c r="AC1642" s="1"/>
      <c r="AD1642" s="1"/>
      <c r="AE1642" s="1"/>
      <c r="AF1642" s="1"/>
      <c r="AG1642" s="1"/>
      <c r="AH1642" s="1"/>
    </row>
    <row r="1643" spans="1:34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"/>
      <c r="AC1643" s="1"/>
      <c r="AD1643" s="1"/>
      <c r="AE1643" s="1"/>
      <c r="AF1643" s="1"/>
      <c r="AG1643" s="1"/>
      <c r="AH1643" s="1"/>
    </row>
    <row r="1644" spans="1:34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"/>
      <c r="AC1644" s="1"/>
      <c r="AD1644" s="1"/>
      <c r="AE1644" s="1"/>
      <c r="AF1644" s="1"/>
      <c r="AG1644" s="1"/>
      <c r="AH1644" s="1"/>
    </row>
    <row r="1645" spans="1:34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"/>
      <c r="AC1645" s="1"/>
      <c r="AD1645" s="1"/>
      <c r="AE1645" s="1"/>
      <c r="AF1645" s="1"/>
      <c r="AG1645" s="1"/>
      <c r="AH1645" s="1"/>
    </row>
    <row r="1646" spans="1:34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"/>
      <c r="AC1646" s="1"/>
      <c r="AD1646" s="1"/>
      <c r="AE1646" s="1"/>
      <c r="AF1646" s="1"/>
      <c r="AG1646" s="1"/>
      <c r="AH1646" s="1"/>
    </row>
    <row r="1647" spans="1:34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"/>
      <c r="AC1647" s="1"/>
      <c r="AD1647" s="1"/>
      <c r="AE1647" s="1"/>
      <c r="AF1647" s="1"/>
      <c r="AG1647" s="1"/>
      <c r="AH1647" s="1"/>
    </row>
    <row r="1648" spans="1:34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"/>
      <c r="AC1648" s="1"/>
      <c r="AD1648" s="1"/>
      <c r="AE1648" s="1"/>
      <c r="AF1648" s="1"/>
      <c r="AG1648" s="1"/>
      <c r="AH1648" s="1"/>
    </row>
    <row r="1649" spans="1:34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"/>
      <c r="AC1649" s="1"/>
      <c r="AD1649" s="1"/>
      <c r="AE1649" s="1"/>
      <c r="AF1649" s="1"/>
      <c r="AG1649" s="1"/>
      <c r="AH1649" s="1"/>
    </row>
    <row r="1650" spans="1:34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"/>
      <c r="AC1650" s="1"/>
      <c r="AD1650" s="1"/>
      <c r="AE1650" s="1"/>
      <c r="AF1650" s="1"/>
      <c r="AG1650" s="1"/>
      <c r="AH1650" s="1"/>
    </row>
    <row r="1651" spans="1:34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"/>
      <c r="AC1651" s="1"/>
      <c r="AD1651" s="1"/>
      <c r="AE1651" s="1"/>
      <c r="AF1651" s="1"/>
      <c r="AG1651" s="1"/>
      <c r="AH1651" s="1"/>
    </row>
    <row r="1652" spans="1:34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"/>
      <c r="AC1652" s="1"/>
      <c r="AD1652" s="1"/>
      <c r="AE1652" s="1"/>
      <c r="AF1652" s="1"/>
      <c r="AG1652" s="1"/>
      <c r="AH1652" s="1"/>
    </row>
    <row r="1653" spans="1:34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"/>
      <c r="AC1653" s="1"/>
      <c r="AD1653" s="1"/>
      <c r="AE1653" s="1"/>
      <c r="AF1653" s="1"/>
      <c r="AG1653" s="1"/>
      <c r="AH1653" s="1"/>
    </row>
    <row r="1654" spans="1:34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"/>
      <c r="AC1654" s="1"/>
      <c r="AD1654" s="1"/>
      <c r="AE1654" s="1"/>
      <c r="AF1654" s="1"/>
      <c r="AG1654" s="1"/>
      <c r="AH1654" s="1"/>
    </row>
    <row r="1655" spans="1:34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"/>
      <c r="AC1655" s="1"/>
      <c r="AD1655" s="1"/>
      <c r="AE1655" s="1"/>
      <c r="AF1655" s="1"/>
      <c r="AG1655" s="1"/>
      <c r="AH1655" s="1"/>
    </row>
    <row r="1656" spans="1:34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"/>
      <c r="AC1656" s="1"/>
      <c r="AD1656" s="1"/>
      <c r="AE1656" s="1"/>
      <c r="AF1656" s="1"/>
      <c r="AG1656" s="1"/>
      <c r="AH1656" s="1"/>
    </row>
    <row r="1657" spans="1:34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"/>
      <c r="AC1657" s="1"/>
      <c r="AD1657" s="1"/>
      <c r="AE1657" s="1"/>
      <c r="AF1657" s="1"/>
      <c r="AG1657" s="1"/>
      <c r="AH1657" s="1"/>
    </row>
    <row r="1658" spans="1:34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"/>
      <c r="AC1658" s="1"/>
      <c r="AD1658" s="1"/>
      <c r="AE1658" s="1"/>
      <c r="AF1658" s="1"/>
      <c r="AG1658" s="1"/>
      <c r="AH1658" s="1"/>
    </row>
    <row r="1659" spans="1:34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"/>
      <c r="AC1659" s="1"/>
      <c r="AD1659" s="1"/>
      <c r="AE1659" s="1"/>
      <c r="AF1659" s="1"/>
      <c r="AG1659" s="1"/>
      <c r="AH1659" s="1"/>
    </row>
    <row r="1660" spans="1:34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"/>
      <c r="AC1660" s="1"/>
      <c r="AD1660" s="1"/>
      <c r="AE1660" s="1"/>
      <c r="AF1660" s="1"/>
      <c r="AG1660" s="1"/>
      <c r="AH1660" s="1"/>
    </row>
    <row r="1661" spans="1:34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"/>
      <c r="AC1661" s="1"/>
      <c r="AD1661" s="1"/>
      <c r="AE1661" s="1"/>
      <c r="AF1661" s="1"/>
      <c r="AG1661" s="1"/>
      <c r="AH1661" s="1"/>
    </row>
    <row r="1662" spans="1:34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"/>
      <c r="AC1662" s="1"/>
      <c r="AD1662" s="1"/>
      <c r="AE1662" s="1"/>
      <c r="AF1662" s="1"/>
      <c r="AG1662" s="1"/>
      <c r="AH1662" s="1"/>
    </row>
    <row r="1663" spans="1:34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"/>
      <c r="AC1663" s="1"/>
      <c r="AD1663" s="1"/>
      <c r="AE1663" s="1"/>
      <c r="AF1663" s="1"/>
      <c r="AG1663" s="1"/>
      <c r="AH1663" s="1"/>
    </row>
    <row r="1664" spans="1:34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"/>
      <c r="AC1664" s="1"/>
      <c r="AD1664" s="1"/>
      <c r="AE1664" s="1"/>
      <c r="AF1664" s="1"/>
      <c r="AG1664" s="1"/>
      <c r="AH1664" s="1"/>
    </row>
    <row r="1665" spans="1:34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"/>
      <c r="AC1665" s="1"/>
      <c r="AD1665" s="1"/>
      <c r="AE1665" s="1"/>
      <c r="AF1665" s="1"/>
      <c r="AG1665" s="1"/>
      <c r="AH1665" s="1"/>
    </row>
    <row r="1666" spans="1:34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"/>
      <c r="AC1666" s="1"/>
      <c r="AD1666" s="1"/>
      <c r="AE1666" s="1"/>
      <c r="AF1666" s="1"/>
      <c r="AG1666" s="1"/>
      <c r="AH1666" s="1"/>
    </row>
    <row r="1667" spans="1:34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"/>
      <c r="AC1667" s="1"/>
      <c r="AD1667" s="1"/>
      <c r="AE1667" s="1"/>
      <c r="AF1667" s="1"/>
      <c r="AG1667" s="1"/>
      <c r="AH1667" s="1"/>
    </row>
    <row r="1668" spans="1:34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"/>
      <c r="AC1668" s="1"/>
      <c r="AD1668" s="1"/>
      <c r="AE1668" s="1"/>
      <c r="AF1668" s="1"/>
      <c r="AG1668" s="1"/>
      <c r="AH1668" s="1"/>
    </row>
    <row r="1669" spans="1:34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"/>
      <c r="AC1669" s="1"/>
      <c r="AD1669" s="1"/>
      <c r="AE1669" s="1"/>
      <c r="AF1669" s="1"/>
      <c r="AG1669" s="1"/>
      <c r="AH1669" s="1"/>
    </row>
    <row r="1670" spans="1:34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"/>
      <c r="AC1670" s="1"/>
      <c r="AD1670" s="1"/>
      <c r="AE1670" s="1"/>
      <c r="AF1670" s="1"/>
      <c r="AG1670" s="1"/>
      <c r="AH1670" s="1"/>
    </row>
    <row r="1671" spans="1:34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"/>
      <c r="AC1671" s="1"/>
      <c r="AD1671" s="1"/>
      <c r="AE1671" s="1"/>
      <c r="AF1671" s="1"/>
      <c r="AG1671" s="1"/>
      <c r="AH1671" s="1"/>
    </row>
    <row r="1672" spans="1:34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"/>
      <c r="AC1672" s="1"/>
      <c r="AD1672" s="1"/>
      <c r="AE1672" s="1"/>
      <c r="AF1672" s="1"/>
      <c r="AG1672" s="1"/>
      <c r="AH1672" s="1"/>
    </row>
    <row r="1673" spans="1:34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"/>
      <c r="AC1673" s="1"/>
      <c r="AD1673" s="1"/>
      <c r="AE1673" s="1"/>
      <c r="AF1673" s="1"/>
      <c r="AG1673" s="1"/>
      <c r="AH1673" s="1"/>
    </row>
    <row r="1674" spans="1:34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"/>
      <c r="AC1674" s="1"/>
      <c r="AD1674" s="1"/>
      <c r="AE1674" s="1"/>
      <c r="AF1674" s="1"/>
      <c r="AG1674" s="1"/>
      <c r="AH1674" s="1"/>
    </row>
    <row r="1675" spans="1:34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"/>
      <c r="AC1675" s="1"/>
      <c r="AD1675" s="1"/>
      <c r="AE1675" s="1"/>
      <c r="AF1675" s="1"/>
      <c r="AG1675" s="1"/>
      <c r="AH1675" s="1"/>
    </row>
    <row r="1676" spans="1:34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"/>
      <c r="AC1676" s="1"/>
      <c r="AD1676" s="1"/>
      <c r="AE1676" s="1"/>
      <c r="AF1676" s="1"/>
      <c r="AG1676" s="1"/>
      <c r="AH1676" s="1"/>
    </row>
    <row r="1677" spans="1:34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"/>
      <c r="AC1677" s="1"/>
      <c r="AD1677" s="1"/>
      <c r="AE1677" s="1"/>
      <c r="AF1677" s="1"/>
      <c r="AG1677" s="1"/>
      <c r="AH1677" s="1"/>
    </row>
    <row r="1678" spans="1:34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"/>
      <c r="AC1678" s="1"/>
      <c r="AD1678" s="1"/>
      <c r="AE1678" s="1"/>
      <c r="AF1678" s="1"/>
      <c r="AG1678" s="1"/>
      <c r="AH1678" s="1"/>
    </row>
    <row r="1679" spans="1:34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"/>
      <c r="AC1679" s="1"/>
      <c r="AD1679" s="1"/>
      <c r="AE1679" s="1"/>
      <c r="AF1679" s="1"/>
      <c r="AG1679" s="1"/>
      <c r="AH1679" s="1"/>
    </row>
    <row r="1680" spans="1:34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"/>
      <c r="AC1680" s="1"/>
      <c r="AD1680" s="1"/>
      <c r="AE1680" s="1"/>
      <c r="AF1680" s="1"/>
      <c r="AG1680" s="1"/>
      <c r="AH1680" s="1"/>
    </row>
    <row r="1681" spans="1:34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"/>
      <c r="AC1681" s="1"/>
      <c r="AD1681" s="1"/>
      <c r="AE1681" s="1"/>
      <c r="AF1681" s="1"/>
      <c r="AG1681" s="1"/>
      <c r="AH1681" s="1"/>
    </row>
    <row r="1682" spans="1:34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"/>
      <c r="AC1682" s="1"/>
      <c r="AD1682" s="1"/>
      <c r="AE1682" s="1"/>
      <c r="AF1682" s="1"/>
      <c r="AG1682" s="1"/>
      <c r="AH1682" s="1"/>
    </row>
    <row r="1683" spans="1:34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"/>
      <c r="AC1683" s="1"/>
      <c r="AD1683" s="1"/>
      <c r="AE1683" s="1"/>
      <c r="AF1683" s="1"/>
      <c r="AG1683" s="1"/>
      <c r="AH1683" s="1"/>
    </row>
    <row r="1684" spans="1:34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"/>
      <c r="AC1684" s="1"/>
      <c r="AD1684" s="1"/>
      <c r="AE1684" s="1"/>
      <c r="AF1684" s="1"/>
      <c r="AG1684" s="1"/>
      <c r="AH1684" s="1"/>
    </row>
    <row r="1685" spans="1:34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"/>
      <c r="AC1685" s="1"/>
      <c r="AD1685" s="1"/>
      <c r="AE1685" s="1"/>
      <c r="AF1685" s="1"/>
      <c r="AG1685" s="1"/>
      <c r="AH1685" s="1"/>
    </row>
    <row r="1686" spans="1:34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"/>
      <c r="AC1686" s="1"/>
      <c r="AD1686" s="1"/>
      <c r="AE1686" s="1"/>
      <c r="AF1686" s="1"/>
      <c r="AG1686" s="1"/>
      <c r="AH1686" s="1"/>
    </row>
    <row r="1687" spans="1:34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"/>
      <c r="AC1687" s="1"/>
      <c r="AD1687" s="1"/>
      <c r="AE1687" s="1"/>
      <c r="AF1687" s="1"/>
      <c r="AG1687" s="1"/>
      <c r="AH1687" s="1"/>
    </row>
    <row r="1688" spans="1:34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"/>
      <c r="AC1688" s="1"/>
      <c r="AD1688" s="1"/>
      <c r="AE1688" s="1"/>
      <c r="AF1688" s="1"/>
      <c r="AG1688" s="1"/>
      <c r="AH1688" s="1"/>
    </row>
    <row r="1689" spans="1:34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"/>
      <c r="AC1689" s="1"/>
      <c r="AD1689" s="1"/>
      <c r="AE1689" s="1"/>
      <c r="AF1689" s="1"/>
      <c r="AG1689" s="1"/>
      <c r="AH1689" s="1"/>
    </row>
    <row r="1690" spans="1:34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"/>
      <c r="AC1690" s="1"/>
      <c r="AD1690" s="1"/>
      <c r="AE1690" s="1"/>
      <c r="AF1690" s="1"/>
      <c r="AG1690" s="1"/>
      <c r="AH1690" s="1"/>
    </row>
    <row r="1691" spans="1:34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"/>
      <c r="AC1691" s="1"/>
      <c r="AD1691" s="1"/>
      <c r="AE1691" s="1"/>
      <c r="AF1691" s="1"/>
      <c r="AG1691" s="1"/>
      <c r="AH1691" s="1"/>
    </row>
    <row r="1692" spans="1:34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"/>
      <c r="AC1692" s="1"/>
      <c r="AD1692" s="1"/>
      <c r="AE1692" s="1"/>
      <c r="AF1692" s="1"/>
      <c r="AG1692" s="1"/>
      <c r="AH1692" s="1"/>
    </row>
    <row r="1693" spans="1:34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"/>
      <c r="AC1693" s="1"/>
      <c r="AD1693" s="1"/>
      <c r="AE1693" s="1"/>
      <c r="AF1693" s="1"/>
      <c r="AG1693" s="1"/>
      <c r="AH1693" s="1"/>
    </row>
    <row r="1694" spans="1:34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"/>
      <c r="AC1694" s="1"/>
      <c r="AD1694" s="1"/>
      <c r="AE1694" s="1"/>
      <c r="AF1694" s="1"/>
      <c r="AG1694" s="1"/>
      <c r="AH1694" s="1"/>
    </row>
    <row r="1695" spans="1:34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"/>
      <c r="AC1695" s="1"/>
      <c r="AD1695" s="1"/>
      <c r="AE1695" s="1"/>
      <c r="AF1695" s="1"/>
      <c r="AG1695" s="1"/>
      <c r="AH1695" s="1"/>
    </row>
    <row r="1696" spans="1:34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"/>
      <c r="AC1696" s="1"/>
      <c r="AD1696" s="1"/>
      <c r="AE1696" s="1"/>
      <c r="AF1696" s="1"/>
      <c r="AG1696" s="1"/>
      <c r="AH1696" s="1"/>
    </row>
    <row r="1697" spans="1:34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"/>
      <c r="AC1697" s="1"/>
      <c r="AD1697" s="1"/>
      <c r="AE1697" s="1"/>
      <c r="AF1697" s="1"/>
      <c r="AG1697" s="1"/>
      <c r="AH1697" s="1"/>
    </row>
    <row r="1698" spans="1:34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"/>
      <c r="AC1698" s="1"/>
      <c r="AD1698" s="1"/>
      <c r="AE1698" s="1"/>
      <c r="AF1698" s="1"/>
      <c r="AG1698" s="1"/>
      <c r="AH1698" s="1"/>
    </row>
    <row r="1699" spans="1:34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"/>
      <c r="AC1699" s="1"/>
      <c r="AD1699" s="1"/>
      <c r="AE1699" s="1"/>
      <c r="AF1699" s="1"/>
      <c r="AG1699" s="1"/>
      <c r="AH1699" s="1"/>
    </row>
    <row r="1700" spans="1:34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"/>
      <c r="AC1700" s="1"/>
      <c r="AD1700" s="1"/>
      <c r="AE1700" s="1"/>
      <c r="AF1700" s="1"/>
      <c r="AG1700" s="1"/>
      <c r="AH1700" s="1"/>
    </row>
    <row r="1701" spans="1:34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"/>
      <c r="AC1701" s="1"/>
      <c r="AD1701" s="1"/>
      <c r="AE1701" s="1"/>
      <c r="AF1701" s="1"/>
      <c r="AG1701" s="1"/>
      <c r="AH1701" s="1"/>
    </row>
    <row r="1702" spans="1:34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"/>
      <c r="AC1702" s="1"/>
      <c r="AD1702" s="1"/>
      <c r="AE1702" s="1"/>
      <c r="AF1702" s="1"/>
      <c r="AG1702" s="1"/>
      <c r="AH1702" s="1"/>
    </row>
    <row r="1703" spans="1:34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"/>
      <c r="AC1703" s="1"/>
      <c r="AD1703" s="1"/>
      <c r="AE1703" s="1"/>
      <c r="AF1703" s="1"/>
      <c r="AG1703" s="1"/>
      <c r="AH1703" s="1"/>
    </row>
    <row r="1704" spans="1:34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"/>
      <c r="AC1704" s="1"/>
      <c r="AD1704" s="1"/>
      <c r="AE1704" s="1"/>
      <c r="AF1704" s="1"/>
      <c r="AG1704" s="1"/>
      <c r="AH1704" s="1"/>
    </row>
    <row r="1705" spans="1:34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"/>
      <c r="AC1705" s="1"/>
      <c r="AD1705" s="1"/>
      <c r="AE1705" s="1"/>
      <c r="AF1705" s="1"/>
      <c r="AG1705" s="1"/>
      <c r="AH1705" s="1"/>
    </row>
    <row r="1706" spans="1:34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"/>
      <c r="AC1706" s="1"/>
      <c r="AD1706" s="1"/>
      <c r="AE1706" s="1"/>
      <c r="AF1706" s="1"/>
      <c r="AG1706" s="1"/>
      <c r="AH1706" s="1"/>
    </row>
    <row r="1707" spans="1:34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"/>
      <c r="AC1707" s="1"/>
      <c r="AD1707" s="1"/>
      <c r="AE1707" s="1"/>
      <c r="AF1707" s="1"/>
      <c r="AG1707" s="1"/>
      <c r="AH1707" s="1"/>
    </row>
    <row r="1708" spans="1:34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"/>
      <c r="AC1708" s="1"/>
      <c r="AD1708" s="1"/>
      <c r="AE1708" s="1"/>
      <c r="AF1708" s="1"/>
      <c r="AG1708" s="1"/>
      <c r="AH1708" s="1"/>
    </row>
    <row r="1709" spans="1:34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"/>
      <c r="AC1709" s="1"/>
      <c r="AD1709" s="1"/>
      <c r="AE1709" s="1"/>
      <c r="AF1709" s="1"/>
      <c r="AG1709" s="1"/>
      <c r="AH1709" s="1"/>
    </row>
    <row r="1710" spans="1:34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"/>
      <c r="AC1710" s="1"/>
      <c r="AD1710" s="1"/>
      <c r="AE1710" s="1"/>
      <c r="AF1710" s="1"/>
      <c r="AG1710" s="1"/>
      <c r="AH1710" s="1"/>
    </row>
    <row r="1711" spans="1:34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"/>
      <c r="AC1711" s="1"/>
      <c r="AD1711" s="1"/>
      <c r="AE1711" s="1"/>
      <c r="AF1711" s="1"/>
      <c r="AG1711" s="1"/>
      <c r="AH1711" s="1"/>
    </row>
    <row r="1712" spans="1:34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"/>
      <c r="AC1712" s="1"/>
      <c r="AD1712" s="1"/>
      <c r="AE1712" s="1"/>
      <c r="AF1712" s="1"/>
      <c r="AG1712" s="1"/>
      <c r="AH1712" s="1"/>
    </row>
    <row r="1713" spans="1:34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"/>
      <c r="AC1713" s="1"/>
      <c r="AD1713" s="1"/>
      <c r="AE1713" s="1"/>
      <c r="AF1713" s="1"/>
      <c r="AG1713" s="1"/>
      <c r="AH1713" s="1"/>
    </row>
    <row r="1714" spans="1:34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"/>
      <c r="AC1714" s="1"/>
      <c r="AD1714" s="1"/>
      <c r="AE1714" s="1"/>
      <c r="AF1714" s="1"/>
      <c r="AG1714" s="1"/>
      <c r="AH1714" s="1"/>
    </row>
    <row r="1715" spans="1:34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"/>
      <c r="AC1715" s="1"/>
      <c r="AD1715" s="1"/>
      <c r="AE1715" s="1"/>
      <c r="AF1715" s="1"/>
      <c r="AG1715" s="1"/>
      <c r="AH1715" s="1"/>
    </row>
    <row r="1716" spans="1:34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"/>
      <c r="AC1716" s="1"/>
      <c r="AD1716" s="1"/>
      <c r="AE1716" s="1"/>
      <c r="AF1716" s="1"/>
      <c r="AG1716" s="1"/>
      <c r="AH1716" s="1"/>
    </row>
    <row r="1717" spans="1:34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"/>
      <c r="AC1717" s="1"/>
      <c r="AD1717" s="1"/>
      <c r="AE1717" s="1"/>
      <c r="AF1717" s="1"/>
      <c r="AG1717" s="1"/>
      <c r="AH1717" s="1"/>
    </row>
    <row r="1718" spans="1:34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"/>
      <c r="AC1718" s="1"/>
      <c r="AD1718" s="1"/>
      <c r="AE1718" s="1"/>
      <c r="AF1718" s="1"/>
      <c r="AG1718" s="1"/>
      <c r="AH1718" s="1"/>
    </row>
    <row r="1719" spans="1:34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"/>
      <c r="AC1719" s="1"/>
      <c r="AD1719" s="1"/>
      <c r="AE1719" s="1"/>
      <c r="AF1719" s="1"/>
      <c r="AG1719" s="1"/>
      <c r="AH1719" s="1"/>
    </row>
    <row r="1720" spans="1:34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"/>
      <c r="AC1720" s="1"/>
      <c r="AD1720" s="1"/>
      <c r="AE1720" s="1"/>
      <c r="AF1720" s="1"/>
      <c r="AG1720" s="1"/>
      <c r="AH1720" s="1"/>
    </row>
    <row r="1721" spans="1:34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"/>
      <c r="AC1721" s="1"/>
      <c r="AD1721" s="1"/>
      <c r="AE1721" s="1"/>
      <c r="AF1721" s="1"/>
      <c r="AG1721" s="1"/>
      <c r="AH1721" s="1"/>
    </row>
    <row r="1722" spans="1:34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"/>
      <c r="AC1722" s="1"/>
      <c r="AD1722" s="1"/>
      <c r="AE1722" s="1"/>
      <c r="AF1722" s="1"/>
      <c r="AG1722" s="1"/>
      <c r="AH1722" s="1"/>
    </row>
    <row r="1723" spans="1:34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"/>
      <c r="AC1723" s="1"/>
      <c r="AD1723" s="1"/>
      <c r="AE1723" s="1"/>
      <c r="AF1723" s="1"/>
      <c r="AG1723" s="1"/>
      <c r="AH1723" s="1"/>
    </row>
    <row r="1724" spans="1:34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"/>
      <c r="AC1724" s="1"/>
      <c r="AD1724" s="1"/>
      <c r="AE1724" s="1"/>
      <c r="AF1724" s="1"/>
      <c r="AG1724" s="1"/>
      <c r="AH1724" s="1"/>
    </row>
    <row r="1725" spans="1:34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"/>
      <c r="AC1725" s="1"/>
      <c r="AD1725" s="1"/>
      <c r="AE1725" s="1"/>
      <c r="AF1725" s="1"/>
      <c r="AG1725" s="1"/>
      <c r="AH1725" s="1"/>
    </row>
    <row r="1726" spans="1:34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"/>
      <c r="AC1726" s="1"/>
      <c r="AD1726" s="1"/>
      <c r="AE1726" s="1"/>
      <c r="AF1726" s="1"/>
      <c r="AG1726" s="1"/>
      <c r="AH1726" s="1"/>
    </row>
    <row r="1727" spans="1:34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"/>
      <c r="AC1727" s="1"/>
      <c r="AD1727" s="1"/>
      <c r="AE1727" s="1"/>
      <c r="AF1727" s="1"/>
      <c r="AG1727" s="1"/>
      <c r="AH1727" s="1"/>
    </row>
    <row r="1728" spans="1:34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"/>
      <c r="AC1728" s="1"/>
      <c r="AD1728" s="1"/>
      <c r="AE1728" s="1"/>
      <c r="AF1728" s="1"/>
      <c r="AG1728" s="1"/>
      <c r="AH1728" s="1"/>
    </row>
    <row r="1729" spans="1:34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"/>
      <c r="AC1729" s="1"/>
      <c r="AD1729" s="1"/>
      <c r="AE1729" s="1"/>
      <c r="AF1729" s="1"/>
      <c r="AG1729" s="1"/>
      <c r="AH1729" s="1"/>
    </row>
    <row r="1730" spans="1:34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"/>
      <c r="AC1730" s="1"/>
      <c r="AD1730" s="1"/>
      <c r="AE1730" s="1"/>
      <c r="AF1730" s="1"/>
      <c r="AG1730" s="1"/>
      <c r="AH1730" s="1"/>
    </row>
    <row r="1731" spans="1:34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"/>
      <c r="AC1731" s="1"/>
      <c r="AD1731" s="1"/>
      <c r="AE1731" s="1"/>
      <c r="AF1731" s="1"/>
      <c r="AG1731" s="1"/>
      <c r="AH1731" s="1"/>
    </row>
    <row r="1732" spans="1:34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"/>
      <c r="AC1732" s="1"/>
      <c r="AD1732" s="1"/>
      <c r="AE1732" s="1"/>
      <c r="AF1732" s="1"/>
      <c r="AG1732" s="1"/>
      <c r="AH1732" s="1"/>
    </row>
    <row r="1733" spans="1:34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"/>
      <c r="AC1733" s="1"/>
      <c r="AD1733" s="1"/>
      <c r="AE1733" s="1"/>
      <c r="AF1733" s="1"/>
      <c r="AG1733" s="1"/>
      <c r="AH1733" s="1"/>
    </row>
    <row r="1734" spans="1:34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"/>
      <c r="AC1734" s="1"/>
      <c r="AD1734" s="1"/>
      <c r="AE1734" s="1"/>
      <c r="AF1734" s="1"/>
      <c r="AG1734" s="1"/>
      <c r="AH1734" s="1"/>
    </row>
    <row r="1735" spans="1:34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"/>
      <c r="AC1735" s="1"/>
      <c r="AD1735" s="1"/>
      <c r="AE1735" s="1"/>
      <c r="AF1735" s="1"/>
      <c r="AG1735" s="1"/>
      <c r="AH1735" s="1"/>
    </row>
    <row r="1736" spans="1:34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"/>
      <c r="AC1736" s="1"/>
      <c r="AD1736" s="1"/>
      <c r="AE1736" s="1"/>
      <c r="AF1736" s="1"/>
      <c r="AG1736" s="1"/>
      <c r="AH1736" s="1"/>
    </row>
    <row r="1737" spans="1:34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"/>
      <c r="AC1737" s="1"/>
      <c r="AD1737" s="1"/>
      <c r="AE1737" s="1"/>
      <c r="AF1737" s="1"/>
      <c r="AG1737" s="1"/>
      <c r="AH1737" s="1"/>
    </row>
    <row r="1738" spans="1:34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"/>
      <c r="AC1738" s="1"/>
      <c r="AD1738" s="1"/>
      <c r="AE1738" s="1"/>
      <c r="AF1738" s="1"/>
      <c r="AG1738" s="1"/>
      <c r="AH1738" s="1"/>
    </row>
    <row r="1739" spans="1:34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"/>
      <c r="AC1739" s="1"/>
      <c r="AD1739" s="1"/>
      <c r="AE1739" s="1"/>
      <c r="AF1739" s="1"/>
      <c r="AG1739" s="1"/>
      <c r="AH1739" s="1"/>
    </row>
    <row r="1740" spans="1:34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"/>
      <c r="AC1740" s="1"/>
      <c r="AD1740" s="1"/>
      <c r="AE1740" s="1"/>
      <c r="AF1740" s="1"/>
      <c r="AG1740" s="1"/>
      <c r="AH1740" s="1"/>
    </row>
    <row r="1741" spans="1:34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"/>
      <c r="AC1741" s="1"/>
      <c r="AD1741" s="1"/>
      <c r="AE1741" s="1"/>
      <c r="AF1741" s="1"/>
      <c r="AG1741" s="1"/>
      <c r="AH1741" s="1"/>
    </row>
    <row r="1742" spans="1:34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"/>
      <c r="AC1742" s="1"/>
      <c r="AD1742" s="1"/>
      <c r="AE1742" s="1"/>
      <c r="AF1742" s="1"/>
      <c r="AG1742" s="1"/>
      <c r="AH1742" s="1"/>
    </row>
    <row r="1743" spans="1:34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"/>
      <c r="AC1743" s="1"/>
      <c r="AD1743" s="1"/>
      <c r="AE1743" s="1"/>
      <c r="AF1743" s="1"/>
      <c r="AG1743" s="1"/>
      <c r="AH1743" s="1"/>
    </row>
    <row r="1744" spans="1:34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"/>
      <c r="AC1744" s="1"/>
      <c r="AD1744" s="1"/>
      <c r="AE1744" s="1"/>
      <c r="AF1744" s="1"/>
      <c r="AG1744" s="1"/>
      <c r="AH1744" s="1"/>
    </row>
    <row r="1745" spans="1:34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"/>
      <c r="AC1745" s="1"/>
      <c r="AD1745" s="1"/>
      <c r="AE1745" s="1"/>
      <c r="AF1745" s="1"/>
      <c r="AG1745" s="1"/>
      <c r="AH1745" s="1"/>
    </row>
    <row r="1746" spans="1:34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"/>
      <c r="AC1746" s="1"/>
      <c r="AD1746" s="1"/>
      <c r="AE1746" s="1"/>
      <c r="AF1746" s="1"/>
      <c r="AG1746" s="1"/>
      <c r="AH1746" s="1"/>
    </row>
    <row r="1747" spans="1:34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"/>
      <c r="AC1747" s="1"/>
      <c r="AD1747" s="1"/>
      <c r="AE1747" s="1"/>
      <c r="AF1747" s="1"/>
      <c r="AG1747" s="1"/>
      <c r="AH1747" s="1"/>
    </row>
    <row r="1748" spans="1:34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"/>
      <c r="AC1748" s="1"/>
      <c r="AD1748" s="1"/>
      <c r="AE1748" s="1"/>
      <c r="AF1748" s="1"/>
      <c r="AG1748" s="1"/>
      <c r="AH1748" s="1"/>
    </row>
    <row r="1749" spans="1:34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"/>
      <c r="AC1749" s="1"/>
      <c r="AD1749" s="1"/>
      <c r="AE1749" s="1"/>
      <c r="AF1749" s="1"/>
      <c r="AG1749" s="1"/>
      <c r="AH1749" s="1"/>
    </row>
    <row r="1750" spans="1:34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"/>
      <c r="AC1750" s="1"/>
      <c r="AD1750" s="1"/>
      <c r="AE1750" s="1"/>
      <c r="AF1750" s="1"/>
      <c r="AG1750" s="1"/>
      <c r="AH1750" s="1"/>
    </row>
    <row r="1751" spans="1:34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"/>
      <c r="AC1751" s="1"/>
      <c r="AD1751" s="1"/>
      <c r="AE1751" s="1"/>
      <c r="AF1751" s="1"/>
      <c r="AG1751" s="1"/>
      <c r="AH1751" s="1"/>
    </row>
    <row r="1752" spans="1:34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"/>
      <c r="AC1752" s="1"/>
      <c r="AD1752" s="1"/>
      <c r="AE1752" s="1"/>
      <c r="AF1752" s="1"/>
      <c r="AG1752" s="1"/>
      <c r="AH1752" s="1"/>
    </row>
    <row r="1753" spans="1:34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"/>
      <c r="AC1753" s="1"/>
      <c r="AD1753" s="1"/>
      <c r="AE1753" s="1"/>
      <c r="AF1753" s="1"/>
      <c r="AG1753" s="1"/>
      <c r="AH1753" s="1"/>
    </row>
    <row r="1754" spans="1:34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"/>
      <c r="AC1754" s="1"/>
      <c r="AD1754" s="1"/>
      <c r="AE1754" s="1"/>
      <c r="AF1754" s="1"/>
      <c r="AG1754" s="1"/>
      <c r="AH1754" s="1"/>
    </row>
    <row r="1755" spans="1:34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"/>
      <c r="AC1755" s="1"/>
      <c r="AD1755" s="1"/>
      <c r="AE1755" s="1"/>
      <c r="AF1755" s="1"/>
      <c r="AG1755" s="1"/>
      <c r="AH1755" s="1"/>
    </row>
    <row r="1756" spans="1:34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"/>
      <c r="AC1756" s="1"/>
      <c r="AD1756" s="1"/>
      <c r="AE1756" s="1"/>
      <c r="AF1756" s="1"/>
      <c r="AG1756" s="1"/>
      <c r="AH1756" s="1"/>
    </row>
    <row r="1757" spans="1:34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"/>
      <c r="AC1757" s="1"/>
      <c r="AD1757" s="1"/>
      <c r="AE1757" s="1"/>
      <c r="AF1757" s="1"/>
      <c r="AG1757" s="1"/>
      <c r="AH1757" s="1"/>
    </row>
    <row r="1758" spans="1:34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"/>
      <c r="AC1758" s="1"/>
      <c r="AD1758" s="1"/>
      <c r="AE1758" s="1"/>
      <c r="AF1758" s="1"/>
      <c r="AG1758" s="1"/>
      <c r="AH1758" s="1"/>
    </row>
    <row r="1759" spans="1:34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"/>
      <c r="AC1759" s="1"/>
      <c r="AD1759" s="1"/>
      <c r="AE1759" s="1"/>
      <c r="AF1759" s="1"/>
      <c r="AG1759" s="1"/>
      <c r="AH1759" s="1"/>
    </row>
    <row r="1760" spans="1:34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"/>
      <c r="AC1760" s="1"/>
      <c r="AD1760" s="1"/>
      <c r="AE1760" s="1"/>
      <c r="AF1760" s="1"/>
      <c r="AG1760" s="1"/>
      <c r="AH1760" s="1"/>
    </row>
    <row r="1761" spans="1:34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"/>
      <c r="AC1761" s="1"/>
      <c r="AD1761" s="1"/>
      <c r="AE1761" s="1"/>
      <c r="AF1761" s="1"/>
      <c r="AG1761" s="1"/>
      <c r="AH1761" s="1"/>
    </row>
    <row r="1762" spans="1:34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"/>
      <c r="AC1762" s="1"/>
      <c r="AD1762" s="1"/>
      <c r="AE1762" s="1"/>
      <c r="AF1762" s="1"/>
      <c r="AG1762" s="1"/>
      <c r="AH1762" s="1"/>
    </row>
    <row r="1763" spans="1:34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"/>
      <c r="AC1763" s="1"/>
      <c r="AD1763" s="1"/>
      <c r="AE1763" s="1"/>
      <c r="AF1763" s="1"/>
      <c r="AG1763" s="1"/>
      <c r="AH1763" s="1"/>
    </row>
    <row r="1764" spans="1:34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"/>
      <c r="AC1764" s="1"/>
      <c r="AD1764" s="1"/>
      <c r="AE1764" s="1"/>
      <c r="AF1764" s="1"/>
      <c r="AG1764" s="1"/>
      <c r="AH1764" s="1"/>
    </row>
    <row r="1765" spans="1:34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"/>
      <c r="AC1765" s="1"/>
      <c r="AD1765" s="1"/>
      <c r="AE1765" s="1"/>
      <c r="AF1765" s="1"/>
      <c r="AG1765" s="1"/>
      <c r="AH1765" s="1"/>
    </row>
    <row r="1766" spans="1:34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"/>
      <c r="AC1766" s="1"/>
      <c r="AD1766" s="1"/>
      <c r="AE1766" s="1"/>
      <c r="AF1766" s="1"/>
      <c r="AG1766" s="1"/>
      <c r="AH1766" s="1"/>
    </row>
    <row r="1767" spans="1:34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"/>
      <c r="AC1767" s="1"/>
      <c r="AD1767" s="1"/>
      <c r="AE1767" s="1"/>
      <c r="AF1767" s="1"/>
      <c r="AG1767" s="1"/>
      <c r="AH1767" s="1"/>
    </row>
    <row r="1768" spans="1:34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"/>
      <c r="AC1768" s="1"/>
      <c r="AD1768" s="1"/>
      <c r="AE1768" s="1"/>
      <c r="AF1768" s="1"/>
      <c r="AG1768" s="1"/>
      <c r="AH1768" s="1"/>
    </row>
    <row r="1769" spans="1:34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"/>
      <c r="AC1769" s="1"/>
      <c r="AD1769" s="1"/>
      <c r="AE1769" s="1"/>
      <c r="AF1769" s="1"/>
      <c r="AG1769" s="1"/>
      <c r="AH1769" s="1"/>
    </row>
    <row r="1770" spans="1:34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"/>
      <c r="AC1770" s="1"/>
      <c r="AD1770" s="1"/>
      <c r="AE1770" s="1"/>
      <c r="AF1770" s="1"/>
      <c r="AG1770" s="1"/>
      <c r="AH1770" s="1"/>
    </row>
    <row r="1771" spans="1:34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"/>
      <c r="AC1771" s="1"/>
      <c r="AD1771" s="1"/>
      <c r="AE1771" s="1"/>
      <c r="AF1771" s="1"/>
      <c r="AG1771" s="1"/>
      <c r="AH1771" s="1"/>
    </row>
    <row r="1772" spans="1:34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"/>
      <c r="AC1772" s="1"/>
      <c r="AD1772" s="1"/>
      <c r="AE1772" s="1"/>
      <c r="AF1772" s="1"/>
      <c r="AG1772" s="1"/>
      <c r="AH1772" s="1"/>
    </row>
    <row r="1773" spans="1:34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"/>
      <c r="AC1773" s="1"/>
      <c r="AD1773" s="1"/>
      <c r="AE1773" s="1"/>
      <c r="AF1773" s="1"/>
      <c r="AG1773" s="1"/>
      <c r="AH1773" s="1"/>
    </row>
    <row r="1774" spans="1:34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"/>
      <c r="AC1774" s="1"/>
      <c r="AD1774" s="1"/>
      <c r="AE1774" s="1"/>
      <c r="AF1774" s="1"/>
      <c r="AG1774" s="1"/>
      <c r="AH1774" s="1"/>
    </row>
    <row r="1775" spans="1:34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"/>
      <c r="AC1775" s="1"/>
      <c r="AD1775" s="1"/>
      <c r="AE1775" s="1"/>
      <c r="AF1775" s="1"/>
      <c r="AG1775" s="1"/>
      <c r="AH1775" s="1"/>
    </row>
    <row r="1776" spans="1:34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"/>
      <c r="AC1776" s="1"/>
      <c r="AD1776" s="1"/>
      <c r="AE1776" s="1"/>
      <c r="AF1776" s="1"/>
      <c r="AG1776" s="1"/>
      <c r="AH1776" s="1"/>
    </row>
    <row r="1777" spans="1:34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"/>
      <c r="AC1777" s="1"/>
      <c r="AD1777" s="1"/>
      <c r="AE1777" s="1"/>
      <c r="AF1777" s="1"/>
      <c r="AG1777" s="1"/>
      <c r="AH1777" s="1"/>
    </row>
    <row r="1778" spans="1:34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"/>
      <c r="AC1778" s="1"/>
      <c r="AD1778" s="1"/>
      <c r="AE1778" s="1"/>
      <c r="AF1778" s="1"/>
      <c r="AG1778" s="1"/>
      <c r="AH1778" s="1"/>
    </row>
    <row r="1779" spans="1:34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"/>
      <c r="AC1779" s="1"/>
      <c r="AD1779" s="1"/>
      <c r="AE1779" s="1"/>
      <c r="AF1779" s="1"/>
      <c r="AG1779" s="1"/>
      <c r="AH1779" s="1"/>
    </row>
    <row r="1780" spans="1:34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"/>
      <c r="AC1780" s="1"/>
      <c r="AD1780" s="1"/>
      <c r="AE1780" s="1"/>
      <c r="AF1780" s="1"/>
      <c r="AG1780" s="1"/>
      <c r="AH1780" s="1"/>
    </row>
    <row r="1781" spans="1:34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"/>
      <c r="AC1781" s="1"/>
      <c r="AD1781" s="1"/>
      <c r="AE1781" s="1"/>
      <c r="AF1781" s="1"/>
      <c r="AG1781" s="1"/>
      <c r="AH1781" s="1"/>
    </row>
    <row r="1782" spans="1:34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"/>
      <c r="AC1782" s="1"/>
      <c r="AD1782" s="1"/>
      <c r="AE1782" s="1"/>
      <c r="AF1782" s="1"/>
      <c r="AG1782" s="1"/>
      <c r="AH1782" s="1"/>
    </row>
    <row r="1783" spans="1:34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"/>
      <c r="AC1783" s="1"/>
      <c r="AD1783" s="1"/>
      <c r="AE1783" s="1"/>
      <c r="AF1783" s="1"/>
      <c r="AG1783" s="1"/>
      <c r="AH1783" s="1"/>
    </row>
    <row r="1784" spans="1:34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"/>
      <c r="AC1784" s="1"/>
      <c r="AD1784" s="1"/>
      <c r="AE1784" s="1"/>
      <c r="AF1784" s="1"/>
      <c r="AG1784" s="1"/>
      <c r="AH1784" s="1"/>
    </row>
    <row r="1785" spans="1:34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"/>
      <c r="AC1785" s="1"/>
      <c r="AD1785" s="1"/>
      <c r="AE1785" s="1"/>
      <c r="AF1785" s="1"/>
      <c r="AG1785" s="1"/>
      <c r="AH1785" s="1"/>
    </row>
    <row r="1786" spans="1:34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"/>
      <c r="AC1786" s="1"/>
      <c r="AD1786" s="1"/>
      <c r="AE1786" s="1"/>
      <c r="AF1786" s="1"/>
      <c r="AG1786" s="1"/>
      <c r="AH1786" s="1"/>
    </row>
    <row r="1787" spans="1:34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"/>
      <c r="AC1787" s="1"/>
      <c r="AD1787" s="1"/>
      <c r="AE1787" s="1"/>
      <c r="AF1787" s="1"/>
      <c r="AG1787" s="1"/>
      <c r="AH1787" s="1"/>
    </row>
    <row r="1788" spans="1:34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"/>
      <c r="AC1788" s="1"/>
      <c r="AD1788" s="1"/>
      <c r="AE1788" s="1"/>
      <c r="AF1788" s="1"/>
      <c r="AG1788" s="1"/>
      <c r="AH1788" s="1"/>
    </row>
    <row r="1789" spans="1:34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"/>
      <c r="AC1789" s="1"/>
      <c r="AD1789" s="1"/>
      <c r="AE1789" s="1"/>
      <c r="AF1789" s="1"/>
      <c r="AG1789" s="1"/>
      <c r="AH1789" s="1"/>
    </row>
    <row r="1790" spans="1:34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"/>
      <c r="AC1790" s="1"/>
      <c r="AD1790" s="1"/>
      <c r="AE1790" s="1"/>
      <c r="AF1790" s="1"/>
      <c r="AG1790" s="1"/>
      <c r="AH1790" s="1"/>
    </row>
    <row r="1791" spans="1:34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"/>
      <c r="AC1791" s="1"/>
      <c r="AD1791" s="1"/>
      <c r="AE1791" s="1"/>
      <c r="AF1791" s="1"/>
      <c r="AG1791" s="1"/>
      <c r="AH1791" s="1"/>
    </row>
    <row r="1792" spans="1:34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"/>
      <c r="AC1792" s="1"/>
      <c r="AD1792" s="1"/>
      <c r="AE1792" s="1"/>
      <c r="AF1792" s="1"/>
      <c r="AG1792" s="1"/>
      <c r="AH1792" s="1"/>
    </row>
    <row r="1793" spans="1:34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"/>
      <c r="AC1793" s="1"/>
      <c r="AD1793" s="1"/>
      <c r="AE1793" s="1"/>
      <c r="AF1793" s="1"/>
      <c r="AG1793" s="1"/>
      <c r="AH1793" s="1"/>
    </row>
    <row r="1794" spans="1:34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"/>
      <c r="AC1794" s="1"/>
      <c r="AD1794" s="1"/>
      <c r="AE1794" s="1"/>
      <c r="AF1794" s="1"/>
      <c r="AG1794" s="1"/>
      <c r="AH1794" s="1"/>
    </row>
    <row r="1795" spans="1:34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"/>
      <c r="AC1795" s="1"/>
      <c r="AD1795" s="1"/>
      <c r="AE1795" s="1"/>
      <c r="AF1795" s="1"/>
      <c r="AG1795" s="1"/>
      <c r="AH1795" s="1"/>
    </row>
    <row r="1796" spans="1:34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"/>
      <c r="AC1796" s="1"/>
      <c r="AD1796" s="1"/>
      <c r="AE1796" s="1"/>
      <c r="AF1796" s="1"/>
      <c r="AG1796" s="1"/>
      <c r="AH1796" s="1"/>
    </row>
    <row r="1797" spans="1:34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"/>
      <c r="AC1797" s="1"/>
      <c r="AD1797" s="1"/>
      <c r="AE1797" s="1"/>
      <c r="AF1797" s="1"/>
      <c r="AG1797" s="1"/>
      <c r="AH1797" s="1"/>
    </row>
    <row r="1798" spans="1:34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"/>
      <c r="AC1798" s="1"/>
      <c r="AD1798" s="1"/>
      <c r="AE1798" s="1"/>
      <c r="AF1798" s="1"/>
      <c r="AG1798" s="1"/>
      <c r="AH1798" s="1"/>
    </row>
    <row r="1799" spans="1:34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"/>
      <c r="AC1799" s="1"/>
      <c r="AD1799" s="1"/>
      <c r="AE1799" s="1"/>
      <c r="AF1799" s="1"/>
      <c r="AG1799" s="1"/>
      <c r="AH1799" s="1"/>
    </row>
    <row r="1800" spans="1:34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"/>
      <c r="AC1800" s="1"/>
      <c r="AD1800" s="1"/>
      <c r="AE1800" s="1"/>
      <c r="AF1800" s="1"/>
      <c r="AG1800" s="1"/>
      <c r="AH1800" s="1"/>
    </row>
    <row r="1801" spans="1:34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"/>
      <c r="AC1801" s="1"/>
      <c r="AD1801" s="1"/>
      <c r="AE1801" s="1"/>
      <c r="AF1801" s="1"/>
      <c r="AG1801" s="1"/>
      <c r="AH1801" s="1"/>
    </row>
    <row r="1802" spans="1:34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"/>
      <c r="AC1802" s="1"/>
      <c r="AD1802" s="1"/>
      <c r="AE1802" s="1"/>
      <c r="AF1802" s="1"/>
      <c r="AG1802" s="1"/>
      <c r="AH1802" s="1"/>
    </row>
    <row r="1803" spans="1:34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"/>
      <c r="AC1803" s="1"/>
      <c r="AD1803" s="1"/>
      <c r="AE1803" s="1"/>
      <c r="AF1803" s="1"/>
      <c r="AG1803" s="1"/>
      <c r="AH1803" s="1"/>
    </row>
    <row r="1804" spans="1:34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"/>
      <c r="AC1804" s="1"/>
      <c r="AD1804" s="1"/>
      <c r="AE1804" s="1"/>
      <c r="AF1804" s="1"/>
      <c r="AG1804" s="1"/>
      <c r="AH1804" s="1"/>
    </row>
    <row r="1805" spans="1:34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"/>
      <c r="AC1805" s="1"/>
      <c r="AD1805" s="1"/>
      <c r="AE1805" s="1"/>
      <c r="AF1805" s="1"/>
      <c r="AG1805" s="1"/>
      <c r="AH1805" s="1"/>
    </row>
    <row r="1806" spans="1:34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"/>
      <c r="AC1806" s="1"/>
      <c r="AD1806" s="1"/>
      <c r="AE1806" s="1"/>
      <c r="AF1806" s="1"/>
      <c r="AG1806" s="1"/>
      <c r="AH1806" s="1"/>
    </row>
    <row r="1807" spans="1:34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"/>
      <c r="AC1807" s="1"/>
      <c r="AD1807" s="1"/>
      <c r="AE1807" s="1"/>
      <c r="AF1807" s="1"/>
      <c r="AG1807" s="1"/>
      <c r="AH1807" s="1"/>
    </row>
    <row r="1808" spans="1:34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"/>
      <c r="AC1808" s="1"/>
      <c r="AD1808" s="1"/>
      <c r="AE1808" s="1"/>
      <c r="AF1808" s="1"/>
      <c r="AG1808" s="1"/>
      <c r="AH1808" s="1"/>
    </row>
    <row r="1809" spans="1:34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"/>
      <c r="AC1809" s="1"/>
      <c r="AD1809" s="1"/>
      <c r="AE1809" s="1"/>
      <c r="AF1809" s="1"/>
      <c r="AG1809" s="1"/>
      <c r="AH1809" s="1"/>
    </row>
    <row r="1810" spans="1:34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"/>
      <c r="AC1810" s="1"/>
      <c r="AD1810" s="1"/>
      <c r="AE1810" s="1"/>
      <c r="AF1810" s="1"/>
      <c r="AG1810" s="1"/>
      <c r="AH1810" s="1"/>
    </row>
    <row r="1811" spans="1:34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"/>
      <c r="AC1811" s="1"/>
      <c r="AD1811" s="1"/>
      <c r="AE1811" s="1"/>
      <c r="AF1811" s="1"/>
      <c r="AG1811" s="1"/>
      <c r="AH1811" s="1"/>
    </row>
    <row r="1812" spans="1:34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"/>
      <c r="AC1812" s="1"/>
      <c r="AD1812" s="1"/>
      <c r="AE1812" s="1"/>
      <c r="AF1812" s="1"/>
      <c r="AG1812" s="1"/>
      <c r="AH1812" s="1"/>
    </row>
    <row r="1813" spans="1:34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"/>
      <c r="AC1813" s="1"/>
      <c r="AD1813" s="1"/>
      <c r="AE1813" s="1"/>
      <c r="AF1813" s="1"/>
      <c r="AG1813" s="1"/>
      <c r="AH1813" s="1"/>
    </row>
    <row r="1814" spans="1:34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"/>
      <c r="AC1814" s="1"/>
      <c r="AD1814" s="1"/>
      <c r="AE1814" s="1"/>
      <c r="AF1814" s="1"/>
      <c r="AG1814" s="1"/>
      <c r="AH1814" s="1"/>
    </row>
    <row r="1815" spans="1:34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"/>
      <c r="AC1815" s="1"/>
      <c r="AD1815" s="1"/>
      <c r="AE1815" s="1"/>
      <c r="AF1815" s="1"/>
      <c r="AG1815" s="1"/>
      <c r="AH1815" s="1"/>
    </row>
    <row r="1816" spans="1:34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"/>
      <c r="AC1816" s="1"/>
      <c r="AD1816" s="1"/>
      <c r="AE1816" s="1"/>
      <c r="AF1816" s="1"/>
      <c r="AG1816" s="1"/>
      <c r="AH1816" s="1"/>
    </row>
    <row r="1817" spans="1:34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"/>
      <c r="AC1817" s="1"/>
      <c r="AD1817" s="1"/>
      <c r="AE1817" s="1"/>
      <c r="AF1817" s="1"/>
      <c r="AG1817" s="1"/>
      <c r="AH1817" s="1"/>
    </row>
    <row r="1818" spans="1:34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"/>
      <c r="AC1818" s="1"/>
      <c r="AD1818" s="1"/>
      <c r="AE1818" s="1"/>
      <c r="AF1818" s="1"/>
      <c r="AG1818" s="1"/>
      <c r="AH1818" s="1"/>
    </row>
    <row r="1819" spans="1:34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"/>
      <c r="AC1819" s="1"/>
      <c r="AD1819" s="1"/>
      <c r="AE1819" s="1"/>
      <c r="AF1819" s="1"/>
      <c r="AG1819" s="1"/>
      <c r="AH1819" s="1"/>
    </row>
    <row r="1820" spans="1:34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"/>
      <c r="AC1820" s="1"/>
      <c r="AD1820" s="1"/>
      <c r="AE1820" s="1"/>
      <c r="AF1820" s="1"/>
      <c r="AG1820" s="1"/>
      <c r="AH1820" s="1"/>
    </row>
    <row r="1821" spans="1:34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"/>
      <c r="AC1821" s="1"/>
      <c r="AD1821" s="1"/>
      <c r="AE1821" s="1"/>
      <c r="AF1821" s="1"/>
      <c r="AG1821" s="1"/>
      <c r="AH1821" s="1"/>
    </row>
    <row r="1822" spans="1:34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"/>
      <c r="AC1822" s="1"/>
      <c r="AD1822" s="1"/>
      <c r="AE1822" s="1"/>
      <c r="AF1822" s="1"/>
      <c r="AG1822" s="1"/>
      <c r="AH1822" s="1"/>
    </row>
    <row r="1823" spans="1:34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"/>
      <c r="AC1823" s="1"/>
      <c r="AD1823" s="1"/>
      <c r="AE1823" s="1"/>
      <c r="AF1823" s="1"/>
      <c r="AG1823" s="1"/>
      <c r="AH1823" s="1"/>
    </row>
    <row r="1824" spans="1:34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"/>
      <c r="AC1824" s="1"/>
      <c r="AD1824" s="1"/>
      <c r="AE1824" s="1"/>
      <c r="AF1824" s="1"/>
      <c r="AG1824" s="1"/>
      <c r="AH1824" s="1"/>
    </row>
    <row r="1825" spans="1:34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"/>
      <c r="AC1825" s="1"/>
      <c r="AD1825" s="1"/>
      <c r="AE1825" s="1"/>
      <c r="AF1825" s="1"/>
      <c r="AG1825" s="1"/>
      <c r="AH1825" s="1"/>
    </row>
    <row r="1826" spans="1:34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"/>
      <c r="AC1826" s="1"/>
      <c r="AD1826" s="1"/>
      <c r="AE1826" s="1"/>
      <c r="AF1826" s="1"/>
      <c r="AG1826" s="1"/>
      <c r="AH1826" s="1"/>
    </row>
    <row r="1827" spans="1:34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"/>
      <c r="AC1827" s="1"/>
      <c r="AD1827" s="1"/>
      <c r="AE1827" s="1"/>
      <c r="AF1827" s="1"/>
      <c r="AG1827" s="1"/>
      <c r="AH1827" s="1"/>
    </row>
    <row r="1828" spans="1:34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"/>
      <c r="AC1828" s="1"/>
      <c r="AD1828" s="1"/>
      <c r="AE1828" s="1"/>
      <c r="AF1828" s="1"/>
      <c r="AG1828" s="1"/>
      <c r="AH1828" s="1"/>
    </row>
    <row r="1829" spans="1:34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"/>
      <c r="AC1829" s="1"/>
      <c r="AD1829" s="1"/>
      <c r="AE1829" s="1"/>
      <c r="AF1829" s="1"/>
      <c r="AG1829" s="1"/>
      <c r="AH1829" s="1"/>
    </row>
    <row r="1830" spans="1:34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"/>
      <c r="AC1830" s="1"/>
      <c r="AD1830" s="1"/>
      <c r="AE1830" s="1"/>
      <c r="AF1830" s="1"/>
      <c r="AG1830" s="1"/>
      <c r="AH1830" s="1"/>
    </row>
    <row r="1831" spans="1:34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"/>
      <c r="AC1831" s="1"/>
      <c r="AD1831" s="1"/>
      <c r="AE1831" s="1"/>
      <c r="AF1831" s="1"/>
      <c r="AG1831" s="1"/>
      <c r="AH1831" s="1"/>
    </row>
    <row r="1832" spans="1:34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"/>
      <c r="AC1832" s="1"/>
      <c r="AD1832" s="1"/>
      <c r="AE1832" s="1"/>
      <c r="AF1832" s="1"/>
      <c r="AG1832" s="1"/>
      <c r="AH1832" s="1"/>
    </row>
    <row r="1833" spans="1:34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"/>
      <c r="AC1833" s="1"/>
      <c r="AD1833" s="1"/>
      <c r="AE1833" s="1"/>
      <c r="AF1833" s="1"/>
      <c r="AG1833" s="1"/>
      <c r="AH1833" s="1"/>
    </row>
    <row r="1834" spans="1:34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"/>
      <c r="AC1834" s="1"/>
      <c r="AD1834" s="1"/>
      <c r="AE1834" s="1"/>
      <c r="AF1834" s="1"/>
      <c r="AG1834" s="1"/>
      <c r="AH1834" s="1"/>
    </row>
    <row r="1835" spans="1:34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"/>
      <c r="AC1835" s="1"/>
      <c r="AD1835" s="1"/>
      <c r="AE1835" s="1"/>
      <c r="AF1835" s="1"/>
      <c r="AG1835" s="1"/>
      <c r="AH1835" s="1"/>
    </row>
    <row r="1836" spans="1:34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"/>
      <c r="AC1836" s="1"/>
      <c r="AD1836" s="1"/>
      <c r="AE1836" s="1"/>
      <c r="AF1836" s="1"/>
      <c r="AG1836" s="1"/>
      <c r="AH1836" s="1"/>
    </row>
    <row r="1837" spans="1:34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"/>
      <c r="AC1837" s="1"/>
      <c r="AD1837" s="1"/>
      <c r="AE1837" s="1"/>
      <c r="AF1837" s="1"/>
      <c r="AG1837" s="1"/>
      <c r="AH1837" s="1"/>
    </row>
    <row r="1838" spans="1:34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"/>
      <c r="AC1838" s="1"/>
      <c r="AD1838" s="1"/>
      <c r="AE1838" s="1"/>
      <c r="AF1838" s="1"/>
      <c r="AG1838" s="1"/>
      <c r="AH1838" s="1"/>
    </row>
    <row r="1839" spans="1:34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"/>
      <c r="AC1839" s="1"/>
      <c r="AD1839" s="1"/>
      <c r="AE1839" s="1"/>
      <c r="AF1839" s="1"/>
      <c r="AG1839" s="1"/>
      <c r="AH1839" s="1"/>
    </row>
    <row r="1840" spans="1:34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"/>
      <c r="AC1840" s="1"/>
      <c r="AD1840" s="1"/>
      <c r="AE1840" s="1"/>
      <c r="AF1840" s="1"/>
      <c r="AG1840" s="1"/>
      <c r="AH1840" s="1"/>
    </row>
    <row r="1841" spans="1:34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"/>
      <c r="AC1841" s="1"/>
      <c r="AD1841" s="1"/>
      <c r="AE1841" s="1"/>
      <c r="AF1841" s="1"/>
      <c r="AG1841" s="1"/>
      <c r="AH1841" s="1"/>
    </row>
    <row r="1842" spans="1:34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"/>
      <c r="AC1842" s="1"/>
      <c r="AD1842" s="1"/>
      <c r="AE1842" s="1"/>
      <c r="AF1842" s="1"/>
      <c r="AG1842" s="1"/>
      <c r="AH1842" s="1"/>
    </row>
    <row r="1843" spans="1:34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"/>
      <c r="AC1843" s="1"/>
      <c r="AD1843" s="1"/>
      <c r="AE1843" s="1"/>
      <c r="AF1843" s="1"/>
      <c r="AG1843" s="1"/>
      <c r="AH1843" s="1"/>
    </row>
    <row r="1844" spans="1:34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"/>
      <c r="AC1844" s="1"/>
      <c r="AD1844" s="1"/>
      <c r="AE1844" s="1"/>
      <c r="AF1844" s="1"/>
      <c r="AG1844" s="1"/>
      <c r="AH1844" s="1"/>
    </row>
    <row r="1845" spans="1:34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"/>
      <c r="AC1845" s="1"/>
      <c r="AD1845" s="1"/>
      <c r="AE1845" s="1"/>
      <c r="AF1845" s="1"/>
      <c r="AG1845" s="1"/>
      <c r="AH1845" s="1"/>
    </row>
    <row r="1846" spans="1:34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"/>
      <c r="AC1846" s="1"/>
      <c r="AD1846" s="1"/>
      <c r="AE1846" s="1"/>
      <c r="AF1846" s="1"/>
      <c r="AG1846" s="1"/>
      <c r="AH1846" s="1"/>
    </row>
    <row r="1847" spans="1:34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"/>
      <c r="AC1847" s="1"/>
      <c r="AD1847" s="1"/>
      <c r="AE1847" s="1"/>
      <c r="AF1847" s="1"/>
      <c r="AG1847" s="1"/>
      <c r="AH1847" s="1"/>
    </row>
    <row r="1848" spans="1:34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"/>
      <c r="AC1848" s="1"/>
      <c r="AD1848" s="1"/>
      <c r="AE1848" s="1"/>
      <c r="AF1848" s="1"/>
      <c r="AG1848" s="1"/>
      <c r="AH1848" s="1"/>
    </row>
    <row r="1849" spans="1:34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"/>
      <c r="AC1849" s="1"/>
      <c r="AD1849" s="1"/>
      <c r="AE1849" s="1"/>
      <c r="AF1849" s="1"/>
      <c r="AG1849" s="1"/>
      <c r="AH1849" s="1"/>
    </row>
    <row r="1850" spans="1:34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"/>
      <c r="AC1850" s="1"/>
      <c r="AD1850" s="1"/>
      <c r="AE1850" s="1"/>
      <c r="AF1850" s="1"/>
      <c r="AG1850" s="1"/>
      <c r="AH1850" s="1"/>
    </row>
    <row r="1851" spans="1:34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"/>
      <c r="AC1851" s="1"/>
      <c r="AD1851" s="1"/>
      <c r="AE1851" s="1"/>
      <c r="AF1851" s="1"/>
      <c r="AG1851" s="1"/>
      <c r="AH1851" s="1"/>
    </row>
    <row r="1852" spans="1:34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"/>
      <c r="AC1852" s="1"/>
      <c r="AD1852" s="1"/>
      <c r="AE1852" s="1"/>
      <c r="AF1852" s="1"/>
      <c r="AG1852" s="1"/>
      <c r="AH1852" s="1"/>
    </row>
    <row r="1853" spans="1:34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"/>
      <c r="AC1853" s="1"/>
      <c r="AD1853" s="1"/>
      <c r="AE1853" s="1"/>
      <c r="AF1853" s="1"/>
      <c r="AG1853" s="1"/>
      <c r="AH1853" s="1"/>
    </row>
    <row r="1854" spans="1:34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"/>
      <c r="AC1854" s="1"/>
      <c r="AD1854" s="1"/>
      <c r="AE1854" s="1"/>
      <c r="AF1854" s="1"/>
      <c r="AG1854" s="1"/>
      <c r="AH1854" s="1"/>
    </row>
    <row r="1855" spans="1:34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"/>
      <c r="AC1855" s="1"/>
      <c r="AD1855" s="1"/>
      <c r="AE1855" s="1"/>
      <c r="AF1855" s="1"/>
      <c r="AG1855" s="1"/>
      <c r="AH1855" s="1"/>
    </row>
    <row r="1856" spans="1:34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"/>
      <c r="AC1856" s="1"/>
      <c r="AD1856" s="1"/>
      <c r="AE1856" s="1"/>
      <c r="AF1856" s="1"/>
      <c r="AG1856" s="1"/>
      <c r="AH1856" s="1"/>
    </row>
    <row r="1857" spans="1:34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"/>
      <c r="AC1857" s="1"/>
      <c r="AD1857" s="1"/>
      <c r="AE1857" s="1"/>
      <c r="AF1857" s="1"/>
      <c r="AG1857" s="1"/>
      <c r="AH1857" s="1"/>
    </row>
    <row r="1858" spans="1:34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"/>
      <c r="AC1858" s="1"/>
      <c r="AD1858" s="1"/>
      <c r="AE1858" s="1"/>
      <c r="AF1858" s="1"/>
      <c r="AG1858" s="1"/>
      <c r="AH1858" s="1"/>
    </row>
    <row r="1859" spans="1:34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"/>
      <c r="AC1859" s="1"/>
      <c r="AD1859" s="1"/>
      <c r="AE1859" s="1"/>
      <c r="AF1859" s="1"/>
      <c r="AG1859" s="1"/>
      <c r="AH1859" s="1"/>
    </row>
    <row r="1860" spans="1:34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"/>
      <c r="AC1860" s="1"/>
      <c r="AD1860" s="1"/>
      <c r="AE1860" s="1"/>
      <c r="AF1860" s="1"/>
      <c r="AG1860" s="1"/>
      <c r="AH1860" s="1"/>
    </row>
    <row r="1861" spans="1:34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"/>
      <c r="AC1861" s="1"/>
      <c r="AD1861" s="1"/>
      <c r="AE1861" s="1"/>
      <c r="AF1861" s="1"/>
      <c r="AG1861" s="1"/>
      <c r="AH1861" s="1"/>
    </row>
    <row r="1862" spans="1:34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"/>
      <c r="AC1862" s="1"/>
      <c r="AD1862" s="1"/>
      <c r="AE1862" s="1"/>
      <c r="AF1862" s="1"/>
      <c r="AG1862" s="1"/>
      <c r="AH1862" s="1"/>
    </row>
    <row r="1863" spans="1:34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"/>
      <c r="AC1863" s="1"/>
      <c r="AD1863" s="1"/>
      <c r="AE1863" s="1"/>
      <c r="AF1863" s="1"/>
      <c r="AG1863" s="1"/>
      <c r="AH1863" s="1"/>
    </row>
    <row r="1864" spans="1:34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"/>
      <c r="AC1864" s="1"/>
      <c r="AD1864" s="1"/>
      <c r="AE1864" s="1"/>
      <c r="AF1864" s="1"/>
      <c r="AG1864" s="1"/>
      <c r="AH1864" s="1"/>
    </row>
    <row r="1865" spans="1:34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"/>
      <c r="AC1865" s="1"/>
      <c r="AD1865" s="1"/>
      <c r="AE1865" s="1"/>
      <c r="AF1865" s="1"/>
      <c r="AG1865" s="1"/>
      <c r="AH1865" s="1"/>
    </row>
    <row r="1866" spans="1:34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"/>
      <c r="AC1866" s="1"/>
      <c r="AD1866" s="1"/>
      <c r="AE1866" s="1"/>
      <c r="AF1866" s="1"/>
      <c r="AG1866" s="1"/>
      <c r="AH1866" s="1"/>
    </row>
    <row r="1867" spans="1:34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"/>
      <c r="AC1867" s="1"/>
      <c r="AD1867" s="1"/>
      <c r="AE1867" s="1"/>
      <c r="AF1867" s="1"/>
      <c r="AG1867" s="1"/>
      <c r="AH1867" s="1"/>
    </row>
    <row r="1868" spans="1:34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"/>
      <c r="AC1868" s="1"/>
      <c r="AD1868" s="1"/>
      <c r="AE1868" s="1"/>
      <c r="AF1868" s="1"/>
      <c r="AG1868" s="1"/>
      <c r="AH1868" s="1"/>
    </row>
    <row r="1869" spans="1:34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"/>
      <c r="AC1869" s="1"/>
      <c r="AD1869" s="1"/>
      <c r="AE1869" s="1"/>
      <c r="AF1869" s="1"/>
      <c r="AG1869" s="1"/>
      <c r="AH1869" s="1"/>
    </row>
    <row r="1870" spans="1:34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"/>
      <c r="AC1870" s="1"/>
      <c r="AD1870" s="1"/>
      <c r="AE1870" s="1"/>
      <c r="AF1870" s="1"/>
      <c r="AG1870" s="1"/>
      <c r="AH1870" s="1"/>
    </row>
    <row r="1871" spans="1:34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"/>
      <c r="AC1871" s="1"/>
      <c r="AD1871" s="1"/>
      <c r="AE1871" s="1"/>
      <c r="AF1871" s="1"/>
      <c r="AG1871" s="1"/>
      <c r="AH1871" s="1"/>
    </row>
    <row r="1872" spans="1:34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"/>
      <c r="AC1872" s="1"/>
      <c r="AD1872" s="1"/>
      <c r="AE1872" s="1"/>
      <c r="AF1872" s="1"/>
      <c r="AG1872" s="1"/>
      <c r="AH1872" s="1"/>
    </row>
    <row r="1873" spans="1:34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"/>
      <c r="AC1873" s="1"/>
      <c r="AD1873" s="1"/>
      <c r="AE1873" s="1"/>
      <c r="AF1873" s="1"/>
      <c r="AG1873" s="1"/>
      <c r="AH1873" s="1"/>
    </row>
    <row r="1874" spans="1:34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"/>
      <c r="AC1874" s="1"/>
      <c r="AD1874" s="1"/>
      <c r="AE1874" s="1"/>
      <c r="AF1874" s="1"/>
      <c r="AG1874" s="1"/>
      <c r="AH1874" s="1"/>
    </row>
    <row r="1875" spans="1:34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"/>
      <c r="AC1875" s="1"/>
      <c r="AD1875" s="1"/>
      <c r="AE1875" s="1"/>
      <c r="AF1875" s="1"/>
      <c r="AG1875" s="1"/>
      <c r="AH1875" s="1"/>
    </row>
    <row r="1876" spans="1:34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"/>
      <c r="AC1876" s="1"/>
      <c r="AD1876" s="1"/>
      <c r="AE1876" s="1"/>
      <c r="AF1876" s="1"/>
      <c r="AG1876" s="1"/>
      <c r="AH1876" s="1"/>
    </row>
    <row r="1877" spans="1:34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"/>
      <c r="AC1877" s="1"/>
      <c r="AD1877" s="1"/>
      <c r="AE1877" s="1"/>
      <c r="AF1877" s="1"/>
      <c r="AG1877" s="1"/>
      <c r="AH1877" s="1"/>
    </row>
    <row r="1878" spans="1:34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"/>
      <c r="AC1878" s="1"/>
      <c r="AD1878" s="1"/>
      <c r="AE1878" s="1"/>
      <c r="AF1878" s="1"/>
      <c r="AG1878" s="1"/>
      <c r="AH1878" s="1"/>
    </row>
    <row r="1879" spans="1:34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"/>
      <c r="AC1879" s="1"/>
      <c r="AD1879" s="1"/>
      <c r="AE1879" s="1"/>
      <c r="AF1879" s="1"/>
      <c r="AG1879" s="1"/>
      <c r="AH1879" s="1"/>
    </row>
    <row r="1880" spans="1:34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"/>
      <c r="AC1880" s="1"/>
      <c r="AD1880" s="1"/>
      <c r="AE1880" s="1"/>
      <c r="AF1880" s="1"/>
      <c r="AG1880" s="1"/>
      <c r="AH1880" s="1"/>
    </row>
    <row r="1881" spans="1:34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"/>
      <c r="AC1881" s="1"/>
      <c r="AD1881" s="1"/>
      <c r="AE1881" s="1"/>
      <c r="AF1881" s="1"/>
      <c r="AG1881" s="1"/>
      <c r="AH1881" s="1"/>
    </row>
    <row r="1882" spans="1:34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"/>
      <c r="AC1882" s="1"/>
      <c r="AD1882" s="1"/>
      <c r="AE1882" s="1"/>
      <c r="AF1882" s="1"/>
      <c r="AG1882" s="1"/>
      <c r="AH1882" s="1"/>
    </row>
    <row r="1883" spans="1:34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"/>
      <c r="AC1883" s="1"/>
      <c r="AD1883" s="1"/>
      <c r="AE1883" s="1"/>
      <c r="AF1883" s="1"/>
      <c r="AG1883" s="1"/>
      <c r="AH1883" s="1"/>
    </row>
    <row r="1884" spans="1:34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"/>
      <c r="AC1884" s="1"/>
      <c r="AD1884" s="1"/>
      <c r="AE1884" s="1"/>
      <c r="AF1884" s="1"/>
      <c r="AG1884" s="1"/>
      <c r="AH1884" s="1"/>
    </row>
    <row r="1885" spans="1:34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"/>
      <c r="AC1885" s="1"/>
      <c r="AD1885" s="1"/>
      <c r="AE1885" s="1"/>
      <c r="AF1885" s="1"/>
      <c r="AG1885" s="1"/>
      <c r="AH1885" s="1"/>
    </row>
    <row r="1886" spans="1:34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"/>
      <c r="AC1886" s="1"/>
      <c r="AD1886" s="1"/>
      <c r="AE1886" s="1"/>
      <c r="AF1886" s="1"/>
      <c r="AG1886" s="1"/>
      <c r="AH1886" s="1"/>
    </row>
    <row r="1887" spans="1:34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"/>
      <c r="AC1887" s="1"/>
      <c r="AD1887" s="1"/>
      <c r="AE1887" s="1"/>
      <c r="AF1887" s="1"/>
      <c r="AG1887" s="1"/>
      <c r="AH1887" s="1"/>
    </row>
    <row r="1888" spans="1:34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"/>
      <c r="AC1888" s="1"/>
      <c r="AD1888" s="1"/>
      <c r="AE1888" s="1"/>
      <c r="AF1888" s="1"/>
      <c r="AG1888" s="1"/>
      <c r="AH1888" s="1"/>
    </row>
    <row r="1889" spans="1:34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"/>
      <c r="AC1889" s="1"/>
      <c r="AD1889" s="1"/>
      <c r="AE1889" s="1"/>
      <c r="AF1889" s="1"/>
      <c r="AG1889" s="1"/>
      <c r="AH1889" s="1"/>
    </row>
    <row r="1890" spans="1:34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"/>
      <c r="AC1890" s="1"/>
      <c r="AD1890" s="1"/>
      <c r="AE1890" s="1"/>
      <c r="AF1890" s="1"/>
      <c r="AG1890" s="1"/>
      <c r="AH1890" s="1"/>
    </row>
    <row r="1891" spans="1:34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"/>
      <c r="AC1891" s="1"/>
      <c r="AD1891" s="1"/>
      <c r="AE1891" s="1"/>
      <c r="AF1891" s="1"/>
      <c r="AG1891" s="1"/>
      <c r="AH1891" s="1"/>
    </row>
    <row r="1892" spans="1:34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"/>
      <c r="AC1892" s="1"/>
      <c r="AD1892" s="1"/>
      <c r="AE1892" s="1"/>
      <c r="AF1892" s="1"/>
      <c r="AG1892" s="1"/>
      <c r="AH1892" s="1"/>
    </row>
    <row r="1893" spans="1:34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"/>
      <c r="AC1893" s="1"/>
      <c r="AD1893" s="1"/>
      <c r="AE1893" s="1"/>
      <c r="AF1893" s="1"/>
      <c r="AG1893" s="1"/>
      <c r="AH1893" s="1"/>
    </row>
    <row r="1894" spans="1:34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"/>
      <c r="AC1894" s="1"/>
      <c r="AD1894" s="1"/>
      <c r="AE1894" s="1"/>
      <c r="AF1894" s="1"/>
      <c r="AG1894" s="1"/>
      <c r="AH1894" s="1"/>
    </row>
    <row r="1895" spans="1:34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"/>
      <c r="AC1895" s="1"/>
      <c r="AD1895" s="1"/>
      <c r="AE1895" s="1"/>
      <c r="AF1895" s="1"/>
      <c r="AG1895" s="1"/>
      <c r="AH1895" s="1"/>
    </row>
    <row r="1896" spans="1:34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"/>
      <c r="AC1896" s="1"/>
      <c r="AD1896" s="1"/>
      <c r="AE1896" s="1"/>
      <c r="AF1896" s="1"/>
      <c r="AG1896" s="1"/>
      <c r="AH1896" s="1"/>
    </row>
    <row r="1897" spans="1:34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"/>
      <c r="AC1897" s="1"/>
      <c r="AD1897" s="1"/>
      <c r="AE1897" s="1"/>
      <c r="AF1897" s="1"/>
      <c r="AG1897" s="1"/>
      <c r="AH1897" s="1"/>
    </row>
    <row r="1898" spans="1:34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"/>
      <c r="AC1898" s="1"/>
      <c r="AD1898" s="1"/>
      <c r="AE1898" s="1"/>
      <c r="AF1898" s="1"/>
      <c r="AG1898" s="1"/>
      <c r="AH1898" s="1"/>
    </row>
    <row r="1899" spans="1:34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"/>
      <c r="AC1899" s="1"/>
      <c r="AD1899" s="1"/>
      <c r="AE1899" s="1"/>
      <c r="AF1899" s="1"/>
      <c r="AG1899" s="1"/>
      <c r="AH1899" s="1"/>
    </row>
    <row r="1900" spans="1:34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"/>
      <c r="AC1900" s="1"/>
      <c r="AD1900" s="1"/>
      <c r="AE1900" s="1"/>
      <c r="AF1900" s="1"/>
      <c r="AG1900" s="1"/>
      <c r="AH1900" s="1"/>
    </row>
    <row r="1901" spans="1:34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"/>
      <c r="AC1901" s="1"/>
      <c r="AD1901" s="1"/>
      <c r="AE1901" s="1"/>
      <c r="AF1901" s="1"/>
      <c r="AG1901" s="1"/>
      <c r="AH1901" s="1"/>
    </row>
    <row r="1902" spans="1:34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"/>
      <c r="AC1902" s="1"/>
      <c r="AD1902" s="1"/>
      <c r="AE1902" s="1"/>
      <c r="AF1902" s="1"/>
      <c r="AG1902" s="1"/>
      <c r="AH1902" s="1"/>
    </row>
    <row r="1903" spans="1:34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"/>
      <c r="AC1903" s="1"/>
      <c r="AD1903" s="1"/>
      <c r="AE1903" s="1"/>
      <c r="AF1903" s="1"/>
      <c r="AG1903" s="1"/>
      <c r="AH1903" s="1"/>
    </row>
    <row r="1904" spans="1:34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"/>
      <c r="AC1904" s="1"/>
      <c r="AD1904" s="1"/>
      <c r="AE1904" s="1"/>
      <c r="AF1904" s="1"/>
      <c r="AG1904" s="1"/>
      <c r="AH1904" s="1"/>
    </row>
    <row r="1905" spans="1:34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"/>
      <c r="AC1905" s="1"/>
      <c r="AD1905" s="1"/>
      <c r="AE1905" s="1"/>
      <c r="AF1905" s="1"/>
      <c r="AG1905" s="1"/>
      <c r="AH1905" s="1"/>
    </row>
    <row r="1906" spans="1:34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"/>
      <c r="AC1906" s="1"/>
      <c r="AD1906" s="1"/>
      <c r="AE1906" s="1"/>
      <c r="AF1906" s="1"/>
      <c r="AG1906" s="1"/>
      <c r="AH1906" s="1"/>
    </row>
    <row r="1907" spans="1:34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"/>
      <c r="AC1907" s="1"/>
      <c r="AD1907" s="1"/>
      <c r="AE1907" s="1"/>
      <c r="AF1907" s="1"/>
      <c r="AG1907" s="1"/>
      <c r="AH1907" s="1"/>
    </row>
    <row r="1908" spans="1:34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"/>
      <c r="AC1908" s="1"/>
      <c r="AD1908" s="1"/>
      <c r="AE1908" s="1"/>
      <c r="AF1908" s="1"/>
      <c r="AG1908" s="1"/>
      <c r="AH1908" s="1"/>
    </row>
    <row r="1909" spans="1:34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"/>
      <c r="AC1909" s="1"/>
      <c r="AD1909" s="1"/>
      <c r="AE1909" s="1"/>
      <c r="AF1909" s="1"/>
      <c r="AG1909" s="1"/>
      <c r="AH1909" s="1"/>
    </row>
    <row r="1910" spans="1:34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"/>
      <c r="AC1910" s="1"/>
      <c r="AD1910" s="1"/>
      <c r="AE1910" s="1"/>
      <c r="AF1910" s="1"/>
      <c r="AG1910" s="1"/>
      <c r="AH1910" s="1"/>
    </row>
    <row r="1911" spans="1:34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"/>
      <c r="AC1911" s="1"/>
      <c r="AD1911" s="1"/>
      <c r="AE1911" s="1"/>
      <c r="AF1911" s="1"/>
      <c r="AG1911" s="1"/>
      <c r="AH1911" s="1"/>
    </row>
    <row r="1912" spans="1:34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"/>
      <c r="AC1912" s="1"/>
      <c r="AD1912" s="1"/>
      <c r="AE1912" s="1"/>
      <c r="AF1912" s="1"/>
      <c r="AG1912" s="1"/>
      <c r="AH1912" s="1"/>
    </row>
    <row r="1913" spans="1:34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"/>
      <c r="AC1913" s="1"/>
      <c r="AD1913" s="1"/>
      <c r="AE1913" s="1"/>
      <c r="AF1913" s="1"/>
      <c r="AG1913" s="1"/>
      <c r="AH1913" s="1"/>
    </row>
    <row r="1914" spans="1:34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"/>
      <c r="AC1914" s="1"/>
      <c r="AD1914" s="1"/>
      <c r="AE1914" s="1"/>
      <c r="AF1914" s="1"/>
      <c r="AG1914" s="1"/>
      <c r="AH1914" s="1"/>
    </row>
    <row r="1915" spans="1:34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"/>
      <c r="AC1915" s="1"/>
      <c r="AD1915" s="1"/>
      <c r="AE1915" s="1"/>
      <c r="AF1915" s="1"/>
      <c r="AG1915" s="1"/>
      <c r="AH1915" s="1"/>
    </row>
    <row r="1916" spans="1:34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"/>
      <c r="AC1916" s="1"/>
      <c r="AD1916" s="1"/>
      <c r="AE1916" s="1"/>
      <c r="AF1916" s="1"/>
      <c r="AG1916" s="1"/>
      <c r="AH1916" s="1"/>
    </row>
    <row r="1917" spans="1:34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"/>
      <c r="AC1917" s="1"/>
      <c r="AD1917" s="1"/>
      <c r="AE1917" s="1"/>
      <c r="AF1917" s="1"/>
      <c r="AG1917" s="1"/>
      <c r="AH1917" s="1"/>
    </row>
    <row r="1918" spans="1:34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"/>
      <c r="AC1918" s="1"/>
      <c r="AD1918" s="1"/>
      <c r="AE1918" s="1"/>
      <c r="AF1918" s="1"/>
      <c r="AG1918" s="1"/>
      <c r="AH1918" s="1"/>
    </row>
    <row r="1919" spans="1:34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"/>
      <c r="AC1919" s="1"/>
      <c r="AD1919" s="1"/>
      <c r="AE1919" s="1"/>
      <c r="AF1919" s="1"/>
      <c r="AG1919" s="1"/>
      <c r="AH1919" s="1"/>
    </row>
    <row r="1920" spans="1:34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"/>
      <c r="AC1920" s="1"/>
      <c r="AD1920" s="1"/>
      <c r="AE1920" s="1"/>
      <c r="AF1920" s="1"/>
      <c r="AG1920" s="1"/>
      <c r="AH1920" s="1"/>
    </row>
    <row r="1921" spans="1:34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"/>
      <c r="AC1921" s="1"/>
      <c r="AD1921" s="1"/>
      <c r="AE1921" s="1"/>
      <c r="AF1921" s="1"/>
      <c r="AG1921" s="1"/>
      <c r="AH1921" s="1"/>
    </row>
    <row r="1922" spans="1:34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"/>
      <c r="AC1922" s="1"/>
      <c r="AD1922" s="1"/>
      <c r="AE1922" s="1"/>
      <c r="AF1922" s="1"/>
      <c r="AG1922" s="1"/>
      <c r="AH1922" s="1"/>
    </row>
    <row r="1923" spans="1:34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"/>
      <c r="AC1923" s="1"/>
      <c r="AD1923" s="1"/>
      <c r="AE1923" s="1"/>
      <c r="AF1923" s="1"/>
      <c r="AG1923" s="1"/>
      <c r="AH1923" s="1"/>
    </row>
    <row r="1924" spans="1:34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"/>
      <c r="AC1924" s="1"/>
      <c r="AD1924" s="1"/>
      <c r="AE1924" s="1"/>
      <c r="AF1924" s="1"/>
      <c r="AG1924" s="1"/>
      <c r="AH1924" s="1"/>
    </row>
    <row r="1925" spans="1:34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"/>
      <c r="AC1925" s="1"/>
      <c r="AD1925" s="1"/>
      <c r="AE1925" s="1"/>
      <c r="AF1925" s="1"/>
      <c r="AG1925" s="1"/>
      <c r="AH1925" s="1"/>
    </row>
    <row r="1926" spans="1:34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"/>
      <c r="AC1926" s="1"/>
      <c r="AD1926" s="1"/>
      <c r="AE1926" s="1"/>
      <c r="AF1926" s="1"/>
      <c r="AG1926" s="1"/>
      <c r="AH1926" s="1"/>
    </row>
    <row r="1927" spans="1:34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"/>
      <c r="AC1927" s="1"/>
      <c r="AD1927" s="1"/>
      <c r="AE1927" s="1"/>
      <c r="AF1927" s="1"/>
      <c r="AG1927" s="1"/>
      <c r="AH1927" s="1"/>
    </row>
    <row r="1928" spans="1:34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"/>
      <c r="AC1928" s="1"/>
      <c r="AD1928" s="1"/>
      <c r="AE1928" s="1"/>
      <c r="AF1928" s="1"/>
      <c r="AG1928" s="1"/>
      <c r="AH1928" s="1"/>
    </row>
    <row r="1929" spans="1:34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"/>
      <c r="AC1929" s="1"/>
      <c r="AD1929" s="1"/>
      <c r="AE1929" s="1"/>
      <c r="AF1929" s="1"/>
      <c r="AG1929" s="1"/>
      <c r="AH1929" s="1"/>
    </row>
    <row r="1930" spans="1:34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"/>
      <c r="AC1930" s="1"/>
      <c r="AD1930" s="1"/>
      <c r="AE1930" s="1"/>
      <c r="AF1930" s="1"/>
      <c r="AG1930" s="1"/>
      <c r="AH1930" s="1"/>
    </row>
    <row r="1931" spans="1:34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"/>
      <c r="AC1931" s="1"/>
      <c r="AD1931" s="1"/>
      <c r="AE1931" s="1"/>
      <c r="AF1931" s="1"/>
      <c r="AG1931" s="1"/>
      <c r="AH1931" s="1"/>
    </row>
    <row r="1932" spans="1:34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"/>
      <c r="AC1932" s="1"/>
      <c r="AD1932" s="1"/>
      <c r="AE1932" s="1"/>
      <c r="AF1932" s="1"/>
      <c r="AG1932" s="1"/>
      <c r="AH1932" s="1"/>
    </row>
    <row r="1933" spans="1:34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"/>
      <c r="AC1933" s="1"/>
      <c r="AD1933" s="1"/>
      <c r="AE1933" s="1"/>
      <c r="AF1933" s="1"/>
      <c r="AG1933" s="1"/>
      <c r="AH1933" s="1"/>
    </row>
    <row r="1934" spans="1:34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"/>
      <c r="AC1934" s="1"/>
      <c r="AD1934" s="1"/>
      <c r="AE1934" s="1"/>
      <c r="AF1934" s="1"/>
      <c r="AG1934" s="1"/>
      <c r="AH1934" s="1"/>
    </row>
    <row r="1935" spans="1:34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"/>
      <c r="AC1935" s="1"/>
      <c r="AD1935" s="1"/>
      <c r="AE1935" s="1"/>
      <c r="AF1935" s="1"/>
      <c r="AG1935" s="1"/>
      <c r="AH1935" s="1"/>
    </row>
    <row r="1936" spans="1:34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"/>
      <c r="AC1936" s="1"/>
      <c r="AD1936" s="1"/>
      <c r="AE1936" s="1"/>
      <c r="AF1936" s="1"/>
      <c r="AG1936" s="1"/>
      <c r="AH1936" s="1"/>
    </row>
    <row r="1937" spans="1:34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"/>
      <c r="AC1937" s="1"/>
      <c r="AD1937" s="1"/>
      <c r="AE1937" s="1"/>
      <c r="AF1937" s="1"/>
      <c r="AG1937" s="1"/>
      <c r="AH1937" s="1"/>
    </row>
    <row r="1938" spans="1:34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"/>
      <c r="AC1938" s="1"/>
      <c r="AD1938" s="1"/>
      <c r="AE1938" s="1"/>
      <c r="AF1938" s="1"/>
      <c r="AG1938" s="1"/>
      <c r="AH1938" s="1"/>
    </row>
    <row r="1939" spans="1:34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"/>
      <c r="AC1939" s="1"/>
      <c r="AD1939" s="1"/>
      <c r="AE1939" s="1"/>
      <c r="AF1939" s="1"/>
      <c r="AG1939" s="1"/>
      <c r="AH1939" s="1"/>
    </row>
    <row r="1940" spans="1:34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"/>
      <c r="AC1940" s="1"/>
      <c r="AD1940" s="1"/>
      <c r="AE1940" s="1"/>
      <c r="AF1940" s="1"/>
      <c r="AG1940" s="1"/>
      <c r="AH1940" s="1"/>
    </row>
    <row r="1941" spans="1:34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"/>
      <c r="AC1941" s="1"/>
      <c r="AD1941" s="1"/>
      <c r="AE1941" s="1"/>
      <c r="AF1941" s="1"/>
      <c r="AG1941" s="1"/>
      <c r="AH1941" s="1"/>
    </row>
    <row r="1942" spans="1:34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"/>
      <c r="AC1942" s="1"/>
      <c r="AD1942" s="1"/>
      <c r="AE1942" s="1"/>
      <c r="AF1942" s="1"/>
      <c r="AG1942" s="1"/>
      <c r="AH1942" s="1"/>
    </row>
    <row r="1943" spans="1:34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"/>
      <c r="AC1943" s="1"/>
      <c r="AD1943" s="1"/>
      <c r="AE1943" s="1"/>
      <c r="AF1943" s="1"/>
      <c r="AG1943" s="1"/>
      <c r="AH1943" s="1"/>
    </row>
    <row r="1944" spans="1:34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"/>
      <c r="AC1944" s="1"/>
      <c r="AD1944" s="1"/>
      <c r="AE1944" s="1"/>
      <c r="AF1944" s="1"/>
      <c r="AG1944" s="1"/>
      <c r="AH1944" s="1"/>
    </row>
    <row r="1945" spans="1:34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"/>
      <c r="AC1945" s="1"/>
      <c r="AD1945" s="1"/>
      <c r="AE1945" s="1"/>
      <c r="AF1945" s="1"/>
      <c r="AG1945" s="1"/>
      <c r="AH1945" s="1"/>
    </row>
    <row r="1946" spans="1:34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"/>
      <c r="AC1946" s="1"/>
      <c r="AD1946" s="1"/>
      <c r="AE1946" s="1"/>
      <c r="AF1946" s="1"/>
      <c r="AG1946" s="1"/>
      <c r="AH1946" s="1"/>
    </row>
    <row r="1947" spans="1:34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"/>
      <c r="AC1947" s="1"/>
      <c r="AD1947" s="1"/>
      <c r="AE1947" s="1"/>
      <c r="AF1947" s="1"/>
      <c r="AG1947" s="1"/>
      <c r="AH1947" s="1"/>
    </row>
    <row r="1948" spans="1:34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"/>
      <c r="AC1948" s="1"/>
      <c r="AD1948" s="1"/>
      <c r="AE1948" s="1"/>
      <c r="AF1948" s="1"/>
      <c r="AG1948" s="1"/>
      <c r="AH1948" s="1"/>
    </row>
    <row r="1949" spans="1:34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"/>
      <c r="AC1949" s="1"/>
      <c r="AD1949" s="1"/>
      <c r="AE1949" s="1"/>
      <c r="AF1949" s="1"/>
      <c r="AG1949" s="1"/>
      <c r="AH1949" s="1"/>
    </row>
    <row r="1950" spans="1:34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"/>
      <c r="AC1950" s="1"/>
      <c r="AD1950" s="1"/>
      <c r="AE1950" s="1"/>
      <c r="AF1950" s="1"/>
      <c r="AG1950" s="1"/>
      <c r="AH1950" s="1"/>
    </row>
    <row r="1951" spans="1:34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"/>
      <c r="AC1951" s="1"/>
      <c r="AD1951" s="1"/>
      <c r="AE1951" s="1"/>
      <c r="AF1951" s="1"/>
      <c r="AG1951" s="1"/>
      <c r="AH1951" s="1"/>
    </row>
    <row r="1952" spans="1:34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"/>
      <c r="AC1952" s="1"/>
      <c r="AD1952" s="1"/>
      <c r="AE1952" s="1"/>
      <c r="AF1952" s="1"/>
      <c r="AG1952" s="1"/>
      <c r="AH1952" s="1"/>
    </row>
    <row r="1953" spans="1:34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"/>
      <c r="AC1953" s="1"/>
      <c r="AD1953" s="1"/>
      <c r="AE1953" s="1"/>
      <c r="AF1953" s="1"/>
      <c r="AG1953" s="1"/>
      <c r="AH1953" s="1"/>
    </row>
    <row r="1954" spans="1:34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"/>
      <c r="AC1954" s="1"/>
      <c r="AD1954" s="1"/>
      <c r="AE1954" s="1"/>
      <c r="AF1954" s="1"/>
      <c r="AG1954" s="1"/>
      <c r="AH1954" s="1"/>
    </row>
    <row r="1955" spans="1:34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"/>
      <c r="AC1955" s="1"/>
      <c r="AD1955" s="1"/>
      <c r="AE1955" s="1"/>
      <c r="AF1955" s="1"/>
      <c r="AG1955" s="1"/>
      <c r="AH1955" s="1"/>
    </row>
    <row r="1956" spans="1:34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  <c r="AF1956" s="1"/>
      <c r="AG1956" s="1"/>
      <c r="AH1956" s="1"/>
    </row>
    <row r="1957" spans="1:34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"/>
      <c r="AC1957" s="1"/>
      <c r="AD1957" s="1"/>
      <c r="AE1957" s="1"/>
      <c r="AF1957" s="1"/>
      <c r="AG1957" s="1"/>
      <c r="AH1957" s="1"/>
    </row>
    <row r="1958" spans="1:34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"/>
      <c r="AC1958" s="1"/>
      <c r="AD1958" s="1"/>
      <c r="AE1958" s="1"/>
      <c r="AF1958" s="1"/>
      <c r="AG1958" s="1"/>
      <c r="AH1958" s="1"/>
    </row>
    <row r="1959" spans="1:34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"/>
      <c r="AC1959" s="1"/>
      <c r="AD1959" s="1"/>
      <c r="AE1959" s="1"/>
      <c r="AF1959" s="1"/>
      <c r="AG1959" s="1"/>
      <c r="AH1959" s="1"/>
    </row>
    <row r="1960" spans="1:34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"/>
      <c r="AC1960" s="1"/>
      <c r="AD1960" s="1"/>
      <c r="AE1960" s="1"/>
      <c r="AF1960" s="1"/>
      <c r="AG1960" s="1"/>
      <c r="AH1960" s="1"/>
    </row>
    <row r="1961" spans="1:34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"/>
      <c r="AC1961" s="1"/>
      <c r="AD1961" s="1"/>
      <c r="AE1961" s="1"/>
      <c r="AF1961" s="1"/>
      <c r="AG1961" s="1"/>
      <c r="AH1961" s="1"/>
    </row>
    <row r="1962" spans="1:34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"/>
      <c r="AC1962" s="1"/>
      <c r="AD1962" s="1"/>
      <c r="AE1962" s="1"/>
      <c r="AF1962" s="1"/>
      <c r="AG1962" s="1"/>
      <c r="AH1962" s="1"/>
    </row>
    <row r="1963" spans="1:34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"/>
      <c r="AC1963" s="1"/>
      <c r="AD1963" s="1"/>
      <c r="AE1963" s="1"/>
      <c r="AF1963" s="1"/>
      <c r="AG1963" s="1"/>
      <c r="AH1963" s="1"/>
    </row>
    <row r="1964" spans="1:34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"/>
      <c r="AC1964" s="1"/>
      <c r="AD1964" s="1"/>
      <c r="AE1964" s="1"/>
      <c r="AF1964" s="1"/>
      <c r="AG1964" s="1"/>
      <c r="AH1964" s="1"/>
    </row>
    <row r="1965" spans="1:34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"/>
      <c r="AC1965" s="1"/>
      <c r="AD1965" s="1"/>
      <c r="AE1965" s="1"/>
      <c r="AF1965" s="1"/>
      <c r="AG1965" s="1"/>
      <c r="AH1965" s="1"/>
    </row>
    <row r="1966" spans="1:34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"/>
      <c r="AC1966" s="1"/>
      <c r="AD1966" s="1"/>
      <c r="AE1966" s="1"/>
      <c r="AF1966" s="1"/>
      <c r="AG1966" s="1"/>
      <c r="AH1966" s="1"/>
    </row>
    <row r="1967" spans="1:34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"/>
      <c r="AC1967" s="1"/>
      <c r="AD1967" s="1"/>
      <c r="AE1967" s="1"/>
      <c r="AF1967" s="1"/>
      <c r="AG1967" s="1"/>
      <c r="AH1967" s="1"/>
    </row>
    <row r="1968" spans="1:34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"/>
      <c r="AC1968" s="1"/>
      <c r="AD1968" s="1"/>
      <c r="AE1968" s="1"/>
      <c r="AF1968" s="1"/>
      <c r="AG1968" s="1"/>
      <c r="AH1968" s="1"/>
    </row>
    <row r="1969" spans="1:34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"/>
      <c r="AC1969" s="1"/>
      <c r="AD1969" s="1"/>
      <c r="AE1969" s="1"/>
      <c r="AF1969" s="1"/>
      <c r="AG1969" s="1"/>
      <c r="AH1969" s="1"/>
    </row>
    <row r="1970" spans="1:34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"/>
      <c r="AC1970" s="1"/>
      <c r="AD1970" s="1"/>
      <c r="AE1970" s="1"/>
      <c r="AF1970" s="1"/>
      <c r="AG1970" s="1"/>
      <c r="AH1970" s="1"/>
    </row>
    <row r="1971" spans="1:34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"/>
      <c r="AC1971" s="1"/>
      <c r="AD1971" s="1"/>
      <c r="AE1971" s="1"/>
      <c r="AF1971" s="1"/>
      <c r="AG1971" s="1"/>
      <c r="AH1971" s="1"/>
    </row>
    <row r="1972" spans="1:34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"/>
      <c r="AC1972" s="1"/>
      <c r="AD1972" s="1"/>
      <c r="AE1972" s="1"/>
      <c r="AF1972" s="1"/>
      <c r="AG1972" s="1"/>
      <c r="AH1972" s="1"/>
    </row>
    <row r="1973" spans="1:34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"/>
      <c r="AC1973" s="1"/>
      <c r="AD1973" s="1"/>
      <c r="AE1973" s="1"/>
      <c r="AF1973" s="1"/>
      <c r="AG1973" s="1"/>
      <c r="AH1973" s="1"/>
    </row>
    <row r="1974" spans="1:34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"/>
      <c r="AC1974" s="1"/>
      <c r="AD1974" s="1"/>
      <c r="AE1974" s="1"/>
      <c r="AF1974" s="1"/>
      <c r="AG1974" s="1"/>
      <c r="AH1974" s="1"/>
    </row>
    <row r="1975" spans="1:34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"/>
      <c r="AC1975" s="1"/>
      <c r="AD1975" s="1"/>
      <c r="AE1975" s="1"/>
      <c r="AF1975" s="1"/>
      <c r="AG1975" s="1"/>
      <c r="AH1975" s="1"/>
    </row>
    <row r="1976" spans="1:34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"/>
      <c r="AC1976" s="1"/>
      <c r="AD1976" s="1"/>
      <c r="AE1976" s="1"/>
      <c r="AF1976" s="1"/>
      <c r="AG1976" s="1"/>
      <c r="AH1976" s="1"/>
    </row>
    <row r="1977" spans="1:34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"/>
      <c r="AC1977" s="1"/>
      <c r="AD1977" s="1"/>
      <c r="AE1977" s="1"/>
      <c r="AF1977" s="1"/>
      <c r="AG1977" s="1"/>
      <c r="AH1977" s="1"/>
    </row>
    <row r="1978" spans="1:34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"/>
      <c r="AC1978" s="1"/>
      <c r="AD1978" s="1"/>
      <c r="AE1978" s="1"/>
      <c r="AF1978" s="1"/>
      <c r="AG1978" s="1"/>
      <c r="AH1978" s="1"/>
    </row>
    <row r="1979" spans="1:34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"/>
      <c r="AC1979" s="1"/>
      <c r="AD1979" s="1"/>
      <c r="AE1979" s="1"/>
      <c r="AF1979" s="1"/>
      <c r="AG1979" s="1"/>
      <c r="AH1979" s="1"/>
    </row>
    <row r="1980" spans="1:34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"/>
      <c r="AC1980" s="1"/>
      <c r="AD1980" s="1"/>
      <c r="AE1980" s="1"/>
      <c r="AF1980" s="1"/>
      <c r="AG1980" s="1"/>
      <c r="AH1980" s="1"/>
    </row>
    <row r="1981" spans="1:34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"/>
      <c r="AC1981" s="1"/>
      <c r="AD1981" s="1"/>
      <c r="AE1981" s="1"/>
      <c r="AF1981" s="1"/>
      <c r="AG1981" s="1"/>
      <c r="AH1981" s="1"/>
    </row>
    <row r="1982" spans="1:34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"/>
      <c r="AC1982" s="1"/>
      <c r="AD1982" s="1"/>
      <c r="AE1982" s="1"/>
      <c r="AF1982" s="1"/>
      <c r="AG1982" s="1"/>
      <c r="AH1982" s="1"/>
    </row>
    <row r="1983" spans="1:34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"/>
      <c r="AC1983" s="1"/>
      <c r="AD1983" s="1"/>
      <c r="AE1983" s="1"/>
      <c r="AF1983" s="1"/>
      <c r="AG1983" s="1"/>
      <c r="AH1983" s="1"/>
    </row>
    <row r="1984" spans="1:34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"/>
      <c r="AC1984" s="1"/>
      <c r="AD1984" s="1"/>
      <c r="AE1984" s="1"/>
      <c r="AF1984" s="1"/>
      <c r="AG1984" s="1"/>
      <c r="AH1984" s="1"/>
    </row>
    <row r="1985" spans="1:34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"/>
      <c r="AC1985" s="1"/>
      <c r="AD1985" s="1"/>
      <c r="AE1985" s="1"/>
      <c r="AF1985" s="1"/>
      <c r="AG1985" s="1"/>
      <c r="AH1985" s="1"/>
    </row>
    <row r="1986" spans="1:34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"/>
      <c r="AC1986" s="1"/>
      <c r="AD1986" s="1"/>
      <c r="AE1986" s="1"/>
      <c r="AF1986" s="1"/>
      <c r="AG1986" s="1"/>
      <c r="AH1986" s="1"/>
    </row>
    <row r="1987" spans="1:34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"/>
      <c r="AC1987" s="1"/>
      <c r="AD1987" s="1"/>
      <c r="AE1987" s="1"/>
      <c r="AF1987" s="1"/>
      <c r="AG1987" s="1"/>
      <c r="AH1987" s="1"/>
    </row>
    <row r="1988" spans="1:34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"/>
      <c r="AC1988" s="1"/>
      <c r="AD1988" s="1"/>
      <c r="AE1988" s="1"/>
      <c r="AF1988" s="1"/>
      <c r="AG1988" s="1"/>
      <c r="AH1988" s="1"/>
    </row>
    <row r="1989" spans="1:34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"/>
      <c r="AC1989" s="1"/>
      <c r="AD1989" s="1"/>
      <c r="AE1989" s="1"/>
      <c r="AF1989" s="1"/>
      <c r="AG1989" s="1"/>
      <c r="AH1989" s="1"/>
    </row>
    <row r="1990" spans="1:34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"/>
      <c r="AC1990" s="1"/>
      <c r="AD1990" s="1"/>
      <c r="AE1990" s="1"/>
      <c r="AF1990" s="1"/>
      <c r="AG1990" s="1"/>
      <c r="AH1990" s="1"/>
    </row>
    <row r="1991" spans="1:34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"/>
      <c r="AC1991" s="1"/>
      <c r="AD1991" s="1"/>
      <c r="AE1991" s="1"/>
      <c r="AF1991" s="1"/>
      <c r="AG1991" s="1"/>
      <c r="AH1991" s="1"/>
    </row>
    <row r="1992" spans="1:34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"/>
      <c r="AC1992" s="1"/>
      <c r="AD1992" s="1"/>
      <c r="AE1992" s="1"/>
      <c r="AF1992" s="1"/>
      <c r="AG1992" s="1"/>
      <c r="AH1992" s="1"/>
    </row>
    <row r="1993" spans="1:34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  <c r="AF1993" s="1"/>
      <c r="AG1993" s="1"/>
      <c r="AH1993" s="1"/>
    </row>
    <row r="1994" spans="1:34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"/>
      <c r="AC1994" s="1"/>
      <c r="AD1994" s="1"/>
      <c r="AE1994" s="1"/>
      <c r="AF1994" s="1"/>
      <c r="AG1994" s="1"/>
      <c r="AH1994" s="1"/>
    </row>
    <row r="1995" spans="1:34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"/>
      <c r="AC1995" s="1"/>
      <c r="AD1995" s="1"/>
      <c r="AE1995" s="1"/>
      <c r="AF1995" s="1"/>
      <c r="AG1995" s="1"/>
      <c r="AH1995" s="1"/>
    </row>
    <row r="1996" spans="1:34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"/>
      <c r="AC1996" s="1"/>
      <c r="AD1996" s="1"/>
      <c r="AE1996" s="1"/>
      <c r="AF1996" s="1"/>
      <c r="AG1996" s="1"/>
      <c r="AH1996" s="1"/>
    </row>
    <row r="1997" spans="1:34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"/>
      <c r="AC1997" s="1"/>
      <c r="AD1997" s="1"/>
      <c r="AE1997" s="1"/>
      <c r="AF1997" s="1"/>
      <c r="AG1997" s="1"/>
      <c r="AH1997" s="1"/>
    </row>
    <row r="1998" spans="1:34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"/>
      <c r="AC1998" s="1"/>
      <c r="AD1998" s="1"/>
      <c r="AE1998" s="1"/>
      <c r="AF1998" s="1"/>
      <c r="AG1998" s="1"/>
      <c r="AH1998" s="1"/>
    </row>
    <row r="1999" spans="1:34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"/>
      <c r="AC1999" s="1"/>
      <c r="AD1999" s="1"/>
      <c r="AE1999" s="1"/>
      <c r="AF1999" s="1"/>
      <c r="AG1999" s="1"/>
      <c r="AH1999" s="1"/>
    </row>
    <row r="2000" spans="1:34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"/>
      <c r="AC2000" s="1"/>
      <c r="AD2000" s="1"/>
      <c r="AE2000" s="1"/>
      <c r="AF2000" s="1"/>
      <c r="AG2000" s="1"/>
      <c r="AH2000" s="1"/>
    </row>
    <row r="2001" spans="1:34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"/>
      <c r="AC2001" s="1"/>
      <c r="AD2001" s="1"/>
      <c r="AE2001" s="1"/>
      <c r="AF2001" s="1"/>
      <c r="AG2001" s="1"/>
      <c r="AH2001" s="1"/>
    </row>
    <row r="2002" spans="1:34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"/>
      <c r="AC2002" s="1"/>
      <c r="AD2002" s="1"/>
      <c r="AE2002" s="1"/>
      <c r="AF2002" s="1"/>
      <c r="AG2002" s="1"/>
      <c r="AH2002" s="1"/>
    </row>
    <row r="2003" spans="1:34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"/>
      <c r="AC2003" s="1"/>
      <c r="AD2003" s="1"/>
      <c r="AE2003" s="1"/>
      <c r="AF2003" s="1"/>
      <c r="AG2003" s="1"/>
      <c r="AH2003" s="1"/>
    </row>
    <row r="2004" spans="1:34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  <c r="AB2004" s="1"/>
      <c r="AC2004" s="1"/>
      <c r="AD2004" s="1"/>
      <c r="AE2004" s="1"/>
      <c r="AF2004" s="1"/>
      <c r="AG2004" s="1"/>
      <c r="AH2004" s="1"/>
    </row>
    <row r="2005" spans="1:34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  <c r="AB2005" s="1"/>
      <c r="AC2005" s="1"/>
      <c r="AD2005" s="1"/>
      <c r="AE2005" s="1"/>
      <c r="AF2005" s="1"/>
      <c r="AG2005" s="1"/>
      <c r="AH2005" s="1"/>
    </row>
    <row r="2006" spans="1:34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  <c r="AB2006" s="1"/>
      <c r="AC2006" s="1"/>
      <c r="AD2006" s="1"/>
      <c r="AE2006" s="1"/>
      <c r="AF2006" s="1"/>
      <c r="AG2006" s="1"/>
      <c r="AH2006" s="1"/>
    </row>
    <row r="2007" spans="1:34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  <c r="AB2007" s="1"/>
      <c r="AC2007" s="1"/>
      <c r="AD2007" s="1"/>
      <c r="AE2007" s="1"/>
      <c r="AF2007" s="1"/>
      <c r="AG2007" s="1"/>
      <c r="AH2007" s="1"/>
    </row>
    <row r="2008" spans="1:34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  <c r="AB2008" s="1"/>
      <c r="AC2008" s="1"/>
      <c r="AD2008" s="1"/>
      <c r="AE2008" s="1"/>
      <c r="AF2008" s="1"/>
      <c r="AG2008" s="1"/>
      <c r="AH2008" s="1"/>
    </row>
    <row r="2009" spans="1:34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  <c r="AB2009" s="1"/>
      <c r="AC2009" s="1"/>
      <c r="AD2009" s="1"/>
      <c r="AE2009" s="1"/>
      <c r="AF2009" s="1"/>
      <c r="AG2009" s="1"/>
      <c r="AH2009" s="1"/>
    </row>
    <row r="2010" spans="1:34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  <c r="AF2010" s="1"/>
      <c r="AG2010" s="1"/>
      <c r="AH2010" s="1"/>
    </row>
    <row r="2011" spans="1:34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  <c r="AB2011" s="1"/>
      <c r="AC2011" s="1"/>
      <c r="AD2011" s="1"/>
      <c r="AE2011" s="1"/>
      <c r="AF2011" s="1"/>
      <c r="AG2011" s="1"/>
      <c r="AH2011" s="1"/>
    </row>
    <row r="2012" spans="1:34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  <c r="AB2012" s="1"/>
      <c r="AC2012" s="1"/>
      <c r="AD2012" s="1"/>
      <c r="AE2012" s="1"/>
      <c r="AF2012" s="1"/>
      <c r="AG2012" s="1"/>
      <c r="AH2012" s="1"/>
    </row>
    <row r="2013" spans="1:34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  <c r="AB2013" s="1"/>
      <c r="AC2013" s="1"/>
      <c r="AD2013" s="1"/>
      <c r="AE2013" s="1"/>
      <c r="AF2013" s="1"/>
      <c r="AG2013" s="1"/>
      <c r="AH2013" s="1"/>
    </row>
    <row r="2014" spans="1:34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  <c r="AB2014" s="1"/>
      <c r="AC2014" s="1"/>
      <c r="AD2014" s="1"/>
      <c r="AE2014" s="1"/>
      <c r="AF2014" s="1"/>
      <c r="AG2014" s="1"/>
      <c r="AH2014" s="1"/>
    </row>
    <row r="2015" spans="1:34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  <c r="AB2015" s="1"/>
      <c r="AC2015" s="1"/>
      <c r="AD2015" s="1"/>
      <c r="AE2015" s="1"/>
      <c r="AF2015" s="1"/>
      <c r="AG2015" s="1"/>
      <c r="AH2015" s="1"/>
    </row>
    <row r="2016" spans="1:34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  <c r="AB2016" s="1"/>
      <c r="AC2016" s="1"/>
      <c r="AD2016" s="1"/>
      <c r="AE2016" s="1"/>
      <c r="AF2016" s="1"/>
      <c r="AG2016" s="1"/>
      <c r="AH2016" s="1"/>
    </row>
    <row r="2017" spans="1:34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  <c r="AB2017" s="1"/>
      <c r="AC2017" s="1"/>
      <c r="AD2017" s="1"/>
      <c r="AE2017" s="1"/>
      <c r="AF2017" s="1"/>
      <c r="AG2017" s="1"/>
      <c r="AH2017" s="1"/>
    </row>
    <row r="2018" spans="1:34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  <c r="AB2018" s="1"/>
      <c r="AC2018" s="1"/>
      <c r="AD2018" s="1"/>
      <c r="AE2018" s="1"/>
      <c r="AF2018" s="1"/>
      <c r="AG2018" s="1"/>
      <c r="AH2018" s="1"/>
    </row>
    <row r="2019" spans="1:34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  <c r="AB2019" s="1"/>
      <c r="AC2019" s="1"/>
      <c r="AD2019" s="1"/>
      <c r="AE2019" s="1"/>
      <c r="AF2019" s="1"/>
      <c r="AG2019" s="1"/>
      <c r="AH2019" s="1"/>
    </row>
    <row r="2020" spans="1:34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  <c r="AB2020" s="1"/>
      <c r="AC2020" s="1"/>
      <c r="AD2020" s="1"/>
      <c r="AE2020" s="1"/>
      <c r="AF2020" s="1"/>
      <c r="AG2020" s="1"/>
      <c r="AH2020" s="1"/>
    </row>
    <row r="2021" spans="1:34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  <c r="AB2021" s="1"/>
      <c r="AC2021" s="1"/>
      <c r="AD2021" s="1"/>
      <c r="AE2021" s="1"/>
      <c r="AF2021" s="1"/>
      <c r="AG2021" s="1"/>
      <c r="AH2021" s="1"/>
    </row>
    <row r="2022" spans="1:34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  <c r="AB2022" s="1"/>
      <c r="AC2022" s="1"/>
      <c r="AD2022" s="1"/>
      <c r="AE2022" s="1"/>
      <c r="AF2022" s="1"/>
      <c r="AG2022" s="1"/>
      <c r="AH2022" s="1"/>
    </row>
    <row r="2023" spans="1:34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  <c r="AB2023" s="1"/>
      <c r="AC2023" s="1"/>
      <c r="AD2023" s="1"/>
      <c r="AE2023" s="1"/>
      <c r="AF2023" s="1"/>
      <c r="AG2023" s="1"/>
      <c r="AH2023" s="1"/>
    </row>
    <row r="2024" spans="1:34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  <c r="AB2024" s="1"/>
      <c r="AC2024" s="1"/>
      <c r="AD2024" s="1"/>
      <c r="AE2024" s="1"/>
      <c r="AF2024" s="1"/>
      <c r="AG2024" s="1"/>
      <c r="AH2024" s="1"/>
    </row>
    <row r="2025" spans="1:34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  <c r="AB2025" s="1"/>
      <c r="AC2025" s="1"/>
      <c r="AD2025" s="1"/>
      <c r="AE2025" s="1"/>
      <c r="AF2025" s="1"/>
      <c r="AG2025" s="1"/>
      <c r="AH2025" s="1"/>
    </row>
    <row r="2026" spans="1:34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  <c r="AB2026" s="1"/>
      <c r="AC2026" s="1"/>
      <c r="AD2026" s="1"/>
      <c r="AE2026" s="1"/>
      <c r="AF2026" s="1"/>
      <c r="AG2026" s="1"/>
      <c r="AH2026" s="1"/>
    </row>
    <row r="2027" spans="1:34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  <c r="AB2027" s="1"/>
      <c r="AC2027" s="1"/>
      <c r="AD2027" s="1"/>
      <c r="AE2027" s="1"/>
      <c r="AF2027" s="1"/>
      <c r="AG2027" s="1"/>
      <c r="AH2027" s="1"/>
    </row>
    <row r="2028" spans="1:34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  <c r="AB2028" s="1"/>
      <c r="AC2028" s="1"/>
      <c r="AD2028" s="1"/>
      <c r="AE2028" s="1"/>
      <c r="AF2028" s="1"/>
      <c r="AG2028" s="1"/>
      <c r="AH2028" s="1"/>
    </row>
    <row r="2029" spans="1:34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  <c r="AB2029" s="1"/>
      <c r="AC2029" s="1"/>
      <c r="AD2029" s="1"/>
      <c r="AE2029" s="1"/>
      <c r="AF2029" s="1"/>
      <c r="AG2029" s="1"/>
      <c r="AH2029" s="1"/>
    </row>
    <row r="2030" spans="1:34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  <c r="AB2030" s="1"/>
      <c r="AC2030" s="1"/>
      <c r="AD2030" s="1"/>
      <c r="AE2030" s="1"/>
      <c r="AF2030" s="1"/>
      <c r="AG2030" s="1"/>
      <c r="AH2030" s="1"/>
    </row>
    <row r="2031" spans="1:34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  <c r="AB2031" s="1"/>
      <c r="AC2031" s="1"/>
      <c r="AD2031" s="1"/>
      <c r="AE2031" s="1"/>
      <c r="AF2031" s="1"/>
      <c r="AG2031" s="1"/>
      <c r="AH2031" s="1"/>
    </row>
    <row r="2032" spans="1:34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  <c r="AB2032" s="1"/>
      <c r="AC2032" s="1"/>
      <c r="AD2032" s="1"/>
      <c r="AE2032" s="1"/>
      <c r="AF2032" s="1"/>
      <c r="AG2032" s="1"/>
      <c r="AH2032" s="1"/>
    </row>
    <row r="2033" spans="1:34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  <c r="AB2033" s="1"/>
      <c r="AC2033" s="1"/>
      <c r="AD2033" s="1"/>
      <c r="AE2033" s="1"/>
      <c r="AF2033" s="1"/>
      <c r="AG2033" s="1"/>
      <c r="AH2033" s="1"/>
    </row>
    <row r="2034" spans="1:34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  <c r="AB2034" s="1"/>
      <c r="AC2034" s="1"/>
      <c r="AD2034" s="1"/>
      <c r="AE2034" s="1"/>
      <c r="AF2034" s="1"/>
      <c r="AG2034" s="1"/>
      <c r="AH2034" s="1"/>
    </row>
    <row r="2035" spans="1:34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  <c r="AB2035" s="1"/>
      <c r="AC2035" s="1"/>
      <c r="AD2035" s="1"/>
      <c r="AE2035" s="1"/>
      <c r="AF2035" s="1"/>
      <c r="AG2035" s="1"/>
      <c r="AH2035" s="1"/>
    </row>
    <row r="2036" spans="1:34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  <c r="AB2036" s="1"/>
      <c r="AC2036" s="1"/>
      <c r="AD2036" s="1"/>
      <c r="AE2036" s="1"/>
      <c r="AF2036" s="1"/>
      <c r="AG2036" s="1"/>
      <c r="AH2036" s="1"/>
    </row>
    <row r="2037" spans="1:34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  <c r="AB2037" s="1"/>
      <c r="AC2037" s="1"/>
      <c r="AD2037" s="1"/>
      <c r="AE2037" s="1"/>
      <c r="AF2037" s="1"/>
      <c r="AG2037" s="1"/>
      <c r="AH2037" s="1"/>
    </row>
    <row r="2038" spans="1:34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  <c r="AB2038" s="1"/>
      <c r="AC2038" s="1"/>
      <c r="AD2038" s="1"/>
      <c r="AE2038" s="1"/>
      <c r="AF2038" s="1"/>
      <c r="AG2038" s="1"/>
      <c r="AH2038" s="1"/>
    </row>
    <row r="2039" spans="1:34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  <c r="AB2039" s="1"/>
      <c r="AC2039" s="1"/>
      <c r="AD2039" s="1"/>
      <c r="AE2039" s="1"/>
      <c r="AF2039" s="1"/>
      <c r="AG2039" s="1"/>
      <c r="AH2039" s="1"/>
    </row>
    <row r="2040" spans="1:34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  <c r="AB2040" s="1"/>
      <c r="AC2040" s="1"/>
      <c r="AD2040" s="1"/>
      <c r="AE2040" s="1"/>
      <c r="AF2040" s="1"/>
      <c r="AG2040" s="1"/>
      <c r="AH2040" s="1"/>
    </row>
    <row r="2041" spans="1:34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  <c r="AB2041" s="1"/>
      <c r="AC2041" s="1"/>
      <c r="AD2041" s="1"/>
      <c r="AE2041" s="1"/>
      <c r="AF2041" s="1"/>
      <c r="AG2041" s="1"/>
      <c r="AH2041" s="1"/>
    </row>
    <row r="2042" spans="1:34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  <c r="AB2042" s="1"/>
      <c r="AC2042" s="1"/>
      <c r="AD2042" s="1"/>
      <c r="AE2042" s="1"/>
      <c r="AF2042" s="1"/>
      <c r="AG2042" s="1"/>
      <c r="AH2042" s="1"/>
    </row>
    <row r="2043" spans="1:34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  <c r="AB2043" s="1"/>
      <c r="AC2043" s="1"/>
      <c r="AD2043" s="1"/>
      <c r="AE2043" s="1"/>
      <c r="AF2043" s="1"/>
      <c r="AG2043" s="1"/>
      <c r="AH2043" s="1"/>
    </row>
    <row r="2044" spans="1:34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  <c r="AB2044" s="1"/>
      <c r="AC2044" s="1"/>
      <c r="AD2044" s="1"/>
      <c r="AE2044" s="1"/>
      <c r="AF2044" s="1"/>
      <c r="AG2044" s="1"/>
      <c r="AH2044" s="1"/>
    </row>
    <row r="2045" spans="1:34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  <c r="AB2045" s="1"/>
      <c r="AC2045" s="1"/>
      <c r="AD2045" s="1"/>
      <c r="AE2045" s="1"/>
      <c r="AF2045" s="1"/>
      <c r="AG2045" s="1"/>
      <c r="AH2045" s="1"/>
    </row>
    <row r="2046" spans="1:34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  <c r="AB2046" s="1"/>
      <c r="AC2046" s="1"/>
      <c r="AD2046" s="1"/>
      <c r="AE2046" s="1"/>
      <c r="AF2046" s="1"/>
      <c r="AG2046" s="1"/>
      <c r="AH2046" s="1"/>
    </row>
    <row r="2047" spans="1:34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  <c r="AB2047" s="1"/>
      <c r="AC2047" s="1"/>
      <c r="AD2047" s="1"/>
      <c r="AE2047" s="1"/>
      <c r="AF2047" s="1"/>
      <c r="AG2047" s="1"/>
      <c r="AH2047" s="1"/>
    </row>
    <row r="2048" spans="1:34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  <c r="AB2048" s="1"/>
      <c r="AC2048" s="1"/>
      <c r="AD2048" s="1"/>
      <c r="AE2048" s="1"/>
      <c r="AF2048" s="1"/>
      <c r="AG2048" s="1"/>
      <c r="AH2048" s="1"/>
    </row>
    <row r="2049" spans="1:34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  <c r="AB2049" s="1"/>
      <c r="AC2049" s="1"/>
      <c r="AD2049" s="1"/>
      <c r="AE2049" s="1"/>
      <c r="AF2049" s="1"/>
      <c r="AG2049" s="1"/>
      <c r="AH2049" s="1"/>
    </row>
    <row r="2050" spans="1:34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  <c r="AB2050" s="1"/>
      <c r="AC2050" s="1"/>
      <c r="AD2050" s="1"/>
      <c r="AE2050" s="1"/>
      <c r="AF2050" s="1"/>
      <c r="AG2050" s="1"/>
      <c r="AH2050" s="1"/>
    </row>
    <row r="2051" spans="1:34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  <c r="AB2051" s="1"/>
      <c r="AC2051" s="1"/>
      <c r="AD2051" s="1"/>
      <c r="AE2051" s="1"/>
      <c r="AF2051" s="1"/>
      <c r="AG2051" s="1"/>
      <c r="AH2051" s="1"/>
    </row>
    <row r="2052" spans="1:34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  <c r="AB2052" s="1"/>
      <c r="AC2052" s="1"/>
      <c r="AD2052" s="1"/>
      <c r="AE2052" s="1"/>
      <c r="AF2052" s="1"/>
      <c r="AG2052" s="1"/>
      <c r="AH2052" s="1"/>
    </row>
    <row r="2053" spans="1:34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  <c r="AB2053" s="1"/>
      <c r="AC2053" s="1"/>
      <c r="AD2053" s="1"/>
      <c r="AE2053" s="1"/>
      <c r="AF2053" s="1"/>
      <c r="AG2053" s="1"/>
      <c r="AH2053" s="1"/>
    </row>
    <row r="2054" spans="1:34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  <c r="AB2054" s="1"/>
      <c r="AC2054" s="1"/>
      <c r="AD2054" s="1"/>
      <c r="AE2054" s="1"/>
      <c r="AF2054" s="1"/>
      <c r="AG2054" s="1"/>
      <c r="AH2054" s="1"/>
    </row>
    <row r="2055" spans="1:34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  <c r="AB2055" s="1"/>
      <c r="AC2055" s="1"/>
      <c r="AD2055" s="1"/>
      <c r="AE2055" s="1"/>
      <c r="AF2055" s="1"/>
      <c r="AG2055" s="1"/>
      <c r="AH2055" s="1"/>
    </row>
    <row r="2056" spans="1:34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  <c r="AB2056" s="1"/>
      <c r="AC2056" s="1"/>
      <c r="AD2056" s="1"/>
      <c r="AE2056" s="1"/>
      <c r="AF2056" s="1"/>
      <c r="AG2056" s="1"/>
      <c r="AH2056" s="1"/>
    </row>
    <row r="2057" spans="1:34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  <c r="AB2057" s="1"/>
      <c r="AC2057" s="1"/>
      <c r="AD2057" s="1"/>
      <c r="AE2057" s="1"/>
      <c r="AF2057" s="1"/>
      <c r="AG2057" s="1"/>
      <c r="AH2057" s="1"/>
    </row>
    <row r="2058" spans="1:34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  <c r="AB2058" s="1"/>
      <c r="AC2058" s="1"/>
      <c r="AD2058" s="1"/>
      <c r="AE2058" s="1"/>
      <c r="AF2058" s="1"/>
      <c r="AG2058" s="1"/>
      <c r="AH2058" s="1"/>
    </row>
    <row r="2059" spans="1:34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  <c r="AB2059" s="1"/>
      <c r="AC2059" s="1"/>
      <c r="AD2059" s="1"/>
      <c r="AE2059" s="1"/>
      <c r="AF2059" s="1"/>
      <c r="AG2059" s="1"/>
      <c r="AH2059" s="1"/>
    </row>
    <row r="2060" spans="1:34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  <c r="AB2060" s="1"/>
      <c r="AC2060" s="1"/>
      <c r="AD2060" s="1"/>
      <c r="AE2060" s="1"/>
      <c r="AF2060" s="1"/>
      <c r="AG2060" s="1"/>
      <c r="AH2060" s="1"/>
    </row>
    <row r="2061" spans="1:34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  <c r="AB2061" s="1"/>
      <c r="AC2061" s="1"/>
      <c r="AD2061" s="1"/>
      <c r="AE2061" s="1"/>
      <c r="AF2061" s="1"/>
      <c r="AG2061" s="1"/>
      <c r="AH2061" s="1"/>
    </row>
    <row r="2062" spans="1:34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  <c r="AB2062" s="1"/>
      <c r="AC2062" s="1"/>
      <c r="AD2062" s="1"/>
      <c r="AE2062" s="1"/>
      <c r="AF2062" s="1"/>
      <c r="AG2062" s="1"/>
      <c r="AH2062" s="1"/>
    </row>
    <row r="2063" spans="1:34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  <c r="AB2063" s="1"/>
      <c r="AC2063" s="1"/>
      <c r="AD2063" s="1"/>
      <c r="AE2063" s="1"/>
      <c r="AF2063" s="1"/>
      <c r="AG2063" s="1"/>
      <c r="AH2063" s="1"/>
    </row>
    <row r="2064" spans="1:34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  <c r="AB2064" s="1"/>
      <c r="AC2064" s="1"/>
      <c r="AD2064" s="1"/>
      <c r="AE2064" s="1"/>
      <c r="AF2064" s="1"/>
      <c r="AG2064" s="1"/>
      <c r="AH2064" s="1"/>
    </row>
    <row r="2065" spans="1:34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  <c r="AB2065" s="1"/>
      <c r="AC2065" s="1"/>
      <c r="AD2065" s="1"/>
      <c r="AE2065" s="1"/>
      <c r="AF2065" s="1"/>
      <c r="AG2065" s="1"/>
      <c r="AH2065" s="1"/>
    </row>
    <row r="2066" spans="1:34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  <c r="AB2066" s="1"/>
      <c r="AC2066" s="1"/>
      <c r="AD2066" s="1"/>
      <c r="AE2066" s="1"/>
      <c r="AF2066" s="1"/>
      <c r="AG2066" s="1"/>
      <c r="AH2066" s="1"/>
    </row>
    <row r="2067" spans="1:34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  <c r="AB2067" s="1"/>
      <c r="AC2067" s="1"/>
      <c r="AD2067" s="1"/>
      <c r="AE2067" s="1"/>
      <c r="AF2067" s="1"/>
      <c r="AG2067" s="1"/>
      <c r="AH2067" s="1"/>
    </row>
    <row r="2068" spans="1:34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  <c r="AB2068" s="1"/>
      <c r="AC2068" s="1"/>
      <c r="AD2068" s="1"/>
      <c r="AE2068" s="1"/>
      <c r="AF2068" s="1"/>
      <c r="AG2068" s="1"/>
      <c r="AH2068" s="1"/>
    </row>
    <row r="2069" spans="1:34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  <c r="AB2069" s="1"/>
      <c r="AC2069" s="1"/>
      <c r="AD2069" s="1"/>
      <c r="AE2069" s="1"/>
      <c r="AF2069" s="1"/>
      <c r="AG2069" s="1"/>
      <c r="AH2069" s="1"/>
    </row>
    <row r="2070" spans="1:34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  <c r="AB2070" s="1"/>
      <c r="AC2070" s="1"/>
      <c r="AD2070" s="1"/>
      <c r="AE2070" s="1"/>
      <c r="AF2070" s="1"/>
      <c r="AG2070" s="1"/>
      <c r="AH2070" s="1"/>
    </row>
    <row r="2071" spans="1:34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  <c r="AB2071" s="1"/>
      <c r="AC2071" s="1"/>
      <c r="AD2071" s="1"/>
      <c r="AE2071" s="1"/>
      <c r="AF2071" s="1"/>
      <c r="AG2071" s="1"/>
      <c r="AH2071" s="1"/>
    </row>
    <row r="2072" spans="1:34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  <c r="AB2072" s="1"/>
      <c r="AC2072" s="1"/>
      <c r="AD2072" s="1"/>
      <c r="AE2072" s="1"/>
      <c r="AF2072" s="1"/>
      <c r="AG2072" s="1"/>
      <c r="AH2072" s="1"/>
    </row>
    <row r="2073" spans="1:34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  <c r="AB2073" s="1"/>
      <c r="AC2073" s="1"/>
      <c r="AD2073" s="1"/>
      <c r="AE2073" s="1"/>
      <c r="AF2073" s="1"/>
      <c r="AG2073" s="1"/>
      <c r="AH2073" s="1"/>
    </row>
    <row r="2074" spans="1:34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  <c r="AB2074" s="1"/>
      <c r="AC2074" s="1"/>
      <c r="AD2074" s="1"/>
      <c r="AE2074" s="1"/>
      <c r="AF2074" s="1"/>
      <c r="AG2074" s="1"/>
      <c r="AH2074" s="1"/>
    </row>
    <row r="2075" spans="1:34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  <c r="AB2075" s="1"/>
      <c r="AC2075" s="1"/>
      <c r="AD2075" s="1"/>
      <c r="AE2075" s="1"/>
      <c r="AF2075" s="1"/>
      <c r="AG2075" s="1"/>
      <c r="AH2075" s="1"/>
    </row>
    <row r="2076" spans="1:34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  <c r="AB2076" s="1"/>
      <c r="AC2076" s="1"/>
      <c r="AD2076" s="1"/>
      <c r="AE2076" s="1"/>
      <c r="AF2076" s="1"/>
      <c r="AG2076" s="1"/>
      <c r="AH2076" s="1"/>
    </row>
    <row r="2077" spans="1:34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  <c r="AB2077" s="1"/>
      <c r="AC2077" s="1"/>
      <c r="AD2077" s="1"/>
      <c r="AE2077" s="1"/>
      <c r="AF2077" s="1"/>
      <c r="AG2077" s="1"/>
      <c r="AH2077" s="1"/>
    </row>
    <row r="2078" spans="1:34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  <c r="AB2078" s="1"/>
      <c r="AC2078" s="1"/>
      <c r="AD2078" s="1"/>
      <c r="AE2078" s="1"/>
      <c r="AF2078" s="1"/>
      <c r="AG2078" s="1"/>
      <c r="AH2078" s="1"/>
    </row>
    <row r="2079" spans="1:34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  <c r="AB2079" s="1"/>
      <c r="AC2079" s="1"/>
      <c r="AD2079" s="1"/>
      <c r="AE2079" s="1"/>
      <c r="AF2079" s="1"/>
      <c r="AG2079" s="1"/>
      <c r="AH2079" s="1"/>
    </row>
    <row r="2080" spans="1:34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  <c r="AB2080" s="1"/>
      <c r="AC2080" s="1"/>
      <c r="AD2080" s="1"/>
      <c r="AE2080" s="1"/>
      <c r="AF2080" s="1"/>
      <c r="AG2080" s="1"/>
      <c r="AH2080" s="1"/>
    </row>
    <row r="2081" spans="1:34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  <c r="AB2081" s="1"/>
      <c r="AC2081" s="1"/>
      <c r="AD2081" s="1"/>
      <c r="AE2081" s="1"/>
      <c r="AF2081" s="1"/>
      <c r="AG2081" s="1"/>
      <c r="AH2081" s="1"/>
    </row>
    <row r="2082" spans="1:34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  <c r="AB2082" s="1"/>
      <c r="AC2082" s="1"/>
      <c r="AD2082" s="1"/>
      <c r="AE2082" s="1"/>
      <c r="AF2082" s="1"/>
      <c r="AG2082" s="1"/>
      <c r="AH2082" s="1"/>
    </row>
    <row r="2083" spans="1:34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  <c r="AB2083" s="1"/>
      <c r="AC2083" s="1"/>
      <c r="AD2083" s="1"/>
      <c r="AE2083" s="1"/>
      <c r="AF2083" s="1"/>
      <c r="AG2083" s="1"/>
      <c r="AH2083" s="1"/>
    </row>
    <row r="2084" spans="1:34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  <c r="AB2084" s="1"/>
      <c r="AC2084" s="1"/>
      <c r="AD2084" s="1"/>
      <c r="AE2084" s="1"/>
      <c r="AF2084" s="1"/>
      <c r="AG2084" s="1"/>
      <c r="AH2084" s="1"/>
    </row>
    <row r="2085" spans="1:34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  <c r="AB2085" s="1"/>
      <c r="AC2085" s="1"/>
      <c r="AD2085" s="1"/>
      <c r="AE2085" s="1"/>
      <c r="AF2085" s="1"/>
      <c r="AG2085" s="1"/>
      <c r="AH2085" s="1"/>
    </row>
    <row r="2086" spans="1:34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  <c r="AB2086" s="1"/>
      <c r="AC2086" s="1"/>
      <c r="AD2086" s="1"/>
      <c r="AE2086" s="1"/>
      <c r="AF2086" s="1"/>
      <c r="AG2086" s="1"/>
      <c r="AH2086" s="1"/>
    </row>
    <row r="2087" spans="1:34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  <c r="AB2087" s="1"/>
      <c r="AC2087" s="1"/>
      <c r="AD2087" s="1"/>
      <c r="AE2087" s="1"/>
      <c r="AF2087" s="1"/>
      <c r="AG2087" s="1"/>
      <c r="AH2087" s="1"/>
    </row>
    <row r="2088" spans="1:34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  <c r="AB2088" s="1"/>
      <c r="AC2088" s="1"/>
      <c r="AD2088" s="1"/>
      <c r="AE2088" s="1"/>
      <c r="AF2088" s="1"/>
      <c r="AG2088" s="1"/>
      <c r="AH2088" s="1"/>
    </row>
    <row r="2089" spans="1:34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  <c r="AB2089" s="1"/>
      <c r="AC2089" s="1"/>
      <c r="AD2089" s="1"/>
      <c r="AE2089" s="1"/>
      <c r="AF2089" s="1"/>
      <c r="AG2089" s="1"/>
      <c r="AH2089" s="1"/>
    </row>
    <row r="2090" spans="1:34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  <c r="AB2090" s="1"/>
      <c r="AC2090" s="1"/>
      <c r="AD2090" s="1"/>
      <c r="AE2090" s="1"/>
      <c r="AF2090" s="1"/>
      <c r="AG2090" s="1"/>
      <c r="AH2090" s="1"/>
    </row>
    <row r="2091" spans="1:34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  <c r="AB2091" s="1"/>
      <c r="AC2091" s="1"/>
      <c r="AD2091" s="1"/>
      <c r="AE2091" s="1"/>
      <c r="AF2091" s="1"/>
      <c r="AG2091" s="1"/>
      <c r="AH2091" s="1"/>
    </row>
    <row r="2092" spans="1:34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  <c r="AB2092" s="1"/>
      <c r="AC2092" s="1"/>
      <c r="AD2092" s="1"/>
      <c r="AE2092" s="1"/>
      <c r="AF2092" s="1"/>
      <c r="AG2092" s="1"/>
      <c r="AH2092" s="1"/>
    </row>
    <row r="2093" spans="1:34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  <c r="AB2093" s="1"/>
      <c r="AC2093" s="1"/>
      <c r="AD2093" s="1"/>
      <c r="AE2093" s="1"/>
      <c r="AF2093" s="1"/>
      <c r="AG2093" s="1"/>
      <c r="AH2093" s="1"/>
    </row>
    <row r="2094" spans="1:34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  <c r="AB2094" s="1"/>
      <c r="AC2094" s="1"/>
      <c r="AD2094" s="1"/>
      <c r="AE2094" s="1"/>
      <c r="AF2094" s="1"/>
      <c r="AG2094" s="1"/>
      <c r="AH2094" s="1"/>
    </row>
    <row r="2095" spans="1:34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  <c r="AB2095" s="1"/>
      <c r="AC2095" s="1"/>
      <c r="AD2095" s="1"/>
      <c r="AE2095" s="1"/>
      <c r="AF2095" s="1"/>
      <c r="AG2095" s="1"/>
      <c r="AH2095" s="1"/>
    </row>
    <row r="2096" spans="1:34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  <c r="AB2096" s="1"/>
      <c r="AC2096" s="1"/>
      <c r="AD2096" s="1"/>
      <c r="AE2096" s="1"/>
      <c r="AF2096" s="1"/>
      <c r="AG2096" s="1"/>
      <c r="AH2096" s="1"/>
    </row>
    <row r="2097" spans="1:34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  <c r="AB2097" s="1"/>
      <c r="AC2097" s="1"/>
      <c r="AD2097" s="1"/>
      <c r="AE2097" s="1"/>
      <c r="AF2097" s="1"/>
      <c r="AG2097" s="1"/>
      <c r="AH2097" s="1"/>
    </row>
    <row r="2098" spans="1:34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  <c r="AB2098" s="1"/>
      <c r="AC2098" s="1"/>
      <c r="AD2098" s="1"/>
      <c r="AE2098" s="1"/>
      <c r="AF2098" s="1"/>
      <c r="AG2098" s="1"/>
      <c r="AH2098" s="1"/>
    </row>
    <row r="2099" spans="1:34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  <c r="AB2099" s="1"/>
      <c r="AC2099" s="1"/>
      <c r="AD2099" s="1"/>
      <c r="AE2099" s="1"/>
      <c r="AF2099" s="1"/>
      <c r="AG2099" s="1"/>
      <c r="AH2099" s="1"/>
    </row>
    <row r="2100" spans="1:34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  <c r="AB2100" s="1"/>
      <c r="AC2100" s="1"/>
      <c r="AD2100" s="1"/>
      <c r="AE2100" s="1"/>
      <c r="AF2100" s="1"/>
      <c r="AG2100" s="1"/>
      <c r="AH2100" s="1"/>
    </row>
    <row r="2101" spans="1:34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  <c r="AB2101" s="1"/>
      <c r="AC2101" s="1"/>
      <c r="AD2101" s="1"/>
      <c r="AE2101" s="1"/>
      <c r="AF2101" s="1"/>
      <c r="AG2101" s="1"/>
      <c r="AH2101" s="1"/>
    </row>
    <row r="2102" spans="1:34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  <c r="AB2102" s="1"/>
      <c r="AC2102" s="1"/>
      <c r="AD2102" s="1"/>
      <c r="AE2102" s="1"/>
      <c r="AF2102" s="1"/>
      <c r="AG2102" s="1"/>
      <c r="AH2102" s="1"/>
    </row>
    <row r="2103" spans="1:34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  <c r="AB2103" s="1"/>
      <c r="AC2103" s="1"/>
      <c r="AD2103" s="1"/>
      <c r="AE2103" s="1"/>
      <c r="AF2103" s="1"/>
      <c r="AG2103" s="1"/>
      <c r="AH2103" s="1"/>
    </row>
    <row r="2104" spans="1:34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  <c r="AB2104" s="1"/>
      <c r="AC2104" s="1"/>
      <c r="AD2104" s="1"/>
      <c r="AE2104" s="1"/>
      <c r="AF2104" s="1"/>
      <c r="AG2104" s="1"/>
      <c r="AH2104" s="1"/>
    </row>
    <row r="2105" spans="1:34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  <c r="AB2105" s="1"/>
      <c r="AC2105" s="1"/>
      <c r="AD2105" s="1"/>
      <c r="AE2105" s="1"/>
      <c r="AF2105" s="1"/>
      <c r="AG2105" s="1"/>
      <c r="AH2105" s="1"/>
    </row>
    <row r="2106" spans="1:34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  <c r="AB2106" s="1"/>
      <c r="AC2106" s="1"/>
      <c r="AD2106" s="1"/>
      <c r="AE2106" s="1"/>
      <c r="AF2106" s="1"/>
      <c r="AG2106" s="1"/>
      <c r="AH2106" s="1"/>
    </row>
    <row r="2107" spans="1:34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  <c r="AB2107" s="1"/>
      <c r="AC2107" s="1"/>
      <c r="AD2107" s="1"/>
      <c r="AE2107" s="1"/>
      <c r="AF2107" s="1"/>
      <c r="AG2107" s="1"/>
      <c r="AH2107" s="1"/>
    </row>
    <row r="2108" spans="1:34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  <c r="AB2108" s="1"/>
      <c r="AC2108" s="1"/>
      <c r="AD2108" s="1"/>
      <c r="AE2108" s="1"/>
      <c r="AF2108" s="1"/>
      <c r="AG2108" s="1"/>
      <c r="AH2108" s="1"/>
    </row>
    <row r="2109" spans="1:34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  <c r="AB2109" s="1"/>
      <c r="AC2109" s="1"/>
      <c r="AD2109" s="1"/>
      <c r="AE2109" s="1"/>
      <c r="AF2109" s="1"/>
      <c r="AG2109" s="1"/>
      <c r="AH2109" s="1"/>
    </row>
    <row r="2110" spans="1:34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  <c r="AB2110" s="1"/>
      <c r="AC2110" s="1"/>
      <c r="AD2110" s="1"/>
      <c r="AE2110" s="1"/>
      <c r="AF2110" s="1"/>
      <c r="AG2110" s="1"/>
      <c r="AH2110" s="1"/>
    </row>
    <row r="2111" spans="1:34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  <c r="AB2111" s="1"/>
      <c r="AC2111" s="1"/>
      <c r="AD2111" s="1"/>
      <c r="AE2111" s="1"/>
      <c r="AF2111" s="1"/>
      <c r="AG2111" s="1"/>
      <c r="AH2111" s="1"/>
    </row>
    <row r="2112" spans="1:34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  <c r="AB2112" s="1"/>
      <c r="AC2112" s="1"/>
      <c r="AD2112" s="1"/>
      <c r="AE2112" s="1"/>
      <c r="AF2112" s="1"/>
      <c r="AG2112" s="1"/>
      <c r="AH2112" s="1"/>
    </row>
    <row r="2113" spans="1:34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  <c r="AB2113" s="1"/>
      <c r="AC2113" s="1"/>
      <c r="AD2113" s="1"/>
      <c r="AE2113" s="1"/>
      <c r="AF2113" s="1"/>
      <c r="AG2113" s="1"/>
      <c r="AH2113" s="1"/>
    </row>
    <row r="2114" spans="1:34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  <c r="AB2114" s="1"/>
      <c r="AC2114" s="1"/>
      <c r="AD2114" s="1"/>
      <c r="AE2114" s="1"/>
      <c r="AF2114" s="1"/>
      <c r="AG2114" s="1"/>
      <c r="AH2114" s="1"/>
    </row>
    <row r="2115" spans="1:34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  <c r="AB2115" s="1"/>
      <c r="AC2115" s="1"/>
      <c r="AD2115" s="1"/>
      <c r="AE2115" s="1"/>
      <c r="AF2115" s="1"/>
      <c r="AG2115" s="1"/>
      <c r="AH2115" s="1"/>
    </row>
    <row r="2116" spans="1:34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  <c r="AB2116" s="1"/>
      <c r="AC2116" s="1"/>
      <c r="AD2116" s="1"/>
      <c r="AE2116" s="1"/>
      <c r="AF2116" s="1"/>
      <c r="AG2116" s="1"/>
      <c r="AH2116" s="1"/>
    </row>
    <row r="2117" spans="1:34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  <c r="AB2117" s="1"/>
      <c r="AC2117" s="1"/>
      <c r="AD2117" s="1"/>
      <c r="AE2117" s="1"/>
      <c r="AF2117" s="1"/>
      <c r="AG2117" s="1"/>
      <c r="AH2117" s="1"/>
    </row>
    <row r="2118" spans="1:34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  <c r="AB2118" s="1"/>
      <c r="AC2118" s="1"/>
      <c r="AD2118" s="1"/>
      <c r="AE2118" s="1"/>
      <c r="AF2118" s="1"/>
      <c r="AG2118" s="1"/>
      <c r="AH2118" s="1"/>
    </row>
    <row r="2119" spans="1:34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  <c r="AB2119" s="1"/>
      <c r="AC2119" s="1"/>
      <c r="AD2119" s="1"/>
      <c r="AE2119" s="1"/>
      <c r="AF2119" s="1"/>
      <c r="AG2119" s="1"/>
      <c r="AH2119" s="1"/>
    </row>
    <row r="2120" spans="1:34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  <c r="AB2120" s="1"/>
      <c r="AC2120" s="1"/>
      <c r="AD2120" s="1"/>
      <c r="AE2120" s="1"/>
      <c r="AF2120" s="1"/>
      <c r="AG2120" s="1"/>
      <c r="AH2120" s="1"/>
    </row>
    <row r="2121" spans="1:34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  <c r="AB2121" s="1"/>
      <c r="AC2121" s="1"/>
      <c r="AD2121" s="1"/>
      <c r="AE2121" s="1"/>
      <c r="AF2121" s="1"/>
      <c r="AG2121" s="1"/>
      <c r="AH2121" s="1"/>
    </row>
    <row r="2122" spans="1:34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  <c r="AB2122" s="1"/>
      <c r="AC2122" s="1"/>
      <c r="AD2122" s="1"/>
      <c r="AE2122" s="1"/>
      <c r="AF2122" s="1"/>
      <c r="AG2122" s="1"/>
      <c r="AH2122" s="1"/>
    </row>
    <row r="2123" spans="1:34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  <c r="AB2123" s="1"/>
      <c r="AC2123" s="1"/>
      <c r="AD2123" s="1"/>
      <c r="AE2123" s="1"/>
      <c r="AF2123" s="1"/>
      <c r="AG2123" s="1"/>
      <c r="AH2123" s="1"/>
    </row>
    <row r="2124" spans="1:34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  <c r="AB2124" s="1"/>
      <c r="AC2124" s="1"/>
      <c r="AD2124" s="1"/>
      <c r="AE2124" s="1"/>
      <c r="AF2124" s="1"/>
      <c r="AG2124" s="1"/>
      <c r="AH2124" s="1"/>
    </row>
    <row r="2125" spans="1:34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  <c r="AB2125" s="1"/>
      <c r="AC2125" s="1"/>
      <c r="AD2125" s="1"/>
      <c r="AE2125" s="1"/>
      <c r="AF2125" s="1"/>
      <c r="AG2125" s="1"/>
      <c r="AH2125" s="1"/>
    </row>
    <row r="2126" spans="1:34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  <c r="AB2126" s="1"/>
      <c r="AC2126" s="1"/>
      <c r="AD2126" s="1"/>
      <c r="AE2126" s="1"/>
      <c r="AF2126" s="1"/>
      <c r="AG2126" s="1"/>
      <c r="AH2126" s="1"/>
    </row>
    <row r="2127" spans="1:34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  <c r="AB2127" s="1"/>
      <c r="AC2127" s="1"/>
      <c r="AD2127" s="1"/>
      <c r="AE2127" s="1"/>
      <c r="AF2127" s="1"/>
      <c r="AG2127" s="1"/>
      <c r="AH2127" s="1"/>
    </row>
    <row r="2128" spans="1:34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  <c r="AB2128" s="1"/>
      <c r="AC2128" s="1"/>
      <c r="AD2128" s="1"/>
      <c r="AE2128" s="1"/>
      <c r="AF2128" s="1"/>
      <c r="AG2128" s="1"/>
      <c r="AH2128" s="1"/>
    </row>
    <row r="2129" spans="1:34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  <c r="AB2129" s="1"/>
      <c r="AC2129" s="1"/>
      <c r="AD2129" s="1"/>
      <c r="AE2129" s="1"/>
      <c r="AF2129" s="1"/>
      <c r="AG2129" s="1"/>
      <c r="AH2129" s="1"/>
    </row>
    <row r="2130" spans="1:34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  <c r="AB2130" s="1"/>
      <c r="AC2130" s="1"/>
      <c r="AD2130" s="1"/>
      <c r="AE2130" s="1"/>
      <c r="AF2130" s="1"/>
      <c r="AG2130" s="1"/>
      <c r="AH2130" s="1"/>
    </row>
    <row r="2131" spans="1:34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  <c r="AB2131" s="1"/>
      <c r="AC2131" s="1"/>
      <c r="AD2131" s="1"/>
      <c r="AE2131" s="1"/>
      <c r="AF2131" s="1"/>
      <c r="AG2131" s="1"/>
      <c r="AH2131" s="1"/>
    </row>
    <row r="2132" spans="1:34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  <c r="AB2132" s="1"/>
      <c r="AC2132" s="1"/>
      <c r="AD2132" s="1"/>
      <c r="AE2132" s="1"/>
      <c r="AF2132" s="1"/>
      <c r="AG2132" s="1"/>
      <c r="AH2132" s="1"/>
    </row>
    <row r="2133" spans="1:34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  <c r="AB2133" s="1"/>
      <c r="AC2133" s="1"/>
      <c r="AD2133" s="1"/>
      <c r="AE2133" s="1"/>
      <c r="AF2133" s="1"/>
      <c r="AG2133" s="1"/>
      <c r="AH2133" s="1"/>
    </row>
    <row r="2134" spans="1:34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  <c r="AB2134" s="1"/>
      <c r="AC2134" s="1"/>
      <c r="AD2134" s="1"/>
      <c r="AE2134" s="1"/>
      <c r="AF2134" s="1"/>
      <c r="AG2134" s="1"/>
      <c r="AH2134" s="1"/>
    </row>
    <row r="2135" spans="1:34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  <c r="AB2135" s="1"/>
      <c r="AC2135" s="1"/>
      <c r="AD2135" s="1"/>
      <c r="AE2135" s="1"/>
      <c r="AF2135" s="1"/>
      <c r="AG2135" s="1"/>
      <c r="AH2135" s="1"/>
    </row>
    <row r="2136" spans="1:34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  <c r="AB2136" s="1"/>
      <c r="AC2136" s="1"/>
      <c r="AD2136" s="1"/>
      <c r="AE2136" s="1"/>
      <c r="AF2136" s="1"/>
      <c r="AG2136" s="1"/>
      <c r="AH2136" s="1"/>
    </row>
    <row r="2137" spans="1:34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  <c r="AB2137" s="1"/>
      <c r="AC2137" s="1"/>
      <c r="AD2137" s="1"/>
      <c r="AE2137" s="1"/>
      <c r="AF2137" s="1"/>
      <c r="AG2137" s="1"/>
      <c r="AH2137" s="1"/>
    </row>
    <row r="2138" spans="1:34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  <c r="AB2138" s="1"/>
      <c r="AC2138" s="1"/>
      <c r="AD2138" s="1"/>
      <c r="AE2138" s="1"/>
      <c r="AF2138" s="1"/>
      <c r="AG2138" s="1"/>
      <c r="AH2138" s="1"/>
    </row>
    <row r="2139" spans="1:34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  <c r="AB2139" s="1"/>
      <c r="AC2139" s="1"/>
      <c r="AD2139" s="1"/>
      <c r="AE2139" s="1"/>
      <c r="AF2139" s="1"/>
      <c r="AG2139" s="1"/>
      <c r="AH2139" s="1"/>
    </row>
    <row r="2140" spans="1:34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  <c r="AB2140" s="1"/>
      <c r="AC2140" s="1"/>
      <c r="AD2140" s="1"/>
      <c r="AE2140" s="1"/>
      <c r="AF2140" s="1"/>
      <c r="AG2140" s="1"/>
      <c r="AH2140" s="1"/>
    </row>
    <row r="2141" spans="1:34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  <c r="AB2141" s="1"/>
      <c r="AC2141" s="1"/>
      <c r="AD2141" s="1"/>
      <c r="AE2141" s="1"/>
      <c r="AF2141" s="1"/>
      <c r="AG2141" s="1"/>
      <c r="AH2141" s="1"/>
    </row>
    <row r="2142" spans="1:34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  <c r="AB2142" s="1"/>
      <c r="AC2142" s="1"/>
      <c r="AD2142" s="1"/>
      <c r="AE2142" s="1"/>
      <c r="AF2142" s="1"/>
      <c r="AG2142" s="1"/>
      <c r="AH2142" s="1"/>
    </row>
    <row r="2143" spans="1:34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  <c r="AB2143" s="1"/>
      <c r="AC2143" s="1"/>
      <c r="AD2143" s="1"/>
      <c r="AE2143" s="1"/>
      <c r="AF2143" s="1"/>
      <c r="AG2143" s="1"/>
      <c r="AH2143" s="1"/>
    </row>
    <row r="2144" spans="1:34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  <c r="AB2144" s="1"/>
      <c r="AC2144" s="1"/>
      <c r="AD2144" s="1"/>
      <c r="AE2144" s="1"/>
      <c r="AF2144" s="1"/>
      <c r="AG2144" s="1"/>
      <c r="AH2144" s="1"/>
    </row>
    <row r="2145" spans="1:34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  <c r="AB2145" s="1"/>
      <c r="AC2145" s="1"/>
      <c r="AD2145" s="1"/>
      <c r="AE2145" s="1"/>
      <c r="AF2145" s="1"/>
      <c r="AG2145" s="1"/>
      <c r="AH2145" s="1"/>
    </row>
    <row r="2146" spans="1:34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  <c r="AB2146" s="1"/>
      <c r="AC2146" s="1"/>
      <c r="AD2146" s="1"/>
      <c r="AE2146" s="1"/>
      <c r="AF2146" s="1"/>
      <c r="AG2146" s="1"/>
      <c r="AH2146" s="1"/>
    </row>
    <row r="2147" spans="1:34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  <c r="AB2147" s="1"/>
      <c r="AC2147" s="1"/>
      <c r="AD2147" s="1"/>
      <c r="AE2147" s="1"/>
      <c r="AF2147" s="1"/>
      <c r="AG2147" s="1"/>
      <c r="AH2147" s="1"/>
    </row>
    <row r="2148" spans="1:34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  <c r="AB2148" s="1"/>
      <c r="AC2148" s="1"/>
      <c r="AD2148" s="1"/>
      <c r="AE2148" s="1"/>
      <c r="AF2148" s="1"/>
      <c r="AG2148" s="1"/>
      <c r="AH2148" s="1"/>
    </row>
    <row r="2149" spans="1:34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  <c r="AB2149" s="1"/>
      <c r="AC2149" s="1"/>
      <c r="AD2149" s="1"/>
      <c r="AE2149" s="1"/>
      <c r="AF2149" s="1"/>
      <c r="AG2149" s="1"/>
      <c r="AH2149" s="1"/>
    </row>
    <row r="2150" spans="1:34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  <c r="AB2150" s="1"/>
      <c r="AC2150" s="1"/>
      <c r="AD2150" s="1"/>
      <c r="AE2150" s="1"/>
      <c r="AF2150" s="1"/>
      <c r="AG2150" s="1"/>
      <c r="AH2150" s="1"/>
    </row>
    <row r="2151" spans="1:34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  <c r="AB2151" s="1"/>
      <c r="AC2151" s="1"/>
      <c r="AD2151" s="1"/>
      <c r="AE2151" s="1"/>
      <c r="AF2151" s="1"/>
      <c r="AG2151" s="1"/>
      <c r="AH2151" s="1"/>
    </row>
    <row r="2152" spans="1:34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  <c r="AB2152" s="1"/>
      <c r="AC2152" s="1"/>
      <c r="AD2152" s="1"/>
      <c r="AE2152" s="1"/>
      <c r="AF2152" s="1"/>
      <c r="AG2152" s="1"/>
      <c r="AH2152" s="1"/>
    </row>
    <row r="2153" spans="1:34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  <c r="AB2153" s="1"/>
      <c r="AC2153" s="1"/>
      <c r="AD2153" s="1"/>
      <c r="AE2153" s="1"/>
      <c r="AF2153" s="1"/>
      <c r="AG2153" s="1"/>
      <c r="AH2153" s="1"/>
    </row>
    <row r="2154" spans="1:34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  <c r="AB2154" s="1"/>
      <c r="AC2154" s="1"/>
      <c r="AD2154" s="1"/>
      <c r="AE2154" s="1"/>
      <c r="AF2154" s="1"/>
      <c r="AG2154" s="1"/>
      <c r="AH2154" s="1"/>
    </row>
    <row r="2155" spans="1:34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  <c r="AB2155" s="1"/>
      <c r="AC2155" s="1"/>
      <c r="AD2155" s="1"/>
      <c r="AE2155" s="1"/>
      <c r="AF2155" s="1"/>
      <c r="AG2155" s="1"/>
      <c r="AH2155" s="1"/>
    </row>
    <row r="2156" spans="1:34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  <c r="AB2156" s="1"/>
      <c r="AC2156" s="1"/>
      <c r="AD2156" s="1"/>
      <c r="AE2156" s="1"/>
      <c r="AF2156" s="1"/>
      <c r="AG2156" s="1"/>
      <c r="AH2156" s="1"/>
    </row>
    <row r="2157" spans="1:34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  <c r="AB2157" s="1"/>
      <c r="AC2157" s="1"/>
      <c r="AD2157" s="1"/>
      <c r="AE2157" s="1"/>
      <c r="AF2157" s="1"/>
      <c r="AG2157" s="1"/>
      <c r="AH2157" s="1"/>
    </row>
    <row r="2158" spans="1:34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  <c r="AB2158" s="1"/>
      <c r="AC2158" s="1"/>
      <c r="AD2158" s="1"/>
      <c r="AE2158" s="1"/>
      <c r="AF2158" s="1"/>
      <c r="AG2158" s="1"/>
      <c r="AH2158" s="1"/>
    </row>
    <row r="2159" spans="1:34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  <c r="AB2159" s="1"/>
      <c r="AC2159" s="1"/>
      <c r="AD2159" s="1"/>
      <c r="AE2159" s="1"/>
      <c r="AF2159" s="1"/>
      <c r="AG2159" s="1"/>
      <c r="AH2159" s="1"/>
    </row>
    <row r="2160" spans="1:34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  <c r="AB2160" s="1"/>
      <c r="AC2160" s="1"/>
      <c r="AD2160" s="1"/>
      <c r="AE2160" s="1"/>
      <c r="AF2160" s="1"/>
      <c r="AG2160" s="1"/>
      <c r="AH2160" s="1"/>
    </row>
    <row r="2161" spans="1:34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  <c r="AB2161" s="1"/>
      <c r="AC2161" s="1"/>
      <c r="AD2161" s="1"/>
      <c r="AE2161" s="1"/>
      <c r="AF2161" s="1"/>
      <c r="AG2161" s="1"/>
      <c r="AH2161" s="1"/>
    </row>
    <row r="2162" spans="1:34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  <c r="AB2162" s="1"/>
      <c r="AC2162" s="1"/>
      <c r="AD2162" s="1"/>
      <c r="AE2162" s="1"/>
      <c r="AF2162" s="1"/>
      <c r="AG2162" s="1"/>
      <c r="AH2162" s="1"/>
    </row>
    <row r="2163" spans="1:34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  <c r="AB2163" s="1"/>
      <c r="AC2163" s="1"/>
      <c r="AD2163" s="1"/>
      <c r="AE2163" s="1"/>
      <c r="AF2163" s="1"/>
      <c r="AG2163" s="1"/>
      <c r="AH2163" s="1"/>
    </row>
    <row r="2164" spans="1:34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  <c r="AB2164" s="1"/>
      <c r="AC2164" s="1"/>
      <c r="AD2164" s="1"/>
      <c r="AE2164" s="1"/>
      <c r="AF2164" s="1"/>
      <c r="AG2164" s="1"/>
      <c r="AH2164" s="1"/>
    </row>
    <row r="2165" spans="1:34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  <c r="AB2165" s="1"/>
      <c r="AC2165" s="1"/>
      <c r="AD2165" s="1"/>
      <c r="AE2165" s="1"/>
      <c r="AF2165" s="1"/>
      <c r="AG2165" s="1"/>
      <c r="AH2165" s="1"/>
    </row>
    <row r="2166" spans="1:34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  <c r="AB2166" s="1"/>
      <c r="AC2166" s="1"/>
      <c r="AD2166" s="1"/>
      <c r="AE2166" s="1"/>
      <c r="AF2166" s="1"/>
      <c r="AG2166" s="1"/>
      <c r="AH2166" s="1"/>
    </row>
    <row r="2167" spans="1:34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  <c r="AB2167" s="1"/>
      <c r="AC2167" s="1"/>
      <c r="AD2167" s="1"/>
      <c r="AE2167" s="1"/>
      <c r="AF2167" s="1"/>
      <c r="AG2167" s="1"/>
      <c r="AH2167" s="1"/>
    </row>
    <row r="2168" spans="1:34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  <c r="AB2168" s="1"/>
      <c r="AC2168" s="1"/>
      <c r="AD2168" s="1"/>
      <c r="AE2168" s="1"/>
      <c r="AF2168" s="1"/>
      <c r="AG2168" s="1"/>
      <c r="AH2168" s="1"/>
    </row>
    <row r="2169" spans="1:34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  <c r="AB2169" s="1"/>
      <c r="AC2169" s="1"/>
      <c r="AD2169" s="1"/>
      <c r="AE2169" s="1"/>
      <c r="AF2169" s="1"/>
      <c r="AG2169" s="1"/>
      <c r="AH2169" s="1"/>
    </row>
    <row r="2170" spans="1:34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  <c r="AB2170" s="1"/>
      <c r="AC2170" s="1"/>
      <c r="AD2170" s="1"/>
      <c r="AE2170" s="1"/>
      <c r="AF2170" s="1"/>
      <c r="AG2170" s="1"/>
      <c r="AH2170" s="1"/>
    </row>
    <row r="2171" spans="1:34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  <c r="AB2171" s="1"/>
      <c r="AC2171" s="1"/>
      <c r="AD2171" s="1"/>
      <c r="AE2171" s="1"/>
      <c r="AF2171" s="1"/>
      <c r="AG2171" s="1"/>
      <c r="AH2171" s="1"/>
    </row>
    <row r="2172" spans="1:34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  <c r="AB2172" s="1"/>
      <c r="AC2172" s="1"/>
      <c r="AD2172" s="1"/>
      <c r="AE2172" s="1"/>
      <c r="AF2172" s="1"/>
      <c r="AG2172" s="1"/>
      <c r="AH2172" s="1"/>
    </row>
    <row r="2173" spans="1:34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  <c r="AB2173" s="1"/>
      <c r="AC2173" s="1"/>
      <c r="AD2173" s="1"/>
      <c r="AE2173" s="1"/>
      <c r="AF2173" s="1"/>
      <c r="AG2173" s="1"/>
      <c r="AH2173" s="1"/>
    </row>
    <row r="2174" spans="1:34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  <c r="AB2174" s="1"/>
      <c r="AC2174" s="1"/>
      <c r="AD2174" s="1"/>
      <c r="AE2174" s="1"/>
      <c r="AF2174" s="1"/>
      <c r="AG2174" s="1"/>
      <c r="AH2174" s="1"/>
    </row>
    <row r="2175" spans="1:34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  <c r="AB2175" s="1"/>
      <c r="AC2175" s="1"/>
      <c r="AD2175" s="1"/>
      <c r="AE2175" s="1"/>
      <c r="AF2175" s="1"/>
      <c r="AG2175" s="1"/>
      <c r="AH2175" s="1"/>
    </row>
    <row r="2176" spans="1:34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  <c r="AB2176" s="1"/>
      <c r="AC2176" s="1"/>
      <c r="AD2176" s="1"/>
      <c r="AE2176" s="1"/>
      <c r="AF2176" s="1"/>
      <c r="AG2176" s="1"/>
      <c r="AH2176" s="1"/>
    </row>
    <row r="2177" spans="1:34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  <c r="AB2177" s="1"/>
      <c r="AC2177" s="1"/>
      <c r="AD2177" s="1"/>
      <c r="AE2177" s="1"/>
      <c r="AF2177" s="1"/>
      <c r="AG2177" s="1"/>
      <c r="AH2177" s="1"/>
    </row>
    <row r="2178" spans="1:34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  <c r="AB2178" s="1"/>
      <c r="AC2178" s="1"/>
      <c r="AD2178" s="1"/>
      <c r="AE2178" s="1"/>
      <c r="AF2178" s="1"/>
      <c r="AG2178" s="1"/>
      <c r="AH2178" s="1"/>
    </row>
    <row r="2179" spans="1:34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  <c r="AB2179" s="1"/>
      <c r="AC2179" s="1"/>
      <c r="AD2179" s="1"/>
      <c r="AE2179" s="1"/>
      <c r="AF2179" s="1"/>
      <c r="AG2179" s="1"/>
      <c r="AH2179" s="1"/>
    </row>
    <row r="2180" spans="1:34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  <c r="AB2180" s="1"/>
      <c r="AC2180" s="1"/>
      <c r="AD2180" s="1"/>
      <c r="AE2180" s="1"/>
      <c r="AF2180" s="1"/>
      <c r="AG2180" s="1"/>
      <c r="AH2180" s="1"/>
    </row>
    <row r="2181" spans="1:34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  <c r="AB2181" s="1"/>
      <c r="AC2181" s="1"/>
      <c r="AD2181" s="1"/>
      <c r="AE2181" s="1"/>
      <c r="AF2181" s="1"/>
      <c r="AG2181" s="1"/>
      <c r="AH2181" s="1"/>
    </row>
    <row r="2182" spans="1:34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  <c r="AB2182" s="1"/>
      <c r="AC2182" s="1"/>
      <c r="AD2182" s="1"/>
      <c r="AE2182" s="1"/>
      <c r="AF2182" s="1"/>
      <c r="AG2182" s="1"/>
      <c r="AH2182" s="1"/>
    </row>
    <row r="2183" spans="1:34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  <c r="AB2183" s="1"/>
      <c r="AC2183" s="1"/>
      <c r="AD2183" s="1"/>
      <c r="AE2183" s="1"/>
      <c r="AF2183" s="1"/>
      <c r="AG2183" s="1"/>
      <c r="AH2183" s="1"/>
    </row>
    <row r="2184" spans="1:34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  <c r="AB2184" s="1"/>
      <c r="AC2184" s="1"/>
      <c r="AD2184" s="1"/>
      <c r="AE2184" s="1"/>
      <c r="AF2184" s="1"/>
      <c r="AG2184" s="1"/>
      <c r="AH2184" s="1"/>
    </row>
    <row r="2185" spans="1:34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  <c r="AB2185" s="1"/>
      <c r="AC2185" s="1"/>
      <c r="AD2185" s="1"/>
      <c r="AE2185" s="1"/>
      <c r="AF2185" s="1"/>
      <c r="AG2185" s="1"/>
      <c r="AH2185" s="1"/>
    </row>
    <row r="2186" spans="1:34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  <c r="AB2186" s="1"/>
      <c r="AC2186" s="1"/>
      <c r="AD2186" s="1"/>
      <c r="AE2186" s="1"/>
      <c r="AF2186" s="1"/>
      <c r="AG2186" s="1"/>
      <c r="AH2186" s="1"/>
    </row>
    <row r="2187" spans="1:34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  <c r="AB2187" s="1"/>
      <c r="AC2187" s="1"/>
      <c r="AD2187" s="1"/>
      <c r="AE2187" s="1"/>
      <c r="AF2187" s="1"/>
      <c r="AG2187" s="1"/>
      <c r="AH2187" s="1"/>
    </row>
    <row r="2188" spans="1:34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  <c r="AB2188" s="1"/>
      <c r="AC2188" s="1"/>
      <c r="AD2188" s="1"/>
      <c r="AE2188" s="1"/>
      <c r="AF2188" s="1"/>
      <c r="AG2188" s="1"/>
      <c r="AH2188" s="1"/>
    </row>
    <row r="2189" spans="1:34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  <c r="AB2189" s="1"/>
      <c r="AC2189" s="1"/>
      <c r="AD2189" s="1"/>
      <c r="AE2189" s="1"/>
      <c r="AF2189" s="1"/>
      <c r="AG2189" s="1"/>
      <c r="AH2189" s="1"/>
    </row>
    <row r="2190" spans="1:34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  <c r="AB2190" s="1"/>
      <c r="AC2190" s="1"/>
      <c r="AD2190" s="1"/>
      <c r="AE2190" s="1"/>
      <c r="AF2190" s="1"/>
      <c r="AG2190" s="1"/>
      <c r="AH2190" s="1"/>
    </row>
    <row r="2191" spans="1:34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  <c r="AB2191" s="1"/>
      <c r="AC2191" s="1"/>
      <c r="AD2191" s="1"/>
      <c r="AE2191" s="1"/>
      <c r="AF2191" s="1"/>
      <c r="AG2191" s="1"/>
      <c r="AH2191" s="1"/>
    </row>
    <row r="2192" spans="1:34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  <c r="AB2192" s="1"/>
      <c r="AC2192" s="1"/>
      <c r="AD2192" s="1"/>
      <c r="AE2192" s="1"/>
      <c r="AF2192" s="1"/>
      <c r="AG2192" s="1"/>
      <c r="AH2192" s="1"/>
    </row>
    <row r="2193" spans="1:34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  <c r="AB2193" s="1"/>
      <c r="AC2193" s="1"/>
      <c r="AD2193" s="1"/>
      <c r="AE2193" s="1"/>
      <c r="AF2193" s="1"/>
      <c r="AG2193" s="1"/>
      <c r="AH2193" s="1"/>
    </row>
    <row r="2194" spans="1:34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  <c r="AB2194" s="1"/>
      <c r="AC2194" s="1"/>
      <c r="AD2194" s="1"/>
      <c r="AE2194" s="1"/>
      <c r="AF2194" s="1"/>
      <c r="AG2194" s="1"/>
      <c r="AH2194" s="1"/>
    </row>
    <row r="2195" spans="1:34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  <c r="AB2195" s="1"/>
      <c r="AC2195" s="1"/>
      <c r="AD2195" s="1"/>
      <c r="AE2195" s="1"/>
      <c r="AF2195" s="1"/>
      <c r="AG2195" s="1"/>
      <c r="AH2195" s="1"/>
    </row>
    <row r="2196" spans="1:34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  <c r="AB2196" s="1"/>
      <c r="AC2196" s="1"/>
      <c r="AD2196" s="1"/>
      <c r="AE2196" s="1"/>
      <c r="AF2196" s="1"/>
      <c r="AG2196" s="1"/>
      <c r="AH2196" s="1"/>
    </row>
    <row r="2197" spans="1:34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  <c r="AB2197" s="1"/>
      <c r="AC2197" s="1"/>
      <c r="AD2197" s="1"/>
      <c r="AE2197" s="1"/>
      <c r="AF2197" s="1"/>
      <c r="AG2197" s="1"/>
      <c r="AH2197" s="1"/>
    </row>
    <row r="2198" spans="1:34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  <c r="AB2198" s="1"/>
      <c r="AC2198" s="1"/>
      <c r="AD2198" s="1"/>
      <c r="AE2198" s="1"/>
      <c r="AF2198" s="1"/>
      <c r="AG2198" s="1"/>
      <c r="AH2198" s="1"/>
    </row>
    <row r="2199" spans="1:34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  <c r="AB2199" s="1"/>
      <c r="AC2199" s="1"/>
      <c r="AD2199" s="1"/>
      <c r="AE2199" s="1"/>
      <c r="AF2199" s="1"/>
      <c r="AG2199" s="1"/>
      <c r="AH2199" s="1"/>
    </row>
    <row r="2200" spans="1:34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  <c r="AB2200" s="1"/>
      <c r="AC2200" s="1"/>
      <c r="AD2200" s="1"/>
      <c r="AE2200" s="1"/>
      <c r="AF2200" s="1"/>
      <c r="AG2200" s="1"/>
      <c r="AH2200" s="1"/>
    </row>
    <row r="2201" spans="1:34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  <c r="AB2201" s="1"/>
      <c r="AC2201" s="1"/>
      <c r="AD2201" s="1"/>
      <c r="AE2201" s="1"/>
      <c r="AF2201" s="1"/>
      <c r="AG2201" s="1"/>
      <c r="AH2201" s="1"/>
    </row>
    <row r="2202" spans="1:34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  <c r="AB2202" s="1"/>
      <c r="AC2202" s="1"/>
      <c r="AD2202" s="1"/>
      <c r="AE2202" s="1"/>
      <c r="AF2202" s="1"/>
      <c r="AG2202" s="1"/>
      <c r="AH2202" s="1"/>
    </row>
    <row r="2203" spans="1:34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  <c r="AB2203" s="1"/>
      <c r="AC2203" s="1"/>
      <c r="AD2203" s="1"/>
      <c r="AE2203" s="1"/>
      <c r="AF2203" s="1"/>
      <c r="AG2203" s="1"/>
      <c r="AH2203" s="1"/>
    </row>
    <row r="2204" spans="1:34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  <c r="AB2204" s="1"/>
      <c r="AC2204" s="1"/>
      <c r="AD2204" s="1"/>
      <c r="AE2204" s="1"/>
      <c r="AF2204" s="1"/>
      <c r="AG2204" s="1"/>
      <c r="AH2204" s="1"/>
    </row>
    <row r="2205" spans="1:34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  <c r="AB2205" s="1"/>
      <c r="AC2205" s="1"/>
      <c r="AD2205" s="1"/>
      <c r="AE2205" s="1"/>
      <c r="AF2205" s="1"/>
      <c r="AG2205" s="1"/>
      <c r="AH2205" s="1"/>
    </row>
    <row r="2206" spans="1:34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  <c r="AB2206" s="1"/>
      <c r="AC2206" s="1"/>
      <c r="AD2206" s="1"/>
      <c r="AE2206" s="1"/>
      <c r="AF2206" s="1"/>
      <c r="AG2206" s="1"/>
      <c r="AH2206" s="1"/>
    </row>
    <row r="2207" spans="1:34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  <c r="AB2207" s="1"/>
      <c r="AC2207" s="1"/>
      <c r="AD2207" s="1"/>
      <c r="AE2207" s="1"/>
      <c r="AF2207" s="1"/>
      <c r="AG2207" s="1"/>
      <c r="AH2207" s="1"/>
    </row>
    <row r="2208" spans="1:34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  <c r="AB2208" s="1"/>
      <c r="AC2208" s="1"/>
      <c r="AD2208" s="1"/>
      <c r="AE2208" s="1"/>
      <c r="AF2208" s="1"/>
      <c r="AG2208" s="1"/>
      <c r="AH2208" s="1"/>
    </row>
    <row r="2209" spans="1:34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  <c r="AB2209" s="1"/>
      <c r="AC2209" s="1"/>
      <c r="AD2209" s="1"/>
      <c r="AE2209" s="1"/>
      <c r="AF2209" s="1"/>
      <c r="AG2209" s="1"/>
      <c r="AH2209" s="1"/>
    </row>
    <row r="2210" spans="1:34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  <c r="AB2210" s="1"/>
      <c r="AC2210" s="1"/>
      <c r="AD2210" s="1"/>
      <c r="AE2210" s="1"/>
      <c r="AF2210" s="1"/>
      <c r="AG2210" s="1"/>
      <c r="AH2210" s="1"/>
    </row>
    <row r="2211" spans="1:34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  <c r="AB2211" s="1"/>
      <c r="AC2211" s="1"/>
      <c r="AD2211" s="1"/>
      <c r="AE2211" s="1"/>
      <c r="AF2211" s="1"/>
      <c r="AG2211" s="1"/>
      <c r="AH2211" s="1"/>
    </row>
    <row r="2212" spans="1:34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  <c r="AB2212" s="1"/>
      <c r="AC2212" s="1"/>
      <c r="AD2212" s="1"/>
      <c r="AE2212" s="1"/>
      <c r="AF2212" s="1"/>
      <c r="AG2212" s="1"/>
      <c r="AH2212" s="1"/>
    </row>
    <row r="2213" spans="1:34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  <c r="AB2213" s="1"/>
      <c r="AC2213" s="1"/>
      <c r="AD2213" s="1"/>
      <c r="AE2213" s="1"/>
      <c r="AF2213" s="1"/>
      <c r="AG2213" s="1"/>
      <c r="AH2213" s="1"/>
    </row>
    <row r="2214" spans="1:34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  <c r="AB2214" s="1"/>
      <c r="AC2214" s="1"/>
      <c r="AD2214" s="1"/>
      <c r="AE2214" s="1"/>
      <c r="AF2214" s="1"/>
      <c r="AG2214" s="1"/>
      <c r="AH2214" s="1"/>
    </row>
    <row r="2215" spans="1:34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  <c r="AB2215" s="1"/>
      <c r="AC2215" s="1"/>
      <c r="AD2215" s="1"/>
      <c r="AE2215" s="1"/>
      <c r="AF2215" s="1"/>
      <c r="AG2215" s="1"/>
      <c r="AH2215" s="1"/>
    </row>
    <row r="2216" spans="1:34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  <c r="AB2216" s="1"/>
      <c r="AC2216" s="1"/>
      <c r="AD2216" s="1"/>
      <c r="AE2216" s="1"/>
      <c r="AF2216" s="1"/>
      <c r="AG2216" s="1"/>
      <c r="AH2216" s="1"/>
    </row>
    <row r="2217" spans="1:34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  <c r="AB2217" s="1"/>
      <c r="AC2217" s="1"/>
      <c r="AD2217" s="1"/>
      <c r="AE2217" s="1"/>
      <c r="AF2217" s="1"/>
      <c r="AG2217" s="1"/>
      <c r="AH2217" s="1"/>
    </row>
    <row r="2218" spans="1:34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  <c r="AB2218" s="1"/>
      <c r="AC2218" s="1"/>
      <c r="AD2218" s="1"/>
      <c r="AE2218" s="1"/>
      <c r="AF2218" s="1"/>
      <c r="AG2218" s="1"/>
      <c r="AH2218" s="1"/>
    </row>
    <row r="2219" spans="1:34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  <c r="AB2219" s="1"/>
      <c r="AC2219" s="1"/>
      <c r="AD2219" s="1"/>
      <c r="AE2219" s="1"/>
      <c r="AF2219" s="1"/>
      <c r="AG2219" s="1"/>
      <c r="AH2219" s="1"/>
    </row>
    <row r="2220" spans="1:34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  <c r="AB2220" s="1"/>
      <c r="AC2220" s="1"/>
      <c r="AD2220" s="1"/>
      <c r="AE2220" s="1"/>
      <c r="AF2220" s="1"/>
      <c r="AG2220" s="1"/>
      <c r="AH2220" s="1"/>
    </row>
    <row r="2221" spans="1:34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  <c r="AB2221" s="1"/>
      <c r="AC2221" s="1"/>
      <c r="AD2221" s="1"/>
      <c r="AE2221" s="1"/>
      <c r="AF2221" s="1"/>
      <c r="AG2221" s="1"/>
      <c r="AH2221" s="1"/>
    </row>
    <row r="2222" spans="1:34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  <c r="AB2222" s="1"/>
      <c r="AC2222" s="1"/>
      <c r="AD2222" s="1"/>
      <c r="AE2222" s="1"/>
      <c r="AF2222" s="1"/>
      <c r="AG2222" s="1"/>
      <c r="AH2222" s="1"/>
    </row>
    <row r="2223" spans="1:34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  <c r="AB2223" s="1"/>
      <c r="AC2223" s="1"/>
      <c r="AD2223" s="1"/>
      <c r="AE2223" s="1"/>
      <c r="AF2223" s="1"/>
      <c r="AG2223" s="1"/>
      <c r="AH2223" s="1"/>
    </row>
    <row r="2224" spans="1:34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  <c r="AB2224" s="1"/>
      <c r="AC2224" s="1"/>
      <c r="AD2224" s="1"/>
      <c r="AE2224" s="1"/>
      <c r="AF2224" s="1"/>
      <c r="AG2224" s="1"/>
      <c r="AH2224" s="1"/>
    </row>
    <row r="2225" spans="1:34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  <c r="AB2225" s="1"/>
      <c r="AC2225" s="1"/>
      <c r="AD2225" s="1"/>
      <c r="AE2225" s="1"/>
      <c r="AF2225" s="1"/>
      <c r="AG2225" s="1"/>
      <c r="AH2225" s="1"/>
    </row>
    <row r="2226" spans="1:34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  <c r="AB2226" s="1"/>
      <c r="AC2226" s="1"/>
      <c r="AD2226" s="1"/>
      <c r="AE2226" s="1"/>
      <c r="AF2226" s="1"/>
      <c r="AG2226" s="1"/>
      <c r="AH2226" s="1"/>
    </row>
    <row r="2227" spans="1:34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  <c r="AB2227" s="1"/>
      <c r="AC2227" s="1"/>
      <c r="AD2227" s="1"/>
      <c r="AE2227" s="1"/>
      <c r="AF2227" s="1"/>
      <c r="AG2227" s="1"/>
      <c r="AH2227" s="1"/>
    </row>
    <row r="2228" spans="1:34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  <c r="AB2228" s="1"/>
      <c r="AC2228" s="1"/>
      <c r="AD2228" s="1"/>
      <c r="AE2228" s="1"/>
      <c r="AF2228" s="1"/>
      <c r="AG2228" s="1"/>
      <c r="AH2228" s="1"/>
    </row>
    <row r="2229" spans="1:34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  <c r="AB2229" s="1"/>
      <c r="AC2229" s="1"/>
      <c r="AD2229" s="1"/>
      <c r="AE2229" s="1"/>
      <c r="AF2229" s="1"/>
      <c r="AG2229" s="1"/>
      <c r="AH2229" s="1"/>
    </row>
    <row r="2230" spans="1:34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  <c r="AB2230" s="1"/>
      <c r="AC2230" s="1"/>
      <c r="AD2230" s="1"/>
      <c r="AE2230" s="1"/>
      <c r="AF2230" s="1"/>
      <c r="AG2230" s="1"/>
      <c r="AH2230" s="1"/>
    </row>
    <row r="2231" spans="1:34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  <c r="AB2231" s="1"/>
      <c r="AC2231" s="1"/>
      <c r="AD2231" s="1"/>
      <c r="AE2231" s="1"/>
      <c r="AF2231" s="1"/>
      <c r="AG2231" s="1"/>
      <c r="AH2231" s="1"/>
    </row>
    <row r="2232" spans="1:34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  <c r="AB2232" s="1"/>
      <c r="AC2232" s="1"/>
      <c r="AD2232" s="1"/>
      <c r="AE2232" s="1"/>
      <c r="AF2232" s="1"/>
      <c r="AG2232" s="1"/>
      <c r="AH2232" s="1"/>
    </row>
    <row r="2233" spans="1:34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  <c r="AB2233" s="1"/>
      <c r="AC2233" s="1"/>
      <c r="AD2233" s="1"/>
      <c r="AE2233" s="1"/>
      <c r="AF2233" s="1"/>
      <c r="AG2233" s="1"/>
      <c r="AH2233" s="1"/>
    </row>
    <row r="2234" spans="1:34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  <c r="AB2234" s="1"/>
      <c r="AC2234" s="1"/>
      <c r="AD2234" s="1"/>
      <c r="AE2234" s="1"/>
      <c r="AF2234" s="1"/>
      <c r="AG2234" s="1"/>
      <c r="AH2234" s="1"/>
    </row>
    <row r="2235" spans="1:34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  <c r="AB2235" s="1"/>
      <c r="AC2235" s="1"/>
      <c r="AD2235" s="1"/>
      <c r="AE2235" s="1"/>
      <c r="AF2235" s="1"/>
      <c r="AG2235" s="1"/>
      <c r="AH2235" s="1"/>
    </row>
    <row r="2236" spans="1:34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  <c r="AB2236" s="1"/>
      <c r="AC2236" s="1"/>
      <c r="AD2236" s="1"/>
      <c r="AE2236" s="1"/>
      <c r="AF2236" s="1"/>
      <c r="AG2236" s="1"/>
      <c r="AH2236" s="1"/>
    </row>
    <row r="2237" spans="1:34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  <c r="AB2237" s="1"/>
      <c r="AC2237" s="1"/>
      <c r="AD2237" s="1"/>
      <c r="AE2237" s="1"/>
      <c r="AF2237" s="1"/>
      <c r="AG2237" s="1"/>
      <c r="AH2237" s="1"/>
    </row>
    <row r="2238" spans="1:34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  <c r="AB2238" s="1"/>
      <c r="AC2238" s="1"/>
      <c r="AD2238" s="1"/>
      <c r="AE2238" s="1"/>
      <c r="AF2238" s="1"/>
      <c r="AG2238" s="1"/>
      <c r="AH2238" s="1"/>
    </row>
    <row r="2239" spans="1:34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  <c r="AB2239" s="1"/>
      <c r="AC2239" s="1"/>
      <c r="AD2239" s="1"/>
      <c r="AE2239" s="1"/>
      <c r="AF2239" s="1"/>
      <c r="AG2239" s="1"/>
      <c r="AH2239" s="1"/>
    </row>
    <row r="2240" spans="1:34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  <c r="AB2240" s="1"/>
      <c r="AC2240" s="1"/>
      <c r="AD2240" s="1"/>
      <c r="AE2240" s="1"/>
      <c r="AF2240" s="1"/>
      <c r="AG2240" s="1"/>
      <c r="AH2240" s="1"/>
    </row>
    <row r="2241" spans="1:34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  <c r="AB2241" s="1"/>
      <c r="AC2241" s="1"/>
      <c r="AD2241" s="1"/>
      <c r="AE2241" s="1"/>
      <c r="AF2241" s="1"/>
      <c r="AG2241" s="1"/>
      <c r="AH2241" s="1"/>
    </row>
    <row r="2242" spans="1:34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  <c r="AB2242" s="1"/>
      <c r="AC2242" s="1"/>
      <c r="AD2242" s="1"/>
      <c r="AE2242" s="1"/>
      <c r="AF2242" s="1"/>
      <c r="AG2242" s="1"/>
      <c r="AH2242" s="1"/>
    </row>
    <row r="2243" spans="1:34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  <c r="AB2243" s="1"/>
      <c r="AC2243" s="1"/>
      <c r="AD2243" s="1"/>
      <c r="AE2243" s="1"/>
      <c r="AF2243" s="1"/>
      <c r="AG2243" s="1"/>
      <c r="AH2243" s="1"/>
    </row>
    <row r="2244" spans="1:34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  <c r="AB2244" s="1"/>
      <c r="AC2244" s="1"/>
      <c r="AD2244" s="1"/>
      <c r="AE2244" s="1"/>
      <c r="AF2244" s="1"/>
      <c r="AG2244" s="1"/>
      <c r="AH2244" s="1"/>
    </row>
    <row r="2245" spans="1:34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  <c r="AB2245" s="1"/>
      <c r="AC2245" s="1"/>
      <c r="AD2245" s="1"/>
      <c r="AE2245" s="1"/>
      <c r="AF2245" s="1"/>
      <c r="AG2245" s="1"/>
      <c r="AH2245" s="1"/>
    </row>
    <row r="2246" spans="1:34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  <c r="AB2246" s="1"/>
      <c r="AC2246" s="1"/>
      <c r="AD2246" s="1"/>
      <c r="AE2246" s="1"/>
      <c r="AF2246" s="1"/>
      <c r="AG2246" s="1"/>
      <c r="AH2246" s="1"/>
    </row>
    <row r="2247" spans="1:34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  <c r="AB2247" s="1"/>
      <c r="AC2247" s="1"/>
      <c r="AD2247" s="1"/>
      <c r="AE2247" s="1"/>
      <c r="AF2247" s="1"/>
      <c r="AG2247" s="1"/>
      <c r="AH2247" s="1"/>
    </row>
    <row r="2248" spans="1:34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  <c r="AB2248" s="1"/>
      <c r="AC2248" s="1"/>
      <c r="AD2248" s="1"/>
      <c r="AE2248" s="1"/>
      <c r="AF2248" s="1"/>
      <c r="AG2248" s="1"/>
      <c r="AH2248" s="1"/>
    </row>
    <row r="2249" spans="1:34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  <c r="AB2249" s="1"/>
      <c r="AC2249" s="1"/>
      <c r="AD2249" s="1"/>
      <c r="AE2249" s="1"/>
      <c r="AF2249" s="1"/>
      <c r="AG2249" s="1"/>
      <c r="AH2249" s="1"/>
    </row>
    <row r="2250" spans="1:34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  <c r="AB2250" s="1"/>
      <c r="AC2250" s="1"/>
      <c r="AD2250" s="1"/>
      <c r="AE2250" s="1"/>
      <c r="AF2250" s="1"/>
      <c r="AG2250" s="1"/>
      <c r="AH2250" s="1"/>
    </row>
    <row r="2251" spans="1:34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  <c r="AB2251" s="1"/>
      <c r="AC2251" s="1"/>
      <c r="AD2251" s="1"/>
      <c r="AE2251" s="1"/>
      <c r="AF2251" s="1"/>
      <c r="AG2251" s="1"/>
      <c r="AH2251" s="1"/>
    </row>
    <row r="2252" spans="1:34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  <c r="AB2252" s="1"/>
      <c r="AC2252" s="1"/>
      <c r="AD2252" s="1"/>
      <c r="AE2252" s="1"/>
      <c r="AF2252" s="1"/>
      <c r="AG2252" s="1"/>
      <c r="AH2252" s="1"/>
    </row>
    <row r="2253" spans="1:34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  <c r="AB2253" s="1"/>
      <c r="AC2253" s="1"/>
      <c r="AD2253" s="1"/>
      <c r="AE2253" s="1"/>
      <c r="AF2253" s="1"/>
      <c r="AG2253" s="1"/>
      <c r="AH2253" s="1"/>
    </row>
    <row r="2254" spans="1:34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  <c r="AB2254" s="1"/>
      <c r="AC2254" s="1"/>
      <c r="AD2254" s="1"/>
      <c r="AE2254" s="1"/>
      <c r="AF2254" s="1"/>
      <c r="AG2254" s="1"/>
      <c r="AH2254" s="1"/>
    </row>
    <row r="2255" spans="1:34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  <c r="AB2255" s="1"/>
      <c r="AC2255" s="1"/>
      <c r="AD2255" s="1"/>
      <c r="AE2255" s="1"/>
      <c r="AF2255" s="1"/>
      <c r="AG2255" s="1"/>
      <c r="AH2255" s="1"/>
    </row>
    <row r="2256" spans="1:34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  <c r="AB2256" s="1"/>
      <c r="AC2256" s="1"/>
      <c r="AD2256" s="1"/>
      <c r="AE2256" s="1"/>
      <c r="AF2256" s="1"/>
      <c r="AG2256" s="1"/>
      <c r="AH2256" s="1"/>
    </row>
    <row r="2257" spans="1:34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  <c r="AB2257" s="1"/>
      <c r="AC2257" s="1"/>
      <c r="AD2257" s="1"/>
      <c r="AE2257" s="1"/>
      <c r="AF2257" s="1"/>
      <c r="AG2257" s="1"/>
      <c r="AH2257" s="1"/>
    </row>
    <row r="2258" spans="1:34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  <c r="AB2258" s="1"/>
      <c r="AC2258" s="1"/>
      <c r="AD2258" s="1"/>
      <c r="AE2258" s="1"/>
      <c r="AF2258" s="1"/>
      <c r="AG2258" s="1"/>
      <c r="AH2258" s="1"/>
    </row>
    <row r="2259" spans="1:34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  <c r="AB2259" s="1"/>
      <c r="AC2259" s="1"/>
      <c r="AD2259" s="1"/>
      <c r="AE2259" s="1"/>
      <c r="AF2259" s="1"/>
      <c r="AG2259" s="1"/>
      <c r="AH2259" s="1"/>
    </row>
    <row r="2260" spans="1:34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  <c r="AB2260" s="1"/>
      <c r="AC2260" s="1"/>
      <c r="AD2260" s="1"/>
      <c r="AE2260" s="1"/>
      <c r="AF2260" s="1"/>
      <c r="AG2260" s="1"/>
      <c r="AH2260" s="1"/>
    </row>
    <row r="2261" spans="1:34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  <c r="AB2261" s="1"/>
      <c r="AC2261" s="1"/>
      <c r="AD2261" s="1"/>
      <c r="AE2261" s="1"/>
      <c r="AF2261" s="1"/>
      <c r="AG2261" s="1"/>
      <c r="AH2261" s="1"/>
    </row>
    <row r="2262" spans="1:34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  <c r="AB2262" s="1"/>
      <c r="AC2262" s="1"/>
      <c r="AD2262" s="1"/>
      <c r="AE2262" s="1"/>
      <c r="AF2262" s="1"/>
      <c r="AG2262" s="1"/>
      <c r="AH2262" s="1"/>
    </row>
    <row r="2263" spans="1:34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  <c r="AB2263" s="1"/>
      <c r="AC2263" s="1"/>
      <c r="AD2263" s="1"/>
      <c r="AE2263" s="1"/>
      <c r="AF2263" s="1"/>
      <c r="AG2263" s="1"/>
      <c r="AH2263" s="1"/>
    </row>
    <row r="2264" spans="1:34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  <c r="AB2264" s="1"/>
      <c r="AC2264" s="1"/>
      <c r="AD2264" s="1"/>
      <c r="AE2264" s="1"/>
      <c r="AF2264" s="1"/>
      <c r="AG2264" s="1"/>
      <c r="AH2264" s="1"/>
    </row>
    <row r="2265" spans="1:34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  <c r="AB2265" s="1"/>
      <c r="AC2265" s="1"/>
      <c r="AD2265" s="1"/>
      <c r="AE2265" s="1"/>
      <c r="AF2265" s="1"/>
      <c r="AG2265" s="1"/>
      <c r="AH2265" s="1"/>
    </row>
    <row r="2266" spans="1:34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  <c r="AB2266" s="1"/>
      <c r="AC2266" s="1"/>
      <c r="AD2266" s="1"/>
      <c r="AE2266" s="1"/>
      <c r="AF2266" s="1"/>
      <c r="AG2266" s="1"/>
      <c r="AH2266" s="1"/>
    </row>
    <row r="2267" spans="1:34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  <c r="AB2267" s="1"/>
      <c r="AC2267" s="1"/>
      <c r="AD2267" s="1"/>
      <c r="AE2267" s="1"/>
      <c r="AF2267" s="1"/>
      <c r="AG2267" s="1"/>
      <c r="AH2267" s="1"/>
    </row>
    <row r="2268" spans="1:34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  <c r="AB2268" s="1"/>
      <c r="AC2268" s="1"/>
      <c r="AD2268" s="1"/>
      <c r="AE2268" s="1"/>
      <c r="AF2268" s="1"/>
      <c r="AG2268" s="1"/>
      <c r="AH2268" s="1"/>
    </row>
    <row r="2269" spans="1:34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  <c r="AB2269" s="1"/>
      <c r="AC2269" s="1"/>
      <c r="AD2269" s="1"/>
      <c r="AE2269" s="1"/>
      <c r="AF2269" s="1"/>
      <c r="AG2269" s="1"/>
      <c r="AH2269" s="1"/>
    </row>
    <row r="2270" spans="1:34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  <c r="AB2270" s="1"/>
      <c r="AC2270" s="1"/>
      <c r="AD2270" s="1"/>
      <c r="AE2270" s="1"/>
      <c r="AF2270" s="1"/>
      <c r="AG2270" s="1"/>
      <c r="AH2270" s="1"/>
    </row>
    <row r="2271" spans="1:34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  <c r="AB2271" s="1"/>
      <c r="AC2271" s="1"/>
      <c r="AD2271" s="1"/>
      <c r="AE2271" s="1"/>
      <c r="AF2271" s="1"/>
      <c r="AG2271" s="1"/>
      <c r="AH2271" s="1"/>
    </row>
    <row r="2272" spans="1:34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  <c r="AB2272" s="1"/>
      <c r="AC2272" s="1"/>
      <c r="AD2272" s="1"/>
      <c r="AE2272" s="1"/>
      <c r="AF2272" s="1"/>
      <c r="AG2272" s="1"/>
      <c r="AH2272" s="1"/>
    </row>
    <row r="2273" spans="1:34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  <c r="AB2273" s="1"/>
      <c r="AC2273" s="1"/>
      <c r="AD2273" s="1"/>
      <c r="AE2273" s="1"/>
      <c r="AF2273" s="1"/>
      <c r="AG2273" s="1"/>
      <c r="AH2273" s="1"/>
    </row>
    <row r="2274" spans="1:34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  <c r="AB2274" s="1"/>
      <c r="AC2274" s="1"/>
      <c r="AD2274" s="1"/>
      <c r="AE2274" s="1"/>
      <c r="AF2274" s="1"/>
      <c r="AG2274" s="1"/>
      <c r="AH2274" s="1"/>
    </row>
    <row r="2275" spans="1:34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  <c r="AB2275" s="1"/>
      <c r="AC2275" s="1"/>
      <c r="AD2275" s="1"/>
      <c r="AE2275" s="1"/>
      <c r="AF2275" s="1"/>
      <c r="AG2275" s="1"/>
      <c r="AH2275" s="1"/>
    </row>
    <row r="2276" spans="1:34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  <c r="AB2276" s="1"/>
      <c r="AC2276" s="1"/>
      <c r="AD2276" s="1"/>
      <c r="AE2276" s="1"/>
      <c r="AF2276" s="1"/>
      <c r="AG2276" s="1"/>
      <c r="AH2276" s="1"/>
    </row>
    <row r="2277" spans="1:34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  <c r="AB2277" s="1"/>
      <c r="AC2277" s="1"/>
      <c r="AD2277" s="1"/>
      <c r="AE2277" s="1"/>
      <c r="AF2277" s="1"/>
      <c r="AG2277" s="1"/>
      <c r="AH2277" s="1"/>
    </row>
    <row r="2278" spans="1:34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  <c r="AB2278" s="1"/>
      <c r="AC2278" s="1"/>
      <c r="AD2278" s="1"/>
      <c r="AE2278" s="1"/>
      <c r="AF2278" s="1"/>
      <c r="AG2278" s="1"/>
      <c r="AH2278" s="1"/>
    </row>
    <row r="2279" spans="1:34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  <c r="AB2279" s="1"/>
      <c r="AC2279" s="1"/>
      <c r="AD2279" s="1"/>
      <c r="AE2279" s="1"/>
      <c r="AF2279" s="1"/>
      <c r="AG2279" s="1"/>
      <c r="AH2279" s="1"/>
    </row>
    <row r="2280" spans="1:34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  <c r="AB2280" s="1"/>
      <c r="AC2280" s="1"/>
      <c r="AD2280" s="1"/>
      <c r="AE2280" s="1"/>
      <c r="AF2280" s="1"/>
      <c r="AG2280" s="1"/>
      <c r="AH2280" s="1"/>
    </row>
    <row r="2281" spans="1:34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  <c r="AB2281" s="1"/>
      <c r="AC2281" s="1"/>
      <c r="AD2281" s="1"/>
      <c r="AE2281" s="1"/>
      <c r="AF2281" s="1"/>
      <c r="AG2281" s="1"/>
      <c r="AH2281" s="1"/>
    </row>
    <row r="2282" spans="1:34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  <c r="AB2282" s="1"/>
      <c r="AC2282" s="1"/>
      <c r="AD2282" s="1"/>
      <c r="AE2282" s="1"/>
      <c r="AF2282" s="1"/>
      <c r="AG2282" s="1"/>
      <c r="AH2282" s="1"/>
    </row>
    <row r="2283" spans="1:34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  <c r="AB2283" s="1"/>
      <c r="AC2283" s="1"/>
      <c r="AD2283" s="1"/>
      <c r="AE2283" s="1"/>
      <c r="AF2283" s="1"/>
      <c r="AG2283" s="1"/>
      <c r="AH2283" s="1"/>
    </row>
    <row r="2284" spans="1:34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  <c r="AB2284" s="1"/>
      <c r="AC2284" s="1"/>
      <c r="AD2284" s="1"/>
      <c r="AE2284" s="1"/>
      <c r="AF2284" s="1"/>
      <c r="AG2284" s="1"/>
      <c r="AH2284" s="1"/>
    </row>
    <row r="2285" spans="1:34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  <c r="AB2285" s="1"/>
      <c r="AC2285" s="1"/>
      <c r="AD2285" s="1"/>
      <c r="AE2285" s="1"/>
      <c r="AF2285" s="1"/>
      <c r="AG2285" s="1"/>
      <c r="AH2285" s="1"/>
    </row>
    <row r="2286" spans="1:34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  <c r="AB2286" s="1"/>
      <c r="AC2286" s="1"/>
      <c r="AD2286" s="1"/>
      <c r="AE2286" s="1"/>
      <c r="AF2286" s="1"/>
      <c r="AG2286" s="1"/>
      <c r="AH2286" s="1"/>
    </row>
    <row r="2287" spans="1:34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  <c r="AB2287" s="1"/>
      <c r="AC2287" s="1"/>
      <c r="AD2287" s="1"/>
      <c r="AE2287" s="1"/>
      <c r="AF2287" s="1"/>
      <c r="AG2287" s="1"/>
      <c r="AH2287" s="1"/>
    </row>
    <row r="2288" spans="1:34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  <c r="AB2288" s="1"/>
      <c r="AC2288" s="1"/>
      <c r="AD2288" s="1"/>
      <c r="AE2288" s="1"/>
      <c r="AF2288" s="1"/>
      <c r="AG2288" s="1"/>
      <c r="AH2288" s="1"/>
    </row>
    <row r="2289" spans="1:34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  <c r="AB2289" s="1"/>
      <c r="AC2289" s="1"/>
      <c r="AD2289" s="1"/>
      <c r="AE2289" s="1"/>
      <c r="AF2289" s="1"/>
      <c r="AG2289" s="1"/>
      <c r="AH2289" s="1"/>
    </row>
    <row r="2290" spans="1:34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  <c r="AB2290" s="1"/>
      <c r="AC2290" s="1"/>
      <c r="AD2290" s="1"/>
      <c r="AE2290" s="1"/>
      <c r="AF2290" s="1"/>
      <c r="AG2290" s="1"/>
      <c r="AH2290" s="1"/>
    </row>
    <row r="2291" spans="1:34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  <c r="AB2291" s="1"/>
      <c r="AC2291" s="1"/>
      <c r="AD2291" s="1"/>
      <c r="AE2291" s="1"/>
      <c r="AF2291" s="1"/>
      <c r="AG2291" s="1"/>
      <c r="AH2291" s="1"/>
    </row>
    <row r="2292" spans="1:34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  <c r="AB2292" s="1"/>
      <c r="AC2292" s="1"/>
      <c r="AD2292" s="1"/>
      <c r="AE2292" s="1"/>
      <c r="AF2292" s="1"/>
      <c r="AG2292" s="1"/>
      <c r="AH2292" s="1"/>
    </row>
    <row r="2293" spans="1:34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  <c r="AB2293" s="1"/>
      <c r="AC2293" s="1"/>
      <c r="AD2293" s="1"/>
      <c r="AE2293" s="1"/>
      <c r="AF2293" s="1"/>
      <c r="AG2293" s="1"/>
      <c r="AH2293" s="1"/>
    </row>
    <row r="2294" spans="1:34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  <c r="AB2294" s="1"/>
      <c r="AC2294" s="1"/>
      <c r="AD2294" s="1"/>
      <c r="AE2294" s="1"/>
      <c r="AF2294" s="1"/>
      <c r="AG2294" s="1"/>
      <c r="AH2294" s="1"/>
    </row>
    <row r="2295" spans="1:34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  <c r="AB2295" s="1"/>
      <c r="AC2295" s="1"/>
      <c r="AD2295" s="1"/>
      <c r="AE2295" s="1"/>
      <c r="AF2295" s="1"/>
      <c r="AG2295" s="1"/>
      <c r="AH2295" s="1"/>
    </row>
    <row r="2296" spans="1:34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  <c r="AB2296" s="1"/>
      <c r="AC2296" s="1"/>
      <c r="AD2296" s="1"/>
      <c r="AE2296" s="1"/>
      <c r="AF2296" s="1"/>
      <c r="AG2296" s="1"/>
      <c r="AH2296" s="1"/>
    </row>
    <row r="2297" spans="1:34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  <c r="AB2297" s="1"/>
      <c r="AC2297" s="1"/>
      <c r="AD2297" s="1"/>
      <c r="AE2297" s="1"/>
      <c r="AF2297" s="1"/>
      <c r="AG2297" s="1"/>
      <c r="AH2297" s="1"/>
    </row>
    <row r="2298" spans="1:34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  <c r="AB2298" s="1"/>
      <c r="AC2298" s="1"/>
      <c r="AD2298" s="1"/>
      <c r="AE2298" s="1"/>
      <c r="AF2298" s="1"/>
      <c r="AG2298" s="1"/>
      <c r="AH2298" s="1"/>
    </row>
    <row r="2299" spans="1:34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  <c r="AB2299" s="1"/>
      <c r="AC2299" s="1"/>
      <c r="AD2299" s="1"/>
      <c r="AE2299" s="1"/>
      <c r="AF2299" s="1"/>
      <c r="AG2299" s="1"/>
      <c r="AH2299" s="1"/>
    </row>
    <row r="2300" spans="1:34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  <c r="AB2300" s="1"/>
      <c r="AC2300" s="1"/>
      <c r="AD2300" s="1"/>
      <c r="AE2300" s="1"/>
      <c r="AF2300" s="1"/>
      <c r="AG2300" s="1"/>
      <c r="AH2300" s="1"/>
    </row>
    <row r="2301" spans="1:34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  <c r="AB2301" s="1"/>
      <c r="AC2301" s="1"/>
      <c r="AD2301" s="1"/>
      <c r="AE2301" s="1"/>
      <c r="AF2301" s="1"/>
      <c r="AG2301" s="1"/>
      <c r="AH2301" s="1"/>
    </row>
    <row r="2302" spans="1:34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  <c r="AB2302" s="1"/>
      <c r="AC2302" s="1"/>
      <c r="AD2302" s="1"/>
      <c r="AE2302" s="1"/>
      <c r="AF2302" s="1"/>
      <c r="AG2302" s="1"/>
      <c r="AH2302" s="1"/>
    </row>
    <row r="2303" spans="1:34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  <c r="AB2303" s="1"/>
      <c r="AC2303" s="1"/>
      <c r="AD2303" s="1"/>
      <c r="AE2303" s="1"/>
      <c r="AF2303" s="1"/>
      <c r="AG2303" s="1"/>
      <c r="AH2303" s="1"/>
    </row>
    <row r="2304" spans="1:34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  <c r="AB2304" s="1"/>
      <c r="AC2304" s="1"/>
      <c r="AD2304" s="1"/>
      <c r="AE2304" s="1"/>
      <c r="AF2304" s="1"/>
      <c r="AG2304" s="1"/>
      <c r="AH2304" s="1"/>
    </row>
    <row r="2305" spans="1:34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  <c r="AB2305" s="1"/>
      <c r="AC2305" s="1"/>
      <c r="AD2305" s="1"/>
      <c r="AE2305" s="1"/>
      <c r="AF2305" s="1"/>
      <c r="AG2305" s="1"/>
      <c r="AH2305" s="1"/>
    </row>
    <row r="2306" spans="1:34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  <c r="AB2306" s="1"/>
      <c r="AC2306" s="1"/>
      <c r="AD2306" s="1"/>
      <c r="AE2306" s="1"/>
      <c r="AF2306" s="1"/>
      <c r="AG2306" s="1"/>
      <c r="AH2306" s="1"/>
    </row>
    <row r="2307" spans="1:34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  <c r="AB2307" s="1"/>
      <c r="AC2307" s="1"/>
      <c r="AD2307" s="1"/>
      <c r="AE2307" s="1"/>
      <c r="AF2307" s="1"/>
      <c r="AG2307" s="1"/>
      <c r="AH2307" s="1"/>
    </row>
    <row r="2308" spans="1:34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  <c r="AB2308" s="1"/>
      <c r="AC2308" s="1"/>
      <c r="AD2308" s="1"/>
      <c r="AE2308" s="1"/>
      <c r="AF2308" s="1"/>
      <c r="AG2308" s="1"/>
      <c r="AH2308" s="1"/>
    </row>
    <row r="2309" spans="1:34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  <c r="AB2309" s="1"/>
      <c r="AC2309" s="1"/>
      <c r="AD2309" s="1"/>
      <c r="AE2309" s="1"/>
      <c r="AF2309" s="1"/>
      <c r="AG2309" s="1"/>
      <c r="AH2309" s="1"/>
    </row>
    <row r="2310" spans="1:34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  <c r="AB2310" s="1"/>
      <c r="AC2310" s="1"/>
      <c r="AD2310" s="1"/>
      <c r="AE2310" s="1"/>
      <c r="AF2310" s="1"/>
      <c r="AG2310" s="1"/>
      <c r="AH2310" s="1"/>
    </row>
    <row r="2311" spans="1:34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  <c r="AB2311" s="1"/>
      <c r="AC2311" s="1"/>
      <c r="AD2311" s="1"/>
      <c r="AE2311" s="1"/>
      <c r="AF2311" s="1"/>
      <c r="AG2311" s="1"/>
      <c r="AH2311" s="1"/>
    </row>
    <row r="2312" spans="1:34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  <c r="AB2312" s="1"/>
      <c r="AC2312" s="1"/>
      <c r="AD2312" s="1"/>
      <c r="AE2312" s="1"/>
      <c r="AF2312" s="1"/>
      <c r="AG2312" s="1"/>
      <c r="AH2312" s="1"/>
    </row>
    <row r="2313" spans="1:34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  <c r="AB2313" s="1"/>
      <c r="AC2313" s="1"/>
      <c r="AD2313" s="1"/>
      <c r="AE2313" s="1"/>
      <c r="AF2313" s="1"/>
      <c r="AG2313" s="1"/>
      <c r="AH2313" s="1"/>
    </row>
    <row r="2314" spans="1:34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  <c r="AB2314" s="1"/>
      <c r="AC2314" s="1"/>
      <c r="AD2314" s="1"/>
      <c r="AE2314" s="1"/>
      <c r="AF2314" s="1"/>
      <c r="AG2314" s="1"/>
      <c r="AH2314" s="1"/>
    </row>
    <row r="2315" spans="1:34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  <c r="AB2315" s="1"/>
      <c r="AC2315" s="1"/>
      <c r="AD2315" s="1"/>
      <c r="AE2315" s="1"/>
      <c r="AF2315" s="1"/>
      <c r="AG2315" s="1"/>
      <c r="AH2315" s="1"/>
    </row>
    <row r="2316" spans="1:34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  <c r="AB2316" s="1"/>
      <c r="AC2316" s="1"/>
      <c r="AD2316" s="1"/>
      <c r="AE2316" s="1"/>
      <c r="AF2316" s="1"/>
      <c r="AG2316" s="1"/>
      <c r="AH2316" s="1"/>
    </row>
    <row r="2317" spans="1:34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  <c r="AB2317" s="1"/>
      <c r="AC2317" s="1"/>
      <c r="AD2317" s="1"/>
      <c r="AE2317" s="1"/>
      <c r="AF2317" s="1"/>
      <c r="AG2317" s="1"/>
      <c r="AH2317" s="1"/>
    </row>
    <row r="2318" spans="1:34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  <c r="AB2318" s="1"/>
      <c r="AC2318" s="1"/>
      <c r="AD2318" s="1"/>
      <c r="AE2318" s="1"/>
      <c r="AF2318" s="1"/>
      <c r="AG2318" s="1"/>
      <c r="AH2318" s="1"/>
    </row>
    <row r="2319" spans="1:34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  <c r="AB2319" s="1"/>
      <c r="AC2319" s="1"/>
      <c r="AD2319" s="1"/>
      <c r="AE2319" s="1"/>
      <c r="AF2319" s="1"/>
      <c r="AG2319" s="1"/>
      <c r="AH2319" s="1"/>
    </row>
    <row r="2320" spans="1:34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  <c r="AB2320" s="1"/>
      <c r="AC2320" s="1"/>
      <c r="AD2320" s="1"/>
      <c r="AE2320" s="1"/>
      <c r="AF2320" s="1"/>
      <c r="AG2320" s="1"/>
      <c r="AH2320" s="1"/>
    </row>
    <row r="2321" spans="1:34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  <c r="AB2321" s="1"/>
      <c r="AC2321" s="1"/>
      <c r="AD2321" s="1"/>
      <c r="AE2321" s="1"/>
      <c r="AF2321" s="1"/>
      <c r="AG2321" s="1"/>
      <c r="AH2321" s="1"/>
    </row>
    <row r="2322" spans="1:34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  <c r="AB2322" s="1"/>
      <c r="AC2322" s="1"/>
      <c r="AD2322" s="1"/>
      <c r="AE2322" s="1"/>
      <c r="AF2322" s="1"/>
      <c r="AG2322" s="1"/>
      <c r="AH2322" s="1"/>
    </row>
    <row r="2323" spans="1:34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  <c r="AB2323" s="1"/>
      <c r="AC2323" s="1"/>
      <c r="AD2323" s="1"/>
      <c r="AE2323" s="1"/>
      <c r="AF2323" s="1"/>
      <c r="AG2323" s="1"/>
      <c r="AH2323" s="1"/>
    </row>
    <row r="2324" spans="1:34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  <c r="AB2324" s="1"/>
      <c r="AC2324" s="1"/>
      <c r="AD2324" s="1"/>
      <c r="AE2324" s="1"/>
      <c r="AF2324" s="1"/>
      <c r="AG2324" s="1"/>
      <c r="AH2324" s="1"/>
    </row>
    <row r="2325" spans="1:34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  <c r="AB2325" s="1"/>
      <c r="AC2325" s="1"/>
      <c r="AD2325" s="1"/>
      <c r="AE2325" s="1"/>
      <c r="AF2325" s="1"/>
      <c r="AG2325" s="1"/>
      <c r="AH2325" s="1"/>
    </row>
    <row r="2326" spans="1:34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  <c r="AB2326" s="1"/>
      <c r="AC2326" s="1"/>
      <c r="AD2326" s="1"/>
      <c r="AE2326" s="1"/>
      <c r="AF2326" s="1"/>
      <c r="AG2326" s="1"/>
      <c r="AH2326" s="1"/>
    </row>
    <row r="2327" spans="1:34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  <c r="AB2327" s="1"/>
      <c r="AC2327" s="1"/>
      <c r="AD2327" s="1"/>
      <c r="AE2327" s="1"/>
      <c r="AF2327" s="1"/>
      <c r="AG2327" s="1"/>
      <c r="AH2327" s="1"/>
    </row>
    <row r="2328" spans="1:34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  <c r="AB2328" s="1"/>
      <c r="AC2328" s="1"/>
      <c r="AD2328" s="1"/>
      <c r="AE2328" s="1"/>
      <c r="AF2328" s="1"/>
      <c r="AG2328" s="1"/>
      <c r="AH2328" s="1"/>
    </row>
    <row r="2329" spans="1:34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  <c r="AB2329" s="1"/>
      <c r="AC2329" s="1"/>
      <c r="AD2329" s="1"/>
      <c r="AE2329" s="1"/>
      <c r="AF2329" s="1"/>
      <c r="AG2329" s="1"/>
      <c r="AH2329" s="1"/>
    </row>
    <row r="2330" spans="1:34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  <c r="AB2330" s="1"/>
      <c r="AC2330" s="1"/>
      <c r="AD2330" s="1"/>
      <c r="AE2330" s="1"/>
      <c r="AF2330" s="1"/>
      <c r="AG2330" s="1"/>
      <c r="AH2330" s="1"/>
    </row>
    <row r="2331" spans="1:34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  <c r="AB2331" s="1"/>
      <c r="AC2331" s="1"/>
      <c r="AD2331" s="1"/>
      <c r="AE2331" s="1"/>
      <c r="AF2331" s="1"/>
      <c r="AG2331" s="1"/>
      <c r="AH2331" s="1"/>
    </row>
    <row r="2332" spans="1:34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  <c r="AB2332" s="1"/>
      <c r="AC2332" s="1"/>
      <c r="AD2332" s="1"/>
      <c r="AE2332" s="1"/>
      <c r="AF2332" s="1"/>
      <c r="AG2332" s="1"/>
      <c r="AH2332" s="1"/>
    </row>
    <row r="2333" spans="1:34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  <c r="AB2333" s="1"/>
      <c r="AC2333" s="1"/>
      <c r="AD2333" s="1"/>
      <c r="AE2333" s="1"/>
      <c r="AF2333" s="1"/>
      <c r="AG2333" s="1"/>
      <c r="AH2333" s="1"/>
    </row>
    <row r="2334" spans="1:34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  <c r="AB2334" s="1"/>
      <c r="AC2334" s="1"/>
      <c r="AD2334" s="1"/>
      <c r="AE2334" s="1"/>
      <c r="AF2334" s="1"/>
      <c r="AG2334" s="1"/>
      <c r="AH2334" s="1"/>
    </row>
    <row r="2335" spans="1:34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  <c r="AB2335" s="1"/>
      <c r="AC2335" s="1"/>
      <c r="AD2335" s="1"/>
      <c r="AE2335" s="1"/>
      <c r="AF2335" s="1"/>
      <c r="AG2335" s="1"/>
      <c r="AH2335" s="1"/>
    </row>
    <row r="2336" spans="1:34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  <c r="AB2336" s="1"/>
      <c r="AC2336" s="1"/>
      <c r="AD2336" s="1"/>
      <c r="AE2336" s="1"/>
      <c r="AF2336" s="1"/>
      <c r="AG2336" s="1"/>
      <c r="AH2336" s="1"/>
    </row>
    <row r="2337" spans="1:34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  <c r="AB2337" s="1"/>
      <c r="AC2337" s="1"/>
      <c r="AD2337" s="1"/>
      <c r="AE2337" s="1"/>
      <c r="AF2337" s="1"/>
      <c r="AG2337" s="1"/>
      <c r="AH2337" s="1"/>
    </row>
    <row r="2338" spans="1:34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  <c r="AB2338" s="1"/>
      <c r="AC2338" s="1"/>
      <c r="AD2338" s="1"/>
      <c r="AE2338" s="1"/>
      <c r="AF2338" s="1"/>
      <c r="AG2338" s="1"/>
      <c r="AH2338" s="1"/>
    </row>
    <row r="2339" spans="1:34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  <c r="AB2339" s="1"/>
      <c r="AC2339" s="1"/>
      <c r="AD2339" s="1"/>
      <c r="AE2339" s="1"/>
      <c r="AF2339" s="1"/>
      <c r="AG2339" s="1"/>
      <c r="AH2339" s="1"/>
    </row>
    <row r="2340" spans="1:34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  <c r="AB2340" s="1"/>
      <c r="AC2340" s="1"/>
      <c r="AD2340" s="1"/>
      <c r="AE2340" s="1"/>
      <c r="AF2340" s="1"/>
      <c r="AG2340" s="1"/>
      <c r="AH2340" s="1"/>
    </row>
    <row r="2341" spans="1:34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  <c r="AB2341" s="1"/>
      <c r="AC2341" s="1"/>
      <c r="AD2341" s="1"/>
      <c r="AE2341" s="1"/>
      <c r="AF2341" s="1"/>
      <c r="AG2341" s="1"/>
      <c r="AH2341" s="1"/>
    </row>
    <row r="2342" spans="1:34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  <c r="AB2342" s="1"/>
      <c r="AC2342" s="1"/>
      <c r="AD2342" s="1"/>
      <c r="AE2342" s="1"/>
      <c r="AF2342" s="1"/>
      <c r="AG2342" s="1"/>
      <c r="AH2342" s="1"/>
    </row>
    <row r="2343" spans="1:34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  <c r="AB2343" s="1"/>
      <c r="AC2343" s="1"/>
      <c r="AD2343" s="1"/>
      <c r="AE2343" s="1"/>
      <c r="AF2343" s="1"/>
      <c r="AG2343" s="1"/>
      <c r="AH2343" s="1"/>
    </row>
    <row r="2344" spans="1:34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  <c r="AB2344" s="1"/>
      <c r="AC2344" s="1"/>
      <c r="AD2344" s="1"/>
      <c r="AE2344" s="1"/>
      <c r="AF2344" s="1"/>
      <c r="AG2344" s="1"/>
      <c r="AH2344" s="1"/>
    </row>
    <row r="2345" spans="1:34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  <c r="AB2345" s="1"/>
      <c r="AC2345" s="1"/>
      <c r="AD2345" s="1"/>
      <c r="AE2345" s="1"/>
      <c r="AF2345" s="1"/>
      <c r="AG2345" s="1"/>
      <c r="AH2345" s="1"/>
    </row>
    <row r="2346" spans="1:34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  <c r="AB2346" s="1"/>
      <c r="AC2346" s="1"/>
      <c r="AD2346" s="1"/>
      <c r="AE2346" s="1"/>
      <c r="AF2346" s="1"/>
      <c r="AG2346" s="1"/>
      <c r="AH2346" s="1"/>
    </row>
    <row r="2347" spans="1:34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  <c r="AB2347" s="1"/>
      <c r="AC2347" s="1"/>
      <c r="AD2347" s="1"/>
      <c r="AE2347" s="1"/>
      <c r="AF2347" s="1"/>
      <c r="AG2347" s="1"/>
      <c r="AH2347" s="1"/>
    </row>
    <row r="2348" spans="1:34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  <c r="AB2348" s="1"/>
      <c r="AC2348" s="1"/>
      <c r="AD2348" s="1"/>
      <c r="AE2348" s="1"/>
      <c r="AF2348" s="1"/>
      <c r="AG2348" s="1"/>
      <c r="AH2348" s="1"/>
    </row>
    <row r="2349" spans="1:34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  <c r="AB2349" s="1"/>
      <c r="AC2349" s="1"/>
      <c r="AD2349" s="1"/>
      <c r="AE2349" s="1"/>
      <c r="AF2349" s="1"/>
      <c r="AG2349" s="1"/>
      <c r="AH2349" s="1"/>
    </row>
    <row r="2350" spans="1:34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  <c r="AB2350" s="1"/>
      <c r="AC2350" s="1"/>
      <c r="AD2350" s="1"/>
      <c r="AE2350" s="1"/>
      <c r="AF2350" s="1"/>
      <c r="AG2350" s="1"/>
      <c r="AH2350" s="1"/>
    </row>
    <row r="2351" spans="1:34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  <c r="AB2351" s="1"/>
      <c r="AC2351" s="1"/>
      <c r="AD2351" s="1"/>
      <c r="AE2351" s="1"/>
      <c r="AF2351" s="1"/>
      <c r="AG2351" s="1"/>
      <c r="AH2351" s="1"/>
    </row>
    <row r="2352" spans="1:34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  <c r="AB2352" s="1"/>
      <c r="AC2352" s="1"/>
      <c r="AD2352" s="1"/>
      <c r="AE2352" s="1"/>
      <c r="AF2352" s="1"/>
      <c r="AG2352" s="1"/>
      <c r="AH2352" s="1"/>
    </row>
    <row r="2353" spans="1:34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  <c r="AB2353" s="1"/>
      <c r="AC2353" s="1"/>
      <c r="AD2353" s="1"/>
      <c r="AE2353" s="1"/>
      <c r="AF2353" s="1"/>
      <c r="AG2353" s="1"/>
      <c r="AH2353" s="1"/>
    </row>
    <row r="2354" spans="1:34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  <c r="AB2354" s="1"/>
      <c r="AC2354" s="1"/>
      <c r="AD2354" s="1"/>
      <c r="AE2354" s="1"/>
      <c r="AF2354" s="1"/>
      <c r="AG2354" s="1"/>
      <c r="AH2354" s="1"/>
    </row>
    <row r="2355" spans="1:34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  <c r="AB2355" s="1"/>
      <c r="AC2355" s="1"/>
      <c r="AD2355" s="1"/>
      <c r="AE2355" s="1"/>
      <c r="AF2355" s="1"/>
      <c r="AG2355" s="1"/>
      <c r="AH2355" s="1"/>
    </row>
    <row r="2356" spans="1:34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  <c r="AB2356" s="1"/>
      <c r="AC2356" s="1"/>
      <c r="AD2356" s="1"/>
      <c r="AE2356" s="1"/>
      <c r="AF2356" s="1"/>
      <c r="AG2356" s="1"/>
      <c r="AH2356" s="1"/>
    </row>
    <row r="2357" spans="1:34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  <c r="AB2357" s="1"/>
      <c r="AC2357" s="1"/>
      <c r="AD2357" s="1"/>
      <c r="AE2357" s="1"/>
      <c r="AF2357" s="1"/>
      <c r="AG2357" s="1"/>
      <c r="AH2357" s="1"/>
    </row>
    <row r="2358" spans="1:34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  <c r="AB2358" s="1"/>
      <c r="AC2358" s="1"/>
      <c r="AD2358" s="1"/>
      <c r="AE2358" s="1"/>
      <c r="AF2358" s="1"/>
      <c r="AG2358" s="1"/>
      <c r="AH2358" s="1"/>
    </row>
    <row r="2359" spans="1:34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  <c r="AB2359" s="1"/>
      <c r="AC2359" s="1"/>
      <c r="AD2359" s="1"/>
      <c r="AE2359" s="1"/>
      <c r="AF2359" s="1"/>
      <c r="AG2359" s="1"/>
      <c r="AH2359" s="1"/>
    </row>
    <row r="2360" spans="1:34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  <c r="AB2360" s="1"/>
      <c r="AC2360" s="1"/>
      <c r="AD2360" s="1"/>
      <c r="AE2360" s="1"/>
      <c r="AF2360" s="1"/>
      <c r="AG2360" s="1"/>
      <c r="AH2360" s="1"/>
    </row>
    <row r="2361" spans="1:34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  <c r="AB2361" s="1"/>
      <c r="AC2361" s="1"/>
      <c r="AD2361" s="1"/>
      <c r="AE2361" s="1"/>
      <c r="AF2361" s="1"/>
      <c r="AG2361" s="1"/>
      <c r="AH2361" s="1"/>
    </row>
    <row r="2362" spans="1:34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  <c r="AB2362" s="1"/>
      <c r="AC2362" s="1"/>
      <c r="AD2362" s="1"/>
      <c r="AE2362" s="1"/>
      <c r="AF2362" s="1"/>
      <c r="AG2362" s="1"/>
      <c r="AH2362" s="1"/>
    </row>
    <row r="2363" spans="1:34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  <c r="AB2363" s="1"/>
      <c r="AC2363" s="1"/>
      <c r="AD2363" s="1"/>
      <c r="AE2363" s="1"/>
      <c r="AF2363" s="1"/>
      <c r="AG2363" s="1"/>
      <c r="AH2363" s="1"/>
    </row>
    <row r="2364" spans="1:34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  <c r="AB2364" s="1"/>
      <c r="AC2364" s="1"/>
      <c r="AD2364" s="1"/>
      <c r="AE2364" s="1"/>
      <c r="AF2364" s="1"/>
      <c r="AG2364" s="1"/>
      <c r="AH2364" s="1"/>
    </row>
    <row r="2365" spans="1:34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  <c r="AB2365" s="1"/>
      <c r="AC2365" s="1"/>
      <c r="AD2365" s="1"/>
      <c r="AE2365" s="1"/>
      <c r="AF2365" s="1"/>
      <c r="AG2365" s="1"/>
      <c r="AH2365" s="1"/>
    </row>
    <row r="2366" spans="1:34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  <c r="AB2366" s="1"/>
      <c r="AC2366" s="1"/>
      <c r="AD2366" s="1"/>
      <c r="AE2366" s="1"/>
      <c r="AF2366" s="1"/>
      <c r="AG2366" s="1"/>
      <c r="AH2366" s="1"/>
    </row>
    <row r="2367" spans="1:34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  <c r="AB2367" s="1"/>
      <c r="AC2367" s="1"/>
      <c r="AD2367" s="1"/>
      <c r="AE2367" s="1"/>
      <c r="AF2367" s="1"/>
      <c r="AG2367" s="1"/>
      <c r="AH2367" s="1"/>
    </row>
    <row r="2368" spans="1:34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  <c r="AB2368" s="1"/>
      <c r="AC2368" s="1"/>
      <c r="AD2368" s="1"/>
      <c r="AE2368" s="1"/>
      <c r="AF2368" s="1"/>
      <c r="AG2368" s="1"/>
      <c r="AH2368" s="1"/>
    </row>
    <row r="2369" spans="1:34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  <c r="AB2369" s="1"/>
      <c r="AC2369" s="1"/>
      <c r="AD2369" s="1"/>
      <c r="AE2369" s="1"/>
      <c r="AF2369" s="1"/>
      <c r="AG2369" s="1"/>
      <c r="AH2369" s="1"/>
    </row>
    <row r="2370" spans="1:34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  <c r="AB2370" s="1"/>
      <c r="AC2370" s="1"/>
      <c r="AD2370" s="1"/>
      <c r="AE2370" s="1"/>
      <c r="AF2370" s="1"/>
      <c r="AG2370" s="1"/>
      <c r="AH2370" s="1"/>
    </row>
    <row r="2371" spans="1:34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  <c r="AB2371" s="1"/>
      <c r="AC2371" s="1"/>
      <c r="AD2371" s="1"/>
      <c r="AE2371" s="1"/>
      <c r="AF2371" s="1"/>
      <c r="AG2371" s="1"/>
      <c r="AH2371" s="1"/>
    </row>
    <row r="2372" spans="1:34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  <c r="AB2372" s="1"/>
      <c r="AC2372" s="1"/>
      <c r="AD2372" s="1"/>
      <c r="AE2372" s="1"/>
      <c r="AF2372" s="1"/>
      <c r="AG2372" s="1"/>
      <c r="AH2372" s="1"/>
    </row>
    <row r="2373" spans="1:34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  <c r="AB2373" s="1"/>
      <c r="AC2373" s="1"/>
      <c r="AD2373" s="1"/>
      <c r="AE2373" s="1"/>
      <c r="AF2373" s="1"/>
      <c r="AG2373" s="1"/>
      <c r="AH2373" s="1"/>
    </row>
    <row r="2374" spans="1:34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  <c r="AB2374" s="1"/>
      <c r="AC2374" s="1"/>
      <c r="AD2374" s="1"/>
      <c r="AE2374" s="1"/>
      <c r="AF2374" s="1"/>
      <c r="AG2374" s="1"/>
      <c r="AH2374" s="1"/>
    </row>
    <row r="2375" spans="1:34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  <c r="AB2375" s="1"/>
      <c r="AC2375" s="1"/>
      <c r="AD2375" s="1"/>
      <c r="AE2375" s="1"/>
      <c r="AF2375" s="1"/>
      <c r="AG2375" s="1"/>
      <c r="AH2375" s="1"/>
    </row>
    <row r="2376" spans="1:34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  <c r="AB2376" s="1"/>
      <c r="AC2376" s="1"/>
      <c r="AD2376" s="1"/>
      <c r="AE2376" s="1"/>
      <c r="AF2376" s="1"/>
      <c r="AG2376" s="1"/>
      <c r="AH2376" s="1"/>
    </row>
    <row r="2377" spans="1:34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  <c r="AB2377" s="1"/>
      <c r="AC2377" s="1"/>
      <c r="AD2377" s="1"/>
      <c r="AE2377" s="1"/>
      <c r="AF2377" s="1"/>
      <c r="AG2377" s="1"/>
      <c r="AH2377" s="1"/>
    </row>
    <row r="2378" spans="1:34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  <c r="AB2378" s="1"/>
      <c r="AC2378" s="1"/>
      <c r="AD2378" s="1"/>
      <c r="AE2378" s="1"/>
      <c r="AF2378" s="1"/>
      <c r="AG2378" s="1"/>
      <c r="AH2378" s="1"/>
    </row>
    <row r="2379" spans="1:34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  <c r="AB2379" s="1"/>
      <c r="AC2379" s="1"/>
      <c r="AD2379" s="1"/>
      <c r="AE2379" s="1"/>
      <c r="AF2379" s="1"/>
      <c r="AG2379" s="1"/>
      <c r="AH2379" s="1"/>
    </row>
    <row r="2380" spans="1:34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  <c r="AB2380" s="1"/>
      <c r="AC2380" s="1"/>
      <c r="AD2380" s="1"/>
      <c r="AE2380" s="1"/>
      <c r="AF2380" s="1"/>
      <c r="AG2380" s="1"/>
      <c r="AH2380" s="1"/>
    </row>
    <row r="2381" spans="1:34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  <c r="AB2381" s="1"/>
      <c r="AC2381" s="1"/>
      <c r="AD2381" s="1"/>
      <c r="AE2381" s="1"/>
      <c r="AF2381" s="1"/>
      <c r="AG2381" s="1"/>
      <c r="AH2381" s="1"/>
    </row>
    <row r="2382" spans="1:34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  <c r="AB2382" s="1"/>
      <c r="AC2382" s="1"/>
      <c r="AD2382" s="1"/>
      <c r="AE2382" s="1"/>
      <c r="AF2382" s="1"/>
      <c r="AG2382" s="1"/>
      <c r="AH2382" s="1"/>
    </row>
    <row r="2383" spans="1:34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  <c r="AB2383" s="1"/>
      <c r="AC2383" s="1"/>
      <c r="AD2383" s="1"/>
      <c r="AE2383" s="1"/>
      <c r="AF2383" s="1"/>
      <c r="AG2383" s="1"/>
      <c r="AH2383" s="1"/>
    </row>
    <row r="2384" spans="1:34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  <c r="AB2384" s="1"/>
      <c r="AC2384" s="1"/>
      <c r="AD2384" s="1"/>
      <c r="AE2384" s="1"/>
      <c r="AF2384" s="1"/>
      <c r="AG2384" s="1"/>
      <c r="AH2384" s="1"/>
    </row>
    <row r="2385" spans="1:34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  <c r="AB2385" s="1"/>
      <c r="AC2385" s="1"/>
      <c r="AD2385" s="1"/>
      <c r="AE2385" s="1"/>
      <c r="AF2385" s="1"/>
      <c r="AG2385" s="1"/>
      <c r="AH2385" s="1"/>
    </row>
    <row r="2386" spans="1:34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  <c r="AB2386" s="1"/>
      <c r="AC2386" s="1"/>
      <c r="AD2386" s="1"/>
      <c r="AE2386" s="1"/>
      <c r="AF2386" s="1"/>
      <c r="AG2386" s="1"/>
      <c r="AH2386" s="1"/>
    </row>
    <row r="2387" spans="1:34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  <c r="AB2387" s="1"/>
      <c r="AC2387" s="1"/>
      <c r="AD2387" s="1"/>
      <c r="AE2387" s="1"/>
      <c r="AF2387" s="1"/>
      <c r="AG2387" s="1"/>
      <c r="AH2387" s="1"/>
    </row>
    <row r="2388" spans="1:34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  <c r="AB2388" s="1"/>
      <c r="AC2388" s="1"/>
      <c r="AD2388" s="1"/>
      <c r="AE2388" s="1"/>
      <c r="AF2388" s="1"/>
      <c r="AG2388" s="1"/>
      <c r="AH2388" s="1"/>
    </row>
    <row r="2389" spans="1:34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  <c r="AB2389" s="1"/>
      <c r="AC2389" s="1"/>
      <c r="AD2389" s="1"/>
      <c r="AE2389" s="1"/>
      <c r="AF2389" s="1"/>
      <c r="AG2389" s="1"/>
      <c r="AH2389" s="1"/>
    </row>
    <row r="2390" spans="1:34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  <c r="AB2390" s="1"/>
      <c r="AC2390" s="1"/>
      <c r="AD2390" s="1"/>
      <c r="AE2390" s="1"/>
      <c r="AF2390" s="1"/>
      <c r="AG2390" s="1"/>
      <c r="AH2390" s="1"/>
    </row>
    <row r="2391" spans="1:34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  <c r="AB2391" s="1"/>
      <c r="AC2391" s="1"/>
      <c r="AD2391" s="1"/>
      <c r="AE2391" s="1"/>
      <c r="AF2391" s="1"/>
      <c r="AG2391" s="1"/>
      <c r="AH2391" s="1"/>
    </row>
    <row r="2392" spans="1:34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  <c r="AB2392" s="1"/>
      <c r="AC2392" s="1"/>
      <c r="AD2392" s="1"/>
      <c r="AE2392" s="1"/>
      <c r="AF2392" s="1"/>
      <c r="AG2392" s="1"/>
      <c r="AH2392" s="1"/>
    </row>
    <row r="2393" spans="1:34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  <c r="AB2393" s="1"/>
      <c r="AC2393" s="1"/>
      <c r="AD2393" s="1"/>
      <c r="AE2393" s="1"/>
      <c r="AF2393" s="1"/>
      <c r="AG2393" s="1"/>
      <c r="AH2393" s="1"/>
    </row>
    <row r="2394" spans="1:34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  <c r="AB2394" s="1"/>
      <c r="AC2394" s="1"/>
      <c r="AD2394" s="1"/>
      <c r="AE2394" s="1"/>
      <c r="AF2394" s="1"/>
      <c r="AG2394" s="1"/>
      <c r="AH2394" s="1"/>
    </row>
    <row r="2395" spans="1:34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  <c r="AB2395" s="1"/>
      <c r="AC2395" s="1"/>
      <c r="AD2395" s="1"/>
      <c r="AE2395" s="1"/>
      <c r="AF2395" s="1"/>
      <c r="AG2395" s="1"/>
      <c r="AH2395" s="1"/>
    </row>
    <row r="2396" spans="1:34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  <c r="AB2396" s="1"/>
      <c r="AC2396" s="1"/>
      <c r="AD2396" s="1"/>
      <c r="AE2396" s="1"/>
      <c r="AF2396" s="1"/>
      <c r="AG2396" s="1"/>
      <c r="AH2396" s="1"/>
    </row>
    <row r="2397" spans="1:34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  <c r="AB2397" s="1"/>
      <c r="AC2397" s="1"/>
      <c r="AD2397" s="1"/>
      <c r="AE2397" s="1"/>
      <c r="AF2397" s="1"/>
      <c r="AG2397" s="1"/>
      <c r="AH2397" s="1"/>
    </row>
    <row r="2398" spans="1:34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  <c r="AB2398" s="1"/>
      <c r="AC2398" s="1"/>
      <c r="AD2398" s="1"/>
      <c r="AE2398" s="1"/>
      <c r="AF2398" s="1"/>
      <c r="AG2398" s="1"/>
      <c r="AH2398" s="1"/>
    </row>
    <row r="2399" spans="1:34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  <c r="AB2399" s="1"/>
      <c r="AC2399" s="1"/>
      <c r="AD2399" s="1"/>
      <c r="AE2399" s="1"/>
      <c r="AF2399" s="1"/>
      <c r="AG2399" s="1"/>
      <c r="AH2399" s="1"/>
    </row>
    <row r="2400" spans="1:34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  <c r="AD2400" s="1"/>
      <c r="AE2400" s="1"/>
      <c r="AF2400" s="1"/>
      <c r="AG2400" s="1"/>
      <c r="AH2400" s="1"/>
    </row>
    <row r="2401" spans="1:34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  <c r="AD2401" s="1"/>
      <c r="AE2401" s="1"/>
      <c r="AF2401" s="1"/>
      <c r="AG2401" s="1"/>
      <c r="AH2401" s="1"/>
    </row>
    <row r="2402" spans="1:34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  <c r="AB2402" s="1"/>
      <c r="AC2402" s="1"/>
      <c r="AD2402" s="1"/>
      <c r="AE2402" s="1"/>
      <c r="AF2402" s="1"/>
      <c r="AG2402" s="1"/>
      <c r="AH2402" s="1"/>
    </row>
    <row r="2403" spans="1:34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  <c r="AB2403" s="1"/>
      <c r="AC2403" s="1"/>
      <c r="AD2403" s="1"/>
      <c r="AE2403" s="1"/>
      <c r="AF2403" s="1"/>
      <c r="AG2403" s="1"/>
      <c r="AH2403" s="1"/>
    </row>
    <row r="2404" spans="1:34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  <c r="AB2404" s="1"/>
      <c r="AC2404" s="1"/>
      <c r="AD2404" s="1"/>
      <c r="AE2404" s="1"/>
      <c r="AF2404" s="1"/>
      <c r="AG2404" s="1"/>
      <c r="AH2404" s="1"/>
    </row>
    <row r="2405" spans="1:34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  <c r="AB2405" s="1"/>
      <c r="AC2405" s="1"/>
      <c r="AD2405" s="1"/>
      <c r="AE2405" s="1"/>
      <c r="AF2405" s="1"/>
      <c r="AG2405" s="1"/>
      <c r="AH2405" s="1"/>
    </row>
    <row r="2406" spans="1:34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  <c r="AB2406" s="1"/>
      <c r="AC2406" s="1"/>
      <c r="AD2406" s="1"/>
      <c r="AE2406" s="1"/>
      <c r="AF2406" s="1"/>
      <c r="AG2406" s="1"/>
      <c r="AH2406" s="1"/>
    </row>
    <row r="2407" spans="1:34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  <c r="AB2407" s="1"/>
      <c r="AC2407" s="1"/>
      <c r="AD2407" s="1"/>
      <c r="AE2407" s="1"/>
      <c r="AF2407" s="1"/>
      <c r="AG2407" s="1"/>
      <c r="AH2407" s="1"/>
    </row>
    <row r="2408" spans="1:34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  <c r="AB2408" s="1"/>
      <c r="AC2408" s="1"/>
      <c r="AD2408" s="1"/>
      <c r="AE2408" s="1"/>
      <c r="AF2408" s="1"/>
      <c r="AG2408" s="1"/>
      <c r="AH2408" s="1"/>
    </row>
    <row r="2409" spans="1:34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  <c r="AB2409" s="1"/>
      <c r="AC2409" s="1"/>
      <c r="AD2409" s="1"/>
      <c r="AE2409" s="1"/>
      <c r="AF2409" s="1"/>
      <c r="AG2409" s="1"/>
      <c r="AH2409" s="1"/>
    </row>
    <row r="2410" spans="1:34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  <c r="AB2410" s="1"/>
      <c r="AC2410" s="1"/>
      <c r="AD2410" s="1"/>
      <c r="AE2410" s="1"/>
      <c r="AF2410" s="1"/>
      <c r="AG2410" s="1"/>
      <c r="AH2410" s="1"/>
    </row>
    <row r="2411" spans="1:34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  <c r="AB2411" s="1"/>
      <c r="AC2411" s="1"/>
      <c r="AD2411" s="1"/>
      <c r="AE2411" s="1"/>
      <c r="AF2411" s="1"/>
      <c r="AG2411" s="1"/>
      <c r="AH2411" s="1"/>
    </row>
    <row r="2412" spans="1:34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  <c r="AB2412" s="1"/>
      <c r="AC2412" s="1"/>
      <c r="AD2412" s="1"/>
      <c r="AE2412" s="1"/>
      <c r="AF2412" s="1"/>
      <c r="AG2412" s="1"/>
      <c r="AH2412" s="1"/>
    </row>
    <row r="2413" spans="1:34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  <c r="AB2413" s="1"/>
      <c r="AC2413" s="1"/>
      <c r="AD2413" s="1"/>
      <c r="AE2413" s="1"/>
      <c r="AF2413" s="1"/>
      <c r="AG2413" s="1"/>
      <c r="AH2413" s="1"/>
    </row>
    <row r="2414" spans="1:34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  <c r="AB2414" s="1"/>
      <c r="AC2414" s="1"/>
      <c r="AD2414" s="1"/>
      <c r="AE2414" s="1"/>
      <c r="AF2414" s="1"/>
      <c r="AG2414" s="1"/>
      <c r="AH2414" s="1"/>
    </row>
    <row r="2415" spans="1:34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  <c r="AB2415" s="1"/>
      <c r="AC2415" s="1"/>
      <c r="AD2415" s="1"/>
      <c r="AE2415" s="1"/>
      <c r="AF2415" s="1"/>
      <c r="AG2415" s="1"/>
      <c r="AH2415" s="1"/>
    </row>
    <row r="2416" spans="1:34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  <c r="AB2416" s="1"/>
      <c r="AC2416" s="1"/>
      <c r="AD2416" s="1"/>
      <c r="AE2416" s="1"/>
      <c r="AF2416" s="1"/>
      <c r="AG2416" s="1"/>
      <c r="AH2416" s="1"/>
    </row>
    <row r="2417" spans="1:34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  <c r="AB2417" s="1"/>
      <c r="AC2417" s="1"/>
      <c r="AD2417" s="1"/>
      <c r="AE2417" s="1"/>
      <c r="AF2417" s="1"/>
      <c r="AG2417" s="1"/>
      <c r="AH2417" s="1"/>
    </row>
    <row r="2418" spans="1:34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  <c r="AB2418" s="1"/>
      <c r="AC2418" s="1"/>
      <c r="AD2418" s="1"/>
      <c r="AE2418" s="1"/>
      <c r="AF2418" s="1"/>
      <c r="AG2418" s="1"/>
      <c r="AH2418" s="1"/>
    </row>
    <row r="2419" spans="1:34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  <c r="AB2419" s="1"/>
      <c r="AC2419" s="1"/>
      <c r="AD2419" s="1"/>
      <c r="AE2419" s="1"/>
      <c r="AF2419" s="1"/>
      <c r="AG2419" s="1"/>
      <c r="AH2419" s="1"/>
    </row>
    <row r="2420" spans="1:34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  <c r="AB2420" s="1"/>
      <c r="AC2420" s="1"/>
      <c r="AD2420" s="1"/>
      <c r="AE2420" s="1"/>
      <c r="AF2420" s="1"/>
      <c r="AG2420" s="1"/>
      <c r="AH2420" s="1"/>
    </row>
    <row r="2421" spans="1:34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  <c r="AB2421" s="1"/>
      <c r="AC2421" s="1"/>
      <c r="AD2421" s="1"/>
      <c r="AE2421" s="1"/>
      <c r="AF2421" s="1"/>
      <c r="AG2421" s="1"/>
      <c r="AH2421" s="1"/>
    </row>
    <row r="2422" spans="1:34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  <c r="AB2422" s="1"/>
      <c r="AC2422" s="1"/>
      <c r="AD2422" s="1"/>
      <c r="AE2422" s="1"/>
      <c r="AF2422" s="1"/>
      <c r="AG2422" s="1"/>
      <c r="AH2422" s="1"/>
    </row>
    <row r="2423" spans="1:34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  <c r="AB2423" s="1"/>
      <c r="AC2423" s="1"/>
      <c r="AD2423" s="1"/>
      <c r="AE2423" s="1"/>
      <c r="AF2423" s="1"/>
      <c r="AG2423" s="1"/>
      <c r="AH2423" s="1"/>
    </row>
    <row r="2424" spans="1:34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  <c r="AB2424" s="1"/>
      <c r="AC2424" s="1"/>
      <c r="AD2424" s="1"/>
      <c r="AE2424" s="1"/>
      <c r="AF2424" s="1"/>
      <c r="AG2424" s="1"/>
      <c r="AH2424" s="1"/>
    </row>
    <row r="2425" spans="1:34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  <c r="AB2425" s="1"/>
      <c r="AC2425" s="1"/>
      <c r="AD2425" s="1"/>
      <c r="AE2425" s="1"/>
      <c r="AF2425" s="1"/>
      <c r="AG2425" s="1"/>
      <c r="AH2425" s="1"/>
    </row>
    <row r="2426" spans="1:34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  <c r="AB2426" s="1"/>
      <c r="AC2426" s="1"/>
      <c r="AD2426" s="1"/>
      <c r="AE2426" s="1"/>
      <c r="AF2426" s="1"/>
      <c r="AG2426" s="1"/>
      <c r="AH2426" s="1"/>
    </row>
    <row r="2427" spans="1:34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  <c r="AB2427" s="1"/>
      <c r="AC2427" s="1"/>
      <c r="AD2427" s="1"/>
      <c r="AE2427" s="1"/>
      <c r="AF2427" s="1"/>
      <c r="AG2427" s="1"/>
      <c r="AH2427" s="1"/>
    </row>
    <row r="2428" spans="1:34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  <c r="AB2428" s="1"/>
      <c r="AC2428" s="1"/>
      <c r="AD2428" s="1"/>
      <c r="AE2428" s="1"/>
      <c r="AF2428" s="1"/>
      <c r="AG2428" s="1"/>
      <c r="AH2428" s="1"/>
    </row>
    <row r="2429" spans="1:34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  <c r="AB2429" s="1"/>
      <c r="AC2429" s="1"/>
      <c r="AD2429" s="1"/>
      <c r="AE2429" s="1"/>
      <c r="AF2429" s="1"/>
      <c r="AG2429" s="1"/>
      <c r="AH2429" s="1"/>
    </row>
    <row r="2430" spans="1:34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  <c r="AB2430" s="1"/>
      <c r="AC2430" s="1"/>
      <c r="AD2430" s="1"/>
      <c r="AE2430" s="1"/>
      <c r="AF2430" s="1"/>
      <c r="AG2430" s="1"/>
      <c r="AH2430" s="1"/>
    </row>
    <row r="2431" spans="1:34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  <c r="AB2431" s="1"/>
      <c r="AC2431" s="1"/>
      <c r="AD2431" s="1"/>
      <c r="AE2431" s="1"/>
      <c r="AF2431" s="1"/>
      <c r="AG2431" s="1"/>
      <c r="AH2431" s="1"/>
    </row>
    <row r="2432" spans="1:34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  <c r="AB2432" s="1"/>
      <c r="AC2432" s="1"/>
      <c r="AD2432" s="1"/>
      <c r="AE2432" s="1"/>
      <c r="AF2432" s="1"/>
      <c r="AG2432" s="1"/>
      <c r="AH2432" s="1"/>
    </row>
    <row r="2433" spans="1:34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  <c r="AB2433" s="1"/>
      <c r="AC2433" s="1"/>
      <c r="AD2433" s="1"/>
      <c r="AE2433" s="1"/>
      <c r="AF2433" s="1"/>
      <c r="AG2433" s="1"/>
      <c r="AH2433" s="1"/>
    </row>
    <row r="2434" spans="1:34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  <c r="AB2434" s="1"/>
      <c r="AC2434" s="1"/>
      <c r="AD2434" s="1"/>
      <c r="AE2434" s="1"/>
      <c r="AF2434" s="1"/>
      <c r="AG2434" s="1"/>
      <c r="AH2434" s="1"/>
    </row>
    <row r="2435" spans="1:34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  <c r="AB2435" s="1"/>
      <c r="AC2435" s="1"/>
      <c r="AD2435" s="1"/>
      <c r="AE2435" s="1"/>
      <c r="AF2435" s="1"/>
      <c r="AG2435" s="1"/>
      <c r="AH2435" s="1"/>
    </row>
    <row r="2436" spans="1:34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  <c r="AB2436" s="1"/>
      <c r="AC2436" s="1"/>
      <c r="AD2436" s="1"/>
      <c r="AE2436" s="1"/>
      <c r="AF2436" s="1"/>
      <c r="AG2436" s="1"/>
      <c r="AH2436" s="1"/>
    </row>
    <row r="2437" spans="1:34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  <c r="AB2437" s="1"/>
      <c r="AC2437" s="1"/>
      <c r="AD2437" s="1"/>
      <c r="AE2437" s="1"/>
      <c r="AF2437" s="1"/>
      <c r="AG2437" s="1"/>
      <c r="AH2437" s="1"/>
    </row>
    <row r="2438" spans="1:34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  <c r="AB2438" s="1"/>
      <c r="AC2438" s="1"/>
      <c r="AD2438" s="1"/>
      <c r="AE2438" s="1"/>
      <c r="AF2438" s="1"/>
      <c r="AG2438" s="1"/>
      <c r="AH2438" s="1"/>
    </row>
    <row r="2439" spans="1:34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  <c r="AB2439" s="1"/>
      <c r="AC2439" s="1"/>
      <c r="AD2439" s="1"/>
      <c r="AE2439" s="1"/>
      <c r="AF2439" s="1"/>
      <c r="AG2439" s="1"/>
      <c r="AH2439" s="1"/>
    </row>
    <row r="2440" spans="1:34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  <c r="AB2440" s="1"/>
      <c r="AC2440" s="1"/>
      <c r="AD2440" s="1"/>
      <c r="AE2440" s="1"/>
      <c r="AF2440" s="1"/>
      <c r="AG2440" s="1"/>
      <c r="AH2440" s="1"/>
    </row>
    <row r="2441" spans="1:34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  <c r="AB2441" s="1"/>
      <c r="AC2441" s="1"/>
      <c r="AD2441" s="1"/>
      <c r="AE2441" s="1"/>
      <c r="AF2441" s="1"/>
      <c r="AG2441" s="1"/>
      <c r="AH2441" s="1"/>
    </row>
    <row r="2442" spans="1:34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  <c r="AB2442" s="1"/>
      <c r="AC2442" s="1"/>
      <c r="AD2442" s="1"/>
      <c r="AE2442" s="1"/>
      <c r="AF2442" s="1"/>
      <c r="AG2442" s="1"/>
      <c r="AH2442" s="1"/>
    </row>
    <row r="2443" spans="1:34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  <c r="AB2443" s="1"/>
      <c r="AC2443" s="1"/>
      <c r="AD2443" s="1"/>
      <c r="AE2443" s="1"/>
      <c r="AF2443" s="1"/>
      <c r="AG2443" s="1"/>
      <c r="AH2443" s="1"/>
    </row>
    <row r="2444" spans="1:34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  <c r="AB2444" s="1"/>
      <c r="AC2444" s="1"/>
      <c r="AD2444" s="1"/>
      <c r="AE2444" s="1"/>
      <c r="AF2444" s="1"/>
      <c r="AG2444" s="1"/>
      <c r="AH2444" s="1"/>
    </row>
    <row r="2445" spans="1:34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  <c r="AB2445" s="1"/>
      <c r="AC2445" s="1"/>
      <c r="AD2445" s="1"/>
      <c r="AE2445" s="1"/>
      <c r="AF2445" s="1"/>
      <c r="AG2445" s="1"/>
      <c r="AH2445" s="1"/>
    </row>
    <row r="2446" spans="1:34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  <c r="AB2446" s="1"/>
      <c r="AC2446" s="1"/>
      <c r="AD2446" s="1"/>
      <c r="AE2446" s="1"/>
      <c r="AF2446" s="1"/>
      <c r="AG2446" s="1"/>
      <c r="AH2446" s="1"/>
    </row>
    <row r="2447" spans="1:34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  <c r="AB2447" s="1"/>
      <c r="AC2447" s="1"/>
      <c r="AD2447" s="1"/>
      <c r="AE2447" s="1"/>
      <c r="AF2447" s="1"/>
      <c r="AG2447" s="1"/>
      <c r="AH2447" s="1"/>
    </row>
    <row r="2448" spans="1:34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  <c r="AB2448" s="1"/>
      <c r="AC2448" s="1"/>
      <c r="AD2448" s="1"/>
      <c r="AE2448" s="1"/>
      <c r="AF2448" s="1"/>
      <c r="AG2448" s="1"/>
      <c r="AH2448" s="1"/>
    </row>
    <row r="2449" spans="1:34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  <c r="AB2449" s="1"/>
      <c r="AC2449" s="1"/>
      <c r="AD2449" s="1"/>
      <c r="AE2449" s="1"/>
      <c r="AF2449" s="1"/>
      <c r="AG2449" s="1"/>
      <c r="AH2449" s="1"/>
    </row>
    <row r="2450" spans="1:34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  <c r="AB2450" s="1"/>
      <c r="AC2450" s="1"/>
      <c r="AD2450" s="1"/>
      <c r="AE2450" s="1"/>
      <c r="AF2450" s="1"/>
      <c r="AG2450" s="1"/>
      <c r="AH2450" s="1"/>
    </row>
    <row r="2451" spans="1:34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  <c r="AB2451" s="1"/>
      <c r="AC2451" s="1"/>
      <c r="AD2451" s="1"/>
      <c r="AE2451" s="1"/>
      <c r="AF2451" s="1"/>
      <c r="AG2451" s="1"/>
      <c r="AH2451" s="1"/>
    </row>
    <row r="2452" spans="1:34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  <c r="AB2452" s="1"/>
      <c r="AC2452" s="1"/>
      <c r="AD2452" s="1"/>
      <c r="AE2452" s="1"/>
      <c r="AF2452" s="1"/>
      <c r="AG2452" s="1"/>
      <c r="AH2452" s="1"/>
    </row>
    <row r="2453" spans="1:34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  <c r="AB2453" s="1"/>
      <c r="AC2453" s="1"/>
      <c r="AD2453" s="1"/>
      <c r="AE2453" s="1"/>
      <c r="AF2453" s="1"/>
      <c r="AG2453" s="1"/>
      <c r="AH2453" s="1"/>
    </row>
    <row r="2454" spans="1:34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  <c r="AB2454" s="1"/>
      <c r="AC2454" s="1"/>
      <c r="AD2454" s="1"/>
      <c r="AE2454" s="1"/>
      <c r="AF2454" s="1"/>
      <c r="AG2454" s="1"/>
      <c r="AH2454" s="1"/>
    </row>
    <row r="2455" spans="1:34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  <c r="AB2455" s="1"/>
      <c r="AC2455" s="1"/>
      <c r="AD2455" s="1"/>
      <c r="AE2455" s="1"/>
      <c r="AF2455" s="1"/>
      <c r="AG2455" s="1"/>
      <c r="AH2455" s="1"/>
    </row>
    <row r="2456" spans="1:34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  <c r="AB2456" s="1"/>
      <c r="AC2456" s="1"/>
      <c r="AD2456" s="1"/>
      <c r="AE2456" s="1"/>
      <c r="AF2456" s="1"/>
      <c r="AG2456" s="1"/>
      <c r="AH2456" s="1"/>
    </row>
    <row r="2457" spans="1:34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  <c r="AB2457" s="1"/>
      <c r="AC2457" s="1"/>
      <c r="AD2457" s="1"/>
      <c r="AE2457" s="1"/>
      <c r="AF2457" s="1"/>
      <c r="AG2457" s="1"/>
      <c r="AH2457" s="1"/>
    </row>
    <row r="2458" spans="1:34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  <c r="AB2458" s="1"/>
      <c r="AC2458" s="1"/>
      <c r="AD2458" s="1"/>
      <c r="AE2458" s="1"/>
      <c r="AF2458" s="1"/>
      <c r="AG2458" s="1"/>
      <c r="AH2458" s="1"/>
    </row>
    <row r="2459" spans="1:34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  <c r="AB2459" s="1"/>
      <c r="AC2459" s="1"/>
      <c r="AD2459" s="1"/>
      <c r="AE2459" s="1"/>
      <c r="AF2459" s="1"/>
      <c r="AG2459" s="1"/>
      <c r="AH2459" s="1"/>
    </row>
    <row r="2460" spans="1:34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  <c r="AB2460" s="1"/>
      <c r="AC2460" s="1"/>
      <c r="AD2460" s="1"/>
      <c r="AE2460" s="1"/>
      <c r="AF2460" s="1"/>
      <c r="AG2460" s="1"/>
      <c r="AH2460" s="1"/>
    </row>
    <row r="2461" spans="1:34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  <c r="AB2461" s="1"/>
      <c r="AC2461" s="1"/>
      <c r="AD2461" s="1"/>
      <c r="AE2461" s="1"/>
      <c r="AF2461" s="1"/>
      <c r="AG2461" s="1"/>
      <c r="AH2461" s="1"/>
    </row>
    <row r="2462" spans="1:34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  <c r="AB2462" s="1"/>
      <c r="AC2462" s="1"/>
      <c r="AD2462" s="1"/>
      <c r="AE2462" s="1"/>
      <c r="AF2462" s="1"/>
      <c r="AG2462" s="1"/>
      <c r="AH2462" s="1"/>
    </row>
    <row r="2463" spans="1:34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  <c r="AB2463" s="1"/>
      <c r="AC2463" s="1"/>
      <c r="AD2463" s="1"/>
      <c r="AE2463" s="1"/>
      <c r="AF2463" s="1"/>
      <c r="AG2463" s="1"/>
      <c r="AH2463" s="1"/>
    </row>
    <row r="2464" spans="1:34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  <c r="AB2464" s="1"/>
      <c r="AC2464" s="1"/>
      <c r="AD2464" s="1"/>
      <c r="AE2464" s="1"/>
      <c r="AF2464" s="1"/>
      <c r="AG2464" s="1"/>
      <c r="AH2464" s="1"/>
    </row>
    <row r="2465" spans="1:34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  <c r="AB2465" s="1"/>
      <c r="AC2465" s="1"/>
      <c r="AD2465" s="1"/>
      <c r="AE2465" s="1"/>
      <c r="AF2465" s="1"/>
      <c r="AG2465" s="1"/>
      <c r="AH2465" s="1"/>
    </row>
    <row r="2466" spans="1:34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  <c r="AB2466" s="1"/>
      <c r="AC2466" s="1"/>
      <c r="AD2466" s="1"/>
      <c r="AE2466" s="1"/>
      <c r="AF2466" s="1"/>
      <c r="AG2466" s="1"/>
      <c r="AH2466" s="1"/>
    </row>
    <row r="2467" spans="1:34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  <c r="AB2467" s="1"/>
      <c r="AC2467" s="1"/>
      <c r="AD2467" s="1"/>
      <c r="AE2467" s="1"/>
      <c r="AF2467" s="1"/>
      <c r="AG2467" s="1"/>
      <c r="AH2467" s="1"/>
    </row>
    <row r="2468" spans="1:34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  <c r="AB2468" s="1"/>
      <c r="AC2468" s="1"/>
      <c r="AD2468" s="1"/>
      <c r="AE2468" s="1"/>
      <c r="AF2468" s="1"/>
      <c r="AG2468" s="1"/>
      <c r="AH2468" s="1"/>
    </row>
    <row r="2469" spans="1:34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  <c r="AB2469" s="1"/>
      <c r="AC2469" s="1"/>
      <c r="AD2469" s="1"/>
      <c r="AE2469" s="1"/>
      <c r="AF2469" s="1"/>
      <c r="AG2469" s="1"/>
      <c r="AH2469" s="1"/>
    </row>
    <row r="2470" spans="1:34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  <c r="AB2470" s="1"/>
      <c r="AC2470" s="1"/>
      <c r="AD2470" s="1"/>
      <c r="AE2470" s="1"/>
      <c r="AF2470" s="1"/>
      <c r="AG2470" s="1"/>
      <c r="AH2470" s="1"/>
    </row>
    <row r="2471" spans="1:34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  <c r="AB2471" s="1"/>
      <c r="AC2471" s="1"/>
      <c r="AD2471" s="1"/>
      <c r="AE2471" s="1"/>
      <c r="AF2471" s="1"/>
      <c r="AG2471" s="1"/>
      <c r="AH2471" s="1"/>
    </row>
    <row r="2472" spans="1:34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  <c r="AB2472" s="1"/>
      <c r="AC2472" s="1"/>
      <c r="AD2472" s="1"/>
      <c r="AE2472" s="1"/>
      <c r="AF2472" s="1"/>
      <c r="AG2472" s="1"/>
      <c r="AH2472" s="1"/>
    </row>
    <row r="2473" spans="1:34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  <c r="AB2473" s="1"/>
      <c r="AC2473" s="1"/>
      <c r="AD2473" s="1"/>
      <c r="AE2473" s="1"/>
      <c r="AF2473" s="1"/>
      <c r="AG2473" s="1"/>
      <c r="AH2473" s="1"/>
    </row>
    <row r="2474" spans="1:34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  <c r="AB2474" s="1"/>
      <c r="AC2474" s="1"/>
      <c r="AD2474" s="1"/>
      <c r="AE2474" s="1"/>
      <c r="AF2474" s="1"/>
      <c r="AG2474" s="1"/>
      <c r="AH2474" s="1"/>
    </row>
    <row r="2475" spans="1:34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  <c r="AB2475" s="1"/>
      <c r="AC2475" s="1"/>
      <c r="AD2475" s="1"/>
      <c r="AE2475" s="1"/>
      <c r="AF2475" s="1"/>
      <c r="AG2475" s="1"/>
      <c r="AH2475" s="1"/>
    </row>
    <row r="2476" spans="1:34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  <c r="AB2476" s="1"/>
      <c r="AC2476" s="1"/>
      <c r="AD2476" s="1"/>
      <c r="AE2476" s="1"/>
      <c r="AF2476" s="1"/>
      <c r="AG2476" s="1"/>
      <c r="AH2476" s="1"/>
    </row>
    <row r="2477" spans="1:34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  <c r="AB2477" s="1"/>
      <c r="AC2477" s="1"/>
      <c r="AD2477" s="1"/>
      <c r="AE2477" s="1"/>
      <c r="AF2477" s="1"/>
      <c r="AG2477" s="1"/>
      <c r="AH2477" s="1"/>
    </row>
    <row r="2478" spans="1:34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  <c r="AB2478" s="1"/>
      <c r="AC2478" s="1"/>
      <c r="AD2478" s="1"/>
      <c r="AE2478" s="1"/>
      <c r="AF2478" s="1"/>
      <c r="AG2478" s="1"/>
      <c r="AH2478" s="1"/>
    </row>
    <row r="2479" spans="1:34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  <c r="AB2479" s="1"/>
      <c r="AC2479" s="1"/>
      <c r="AD2479" s="1"/>
      <c r="AE2479" s="1"/>
      <c r="AF2479" s="1"/>
      <c r="AG2479" s="1"/>
      <c r="AH2479" s="1"/>
    </row>
    <row r="2480" spans="1:34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  <c r="AB2480" s="1"/>
      <c r="AC2480" s="1"/>
      <c r="AD2480" s="1"/>
      <c r="AE2480" s="1"/>
      <c r="AF2480" s="1"/>
      <c r="AG2480" s="1"/>
      <c r="AH2480" s="1"/>
    </row>
    <row r="2481" spans="1:34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  <c r="AB2481" s="1"/>
      <c r="AC2481" s="1"/>
      <c r="AD2481" s="1"/>
      <c r="AE2481" s="1"/>
      <c r="AF2481" s="1"/>
      <c r="AG2481" s="1"/>
      <c r="AH2481" s="1"/>
    </row>
    <row r="2482" spans="1:34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  <c r="AB2482" s="1"/>
      <c r="AC2482" s="1"/>
      <c r="AD2482" s="1"/>
      <c r="AE2482" s="1"/>
      <c r="AF2482" s="1"/>
      <c r="AG2482" s="1"/>
      <c r="AH2482" s="1"/>
    </row>
    <row r="2483" spans="1:34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  <c r="AB2483" s="1"/>
      <c r="AC2483" s="1"/>
      <c r="AD2483" s="1"/>
      <c r="AE2483" s="1"/>
      <c r="AF2483" s="1"/>
      <c r="AG2483" s="1"/>
      <c r="AH2483" s="1"/>
    </row>
    <row r="2484" spans="1:34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  <c r="AB2484" s="1"/>
      <c r="AC2484" s="1"/>
      <c r="AD2484" s="1"/>
      <c r="AE2484" s="1"/>
      <c r="AF2484" s="1"/>
      <c r="AG2484" s="1"/>
      <c r="AH2484" s="1"/>
    </row>
    <row r="2485" spans="1:34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  <c r="AB2485" s="1"/>
      <c r="AC2485" s="1"/>
      <c r="AD2485" s="1"/>
      <c r="AE2485" s="1"/>
      <c r="AF2485" s="1"/>
      <c r="AG2485" s="1"/>
      <c r="AH2485" s="1"/>
    </row>
    <row r="2486" spans="1:34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  <c r="AB2486" s="1"/>
      <c r="AC2486" s="1"/>
      <c r="AD2486" s="1"/>
      <c r="AE2486" s="1"/>
      <c r="AF2486" s="1"/>
      <c r="AG2486" s="1"/>
      <c r="AH2486" s="1"/>
    </row>
    <row r="2487" spans="1:34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  <c r="AB2487" s="1"/>
      <c r="AC2487" s="1"/>
      <c r="AD2487" s="1"/>
      <c r="AE2487" s="1"/>
      <c r="AF2487" s="1"/>
      <c r="AG2487" s="1"/>
      <c r="AH2487" s="1"/>
    </row>
    <row r="2488" spans="1:34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  <c r="AB2488" s="1"/>
      <c r="AC2488" s="1"/>
      <c r="AD2488" s="1"/>
      <c r="AE2488" s="1"/>
      <c r="AF2488" s="1"/>
      <c r="AG2488" s="1"/>
      <c r="AH2488" s="1"/>
    </row>
    <row r="2489" spans="1:34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  <c r="AB2489" s="1"/>
      <c r="AC2489" s="1"/>
      <c r="AD2489" s="1"/>
      <c r="AE2489" s="1"/>
      <c r="AF2489" s="1"/>
      <c r="AG2489" s="1"/>
      <c r="AH2489" s="1"/>
    </row>
    <row r="2490" spans="1:34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  <c r="AB2490" s="1"/>
      <c r="AC2490" s="1"/>
      <c r="AD2490" s="1"/>
      <c r="AE2490" s="1"/>
      <c r="AF2490" s="1"/>
      <c r="AG2490" s="1"/>
      <c r="AH2490" s="1"/>
    </row>
    <row r="2491" spans="1:34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  <c r="AB2491" s="1"/>
      <c r="AC2491" s="1"/>
      <c r="AD2491" s="1"/>
      <c r="AE2491" s="1"/>
      <c r="AF2491" s="1"/>
      <c r="AG2491" s="1"/>
      <c r="AH2491" s="1"/>
    </row>
    <row r="2492" spans="1:34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  <c r="AB2492" s="1"/>
      <c r="AC2492" s="1"/>
      <c r="AD2492" s="1"/>
      <c r="AE2492" s="1"/>
      <c r="AF2492" s="1"/>
      <c r="AG2492" s="1"/>
      <c r="AH2492" s="1"/>
    </row>
    <row r="2493" spans="1:34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  <c r="AB2493" s="1"/>
      <c r="AC2493" s="1"/>
      <c r="AD2493" s="1"/>
      <c r="AE2493" s="1"/>
      <c r="AF2493" s="1"/>
      <c r="AG2493" s="1"/>
      <c r="AH2493" s="1"/>
    </row>
    <row r="2494" spans="1:34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  <c r="AB2494" s="1"/>
      <c r="AC2494" s="1"/>
      <c r="AD2494" s="1"/>
      <c r="AE2494" s="1"/>
      <c r="AF2494" s="1"/>
      <c r="AG2494" s="1"/>
      <c r="AH2494" s="1"/>
    </row>
    <row r="2495" spans="1:34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  <c r="AB2495" s="1"/>
      <c r="AC2495" s="1"/>
      <c r="AD2495" s="1"/>
      <c r="AE2495" s="1"/>
      <c r="AF2495" s="1"/>
      <c r="AG2495" s="1"/>
      <c r="AH2495" s="1"/>
    </row>
    <row r="2496" spans="1:34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  <c r="AB2496" s="1"/>
      <c r="AC2496" s="1"/>
      <c r="AD2496" s="1"/>
      <c r="AE2496" s="1"/>
      <c r="AF2496" s="1"/>
      <c r="AG2496" s="1"/>
      <c r="AH2496" s="1"/>
    </row>
    <row r="2497" spans="1:34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  <c r="AB2497" s="1"/>
      <c r="AC2497" s="1"/>
      <c r="AD2497" s="1"/>
      <c r="AE2497" s="1"/>
      <c r="AF2497" s="1"/>
      <c r="AG2497" s="1"/>
      <c r="AH2497" s="1"/>
    </row>
    <row r="2498" spans="1:34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  <c r="AB2498" s="1"/>
      <c r="AC2498" s="1"/>
      <c r="AD2498" s="1"/>
      <c r="AE2498" s="1"/>
      <c r="AF2498" s="1"/>
      <c r="AG2498" s="1"/>
      <c r="AH2498" s="1"/>
    </row>
    <row r="2499" spans="1:34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  <c r="AB2499" s="1"/>
      <c r="AC2499" s="1"/>
      <c r="AD2499" s="1"/>
      <c r="AE2499" s="1"/>
      <c r="AF2499" s="1"/>
      <c r="AG2499" s="1"/>
      <c r="AH2499" s="1"/>
    </row>
    <row r="2500" spans="1:34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  <c r="AB2500" s="1"/>
      <c r="AC2500" s="1"/>
      <c r="AD2500" s="1"/>
      <c r="AE2500" s="1"/>
      <c r="AF2500" s="1"/>
      <c r="AG2500" s="1"/>
      <c r="AH2500" s="1"/>
    </row>
    <row r="2501" spans="1:34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  <c r="AB2501" s="1"/>
      <c r="AC2501" s="1"/>
      <c r="AD2501" s="1"/>
      <c r="AE2501" s="1"/>
      <c r="AF2501" s="1"/>
      <c r="AG2501" s="1"/>
      <c r="AH2501" s="1"/>
    </row>
    <row r="2502" spans="1:34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  <c r="AB2502" s="1"/>
      <c r="AC2502" s="1"/>
      <c r="AD2502" s="1"/>
      <c r="AE2502" s="1"/>
      <c r="AF2502" s="1"/>
      <c r="AG2502" s="1"/>
      <c r="AH2502" s="1"/>
    </row>
    <row r="2503" spans="1:34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  <c r="AB2503" s="1"/>
      <c r="AC2503" s="1"/>
      <c r="AD2503" s="1"/>
      <c r="AE2503" s="1"/>
      <c r="AF2503" s="1"/>
      <c r="AG2503" s="1"/>
      <c r="AH2503" s="1"/>
    </row>
    <row r="2504" spans="1:34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  <c r="AB2504" s="1"/>
      <c r="AC2504" s="1"/>
      <c r="AD2504" s="1"/>
      <c r="AE2504" s="1"/>
      <c r="AF2504" s="1"/>
      <c r="AG2504" s="1"/>
      <c r="AH2504" s="1"/>
    </row>
    <row r="2505" spans="1:34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  <c r="AB2505" s="1"/>
      <c r="AC2505" s="1"/>
      <c r="AD2505" s="1"/>
      <c r="AE2505" s="1"/>
      <c r="AF2505" s="1"/>
      <c r="AG2505" s="1"/>
      <c r="AH2505" s="1"/>
    </row>
    <row r="2506" spans="1:34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  <c r="AB2506" s="1"/>
      <c r="AC2506" s="1"/>
      <c r="AD2506" s="1"/>
      <c r="AE2506" s="1"/>
      <c r="AF2506" s="1"/>
      <c r="AG2506" s="1"/>
      <c r="AH2506" s="1"/>
    </row>
    <row r="2507" spans="1:34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  <c r="AB2507" s="1"/>
      <c r="AC2507" s="1"/>
      <c r="AD2507" s="1"/>
      <c r="AE2507" s="1"/>
      <c r="AF2507" s="1"/>
      <c r="AG2507" s="1"/>
      <c r="AH2507" s="1"/>
    </row>
    <row r="2508" spans="1:34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  <c r="AB2508" s="1"/>
      <c r="AC2508" s="1"/>
      <c r="AD2508" s="1"/>
      <c r="AE2508" s="1"/>
      <c r="AF2508" s="1"/>
      <c r="AG2508" s="1"/>
      <c r="AH2508" s="1"/>
    </row>
    <row r="2509" spans="1:34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  <c r="AB2509" s="1"/>
      <c r="AC2509" s="1"/>
      <c r="AD2509" s="1"/>
      <c r="AE2509" s="1"/>
      <c r="AF2509" s="1"/>
      <c r="AG2509" s="1"/>
      <c r="AH2509" s="1"/>
    </row>
    <row r="2510" spans="1:34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  <c r="AB2510" s="1"/>
      <c r="AC2510" s="1"/>
      <c r="AD2510" s="1"/>
      <c r="AE2510" s="1"/>
      <c r="AF2510" s="1"/>
      <c r="AG2510" s="1"/>
      <c r="AH2510" s="1"/>
    </row>
    <row r="2511" spans="1:34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  <c r="AB2511" s="1"/>
      <c r="AC2511" s="1"/>
      <c r="AD2511" s="1"/>
      <c r="AE2511" s="1"/>
      <c r="AF2511" s="1"/>
      <c r="AG2511" s="1"/>
      <c r="AH2511" s="1"/>
    </row>
    <row r="2512" spans="1:34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  <c r="AB2512" s="1"/>
      <c r="AC2512" s="1"/>
      <c r="AD2512" s="1"/>
      <c r="AE2512" s="1"/>
      <c r="AF2512" s="1"/>
      <c r="AG2512" s="1"/>
      <c r="AH2512" s="1"/>
    </row>
    <row r="2513" spans="1:34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  <c r="AB2513" s="1"/>
      <c r="AC2513" s="1"/>
      <c r="AD2513" s="1"/>
      <c r="AE2513" s="1"/>
      <c r="AF2513" s="1"/>
      <c r="AG2513" s="1"/>
      <c r="AH2513" s="1"/>
    </row>
    <row r="2514" spans="1:34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  <c r="AB2514" s="1"/>
      <c r="AC2514" s="1"/>
      <c r="AD2514" s="1"/>
      <c r="AE2514" s="1"/>
      <c r="AF2514" s="1"/>
      <c r="AG2514" s="1"/>
      <c r="AH2514" s="1"/>
    </row>
    <row r="2515" spans="1:34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  <c r="AB2515" s="1"/>
      <c r="AC2515" s="1"/>
      <c r="AD2515" s="1"/>
      <c r="AE2515" s="1"/>
      <c r="AF2515" s="1"/>
      <c r="AG2515" s="1"/>
      <c r="AH2515" s="1"/>
    </row>
    <row r="2516" spans="1:34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  <c r="AB2516" s="1"/>
      <c r="AC2516" s="1"/>
      <c r="AD2516" s="1"/>
      <c r="AE2516" s="1"/>
      <c r="AF2516" s="1"/>
      <c r="AG2516" s="1"/>
      <c r="AH2516" s="1"/>
    </row>
    <row r="2517" spans="1:34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  <c r="AB2517" s="1"/>
      <c r="AC2517" s="1"/>
      <c r="AD2517" s="1"/>
      <c r="AE2517" s="1"/>
      <c r="AF2517" s="1"/>
      <c r="AG2517" s="1"/>
      <c r="AH2517" s="1"/>
    </row>
    <row r="2518" spans="1:34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  <c r="AB2518" s="1"/>
      <c r="AC2518" s="1"/>
      <c r="AD2518" s="1"/>
      <c r="AE2518" s="1"/>
      <c r="AF2518" s="1"/>
      <c r="AG2518" s="1"/>
      <c r="AH2518" s="1"/>
    </row>
    <row r="2519" spans="1:34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  <c r="AB2519" s="1"/>
      <c r="AC2519" s="1"/>
      <c r="AD2519" s="1"/>
      <c r="AE2519" s="1"/>
      <c r="AF2519" s="1"/>
      <c r="AG2519" s="1"/>
      <c r="AH2519" s="1"/>
    </row>
    <row r="2520" spans="1:34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  <c r="AB2520" s="1"/>
      <c r="AC2520" s="1"/>
      <c r="AD2520" s="1"/>
      <c r="AE2520" s="1"/>
      <c r="AF2520" s="1"/>
      <c r="AG2520" s="1"/>
      <c r="AH2520" s="1"/>
    </row>
    <row r="2521" spans="1:34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  <c r="AB2521" s="1"/>
      <c r="AC2521" s="1"/>
      <c r="AD2521" s="1"/>
      <c r="AE2521" s="1"/>
      <c r="AF2521" s="1"/>
      <c r="AG2521" s="1"/>
      <c r="AH2521" s="1"/>
    </row>
    <row r="2522" spans="1:34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  <c r="AB2522" s="1"/>
      <c r="AC2522" s="1"/>
      <c r="AD2522" s="1"/>
      <c r="AE2522" s="1"/>
      <c r="AF2522" s="1"/>
      <c r="AG2522" s="1"/>
      <c r="AH2522" s="1"/>
    </row>
    <row r="2523" spans="1:34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  <c r="AB2523" s="1"/>
      <c r="AC2523" s="1"/>
      <c r="AD2523" s="1"/>
      <c r="AE2523" s="1"/>
      <c r="AF2523" s="1"/>
      <c r="AG2523" s="1"/>
      <c r="AH2523" s="1"/>
    </row>
    <row r="2524" spans="1:34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  <c r="AB2524" s="1"/>
      <c r="AC2524" s="1"/>
      <c r="AD2524" s="1"/>
      <c r="AE2524" s="1"/>
      <c r="AF2524" s="1"/>
      <c r="AG2524" s="1"/>
      <c r="AH2524" s="1"/>
    </row>
    <row r="2525" spans="1:34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  <c r="AB2525" s="1"/>
      <c r="AC2525" s="1"/>
      <c r="AD2525" s="1"/>
      <c r="AE2525" s="1"/>
      <c r="AF2525" s="1"/>
      <c r="AG2525" s="1"/>
      <c r="AH2525" s="1"/>
    </row>
    <row r="2526" spans="1:34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  <c r="AB2526" s="1"/>
      <c r="AC2526" s="1"/>
      <c r="AD2526" s="1"/>
      <c r="AE2526" s="1"/>
      <c r="AF2526" s="1"/>
      <c r="AG2526" s="1"/>
      <c r="AH2526" s="1"/>
    </row>
    <row r="2527" spans="1:34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  <c r="AB2527" s="1"/>
      <c r="AC2527" s="1"/>
      <c r="AD2527" s="1"/>
      <c r="AE2527" s="1"/>
      <c r="AF2527" s="1"/>
      <c r="AG2527" s="1"/>
      <c r="AH2527" s="1"/>
    </row>
    <row r="2528" spans="1:34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  <c r="AB2528" s="1"/>
      <c r="AC2528" s="1"/>
      <c r="AD2528" s="1"/>
      <c r="AE2528" s="1"/>
      <c r="AF2528" s="1"/>
      <c r="AG2528" s="1"/>
      <c r="AH2528" s="1"/>
    </row>
    <row r="2529" spans="1:34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  <c r="AB2529" s="1"/>
      <c r="AC2529" s="1"/>
      <c r="AD2529" s="1"/>
      <c r="AE2529" s="1"/>
      <c r="AF2529" s="1"/>
      <c r="AG2529" s="1"/>
      <c r="AH2529" s="1"/>
    </row>
    <row r="2530" spans="1:34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  <c r="AB2530" s="1"/>
      <c r="AC2530" s="1"/>
      <c r="AD2530" s="1"/>
      <c r="AE2530" s="1"/>
      <c r="AF2530" s="1"/>
      <c r="AG2530" s="1"/>
      <c r="AH2530" s="1"/>
    </row>
    <row r="2531" spans="1:34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  <c r="AB2531" s="1"/>
      <c r="AC2531" s="1"/>
      <c r="AD2531" s="1"/>
      <c r="AE2531" s="1"/>
      <c r="AF2531" s="1"/>
      <c r="AG2531" s="1"/>
      <c r="AH2531" s="1"/>
    </row>
    <row r="2532" spans="1:34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  <c r="AB2532" s="1"/>
      <c r="AC2532" s="1"/>
      <c r="AD2532" s="1"/>
      <c r="AE2532" s="1"/>
      <c r="AF2532" s="1"/>
      <c r="AG2532" s="1"/>
      <c r="AH2532" s="1"/>
    </row>
    <row r="2533" spans="1:34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  <c r="AB2533" s="1"/>
      <c r="AC2533" s="1"/>
      <c r="AD2533" s="1"/>
      <c r="AE2533" s="1"/>
      <c r="AF2533" s="1"/>
      <c r="AG2533" s="1"/>
      <c r="AH2533" s="1"/>
    </row>
    <row r="2534" spans="1:34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  <c r="AB2534" s="1"/>
      <c r="AC2534" s="1"/>
      <c r="AD2534" s="1"/>
      <c r="AE2534" s="1"/>
      <c r="AF2534" s="1"/>
      <c r="AG2534" s="1"/>
      <c r="AH2534" s="1"/>
    </row>
    <row r="2535" spans="1:34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  <c r="AB2535" s="1"/>
      <c r="AC2535" s="1"/>
      <c r="AD2535" s="1"/>
      <c r="AE2535" s="1"/>
      <c r="AF2535" s="1"/>
      <c r="AG2535" s="1"/>
      <c r="AH2535" s="1"/>
    </row>
    <row r="2536" spans="1:34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  <c r="AB2536" s="1"/>
      <c r="AC2536" s="1"/>
      <c r="AD2536" s="1"/>
      <c r="AE2536" s="1"/>
      <c r="AF2536" s="1"/>
      <c r="AG2536" s="1"/>
      <c r="AH2536" s="1"/>
    </row>
    <row r="2537" spans="1:34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  <c r="AB2537" s="1"/>
      <c r="AC2537" s="1"/>
      <c r="AD2537" s="1"/>
      <c r="AE2537" s="1"/>
      <c r="AF2537" s="1"/>
      <c r="AG2537" s="1"/>
      <c r="AH2537" s="1"/>
    </row>
    <row r="2538" spans="1:34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  <c r="AB2538" s="1"/>
      <c r="AC2538" s="1"/>
      <c r="AD2538" s="1"/>
      <c r="AE2538" s="1"/>
      <c r="AF2538" s="1"/>
      <c r="AG2538" s="1"/>
      <c r="AH2538" s="1"/>
    </row>
    <row r="2539" spans="1:34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  <c r="AB2539" s="1"/>
      <c r="AC2539" s="1"/>
      <c r="AD2539" s="1"/>
      <c r="AE2539" s="1"/>
      <c r="AF2539" s="1"/>
      <c r="AG2539" s="1"/>
      <c r="AH2539" s="1"/>
    </row>
    <row r="2540" spans="1:34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  <c r="AB2540" s="1"/>
      <c r="AC2540" s="1"/>
      <c r="AD2540" s="1"/>
      <c r="AE2540" s="1"/>
      <c r="AF2540" s="1"/>
      <c r="AG2540" s="1"/>
      <c r="AH2540" s="1"/>
    </row>
    <row r="2541" spans="1:34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  <c r="AB2541" s="1"/>
      <c r="AC2541" s="1"/>
      <c r="AD2541" s="1"/>
      <c r="AE2541" s="1"/>
      <c r="AF2541" s="1"/>
      <c r="AG2541" s="1"/>
      <c r="AH2541" s="1"/>
    </row>
    <row r="2542" spans="1:34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  <c r="AB2542" s="1"/>
      <c r="AC2542" s="1"/>
      <c r="AD2542" s="1"/>
      <c r="AE2542" s="1"/>
      <c r="AF2542" s="1"/>
      <c r="AG2542" s="1"/>
      <c r="AH2542" s="1"/>
    </row>
    <row r="2543" spans="1:34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  <c r="AB2543" s="1"/>
      <c r="AC2543" s="1"/>
      <c r="AD2543" s="1"/>
      <c r="AE2543" s="1"/>
      <c r="AF2543" s="1"/>
      <c r="AG2543" s="1"/>
      <c r="AH2543" s="1"/>
    </row>
    <row r="2544" spans="1:34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  <c r="AB2544" s="1"/>
      <c r="AC2544" s="1"/>
      <c r="AD2544" s="1"/>
      <c r="AE2544" s="1"/>
      <c r="AF2544" s="1"/>
      <c r="AG2544" s="1"/>
      <c r="AH2544" s="1"/>
    </row>
    <row r="2545" spans="1:34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  <c r="AB2545" s="1"/>
      <c r="AC2545" s="1"/>
      <c r="AD2545" s="1"/>
      <c r="AE2545" s="1"/>
      <c r="AF2545" s="1"/>
      <c r="AG2545" s="1"/>
      <c r="AH2545" s="1"/>
    </row>
    <row r="2546" spans="1:34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  <c r="AB2546" s="1"/>
      <c r="AC2546" s="1"/>
      <c r="AD2546" s="1"/>
      <c r="AE2546" s="1"/>
      <c r="AF2546" s="1"/>
      <c r="AG2546" s="1"/>
      <c r="AH2546" s="1"/>
    </row>
    <row r="2547" spans="1:34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  <c r="AB2547" s="1"/>
      <c r="AC2547" s="1"/>
      <c r="AD2547" s="1"/>
      <c r="AE2547" s="1"/>
      <c r="AF2547" s="1"/>
      <c r="AG2547" s="1"/>
      <c r="AH2547" s="1"/>
    </row>
    <row r="2548" spans="1:34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  <c r="AB2548" s="1"/>
      <c r="AC2548" s="1"/>
      <c r="AD2548" s="1"/>
      <c r="AE2548" s="1"/>
      <c r="AF2548" s="1"/>
      <c r="AG2548" s="1"/>
      <c r="AH2548" s="1"/>
    </row>
    <row r="2549" spans="1:34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  <c r="AB2549" s="1"/>
      <c r="AC2549" s="1"/>
      <c r="AD2549" s="1"/>
      <c r="AE2549" s="1"/>
      <c r="AF2549" s="1"/>
      <c r="AG2549" s="1"/>
      <c r="AH2549" s="1"/>
    </row>
    <row r="2550" spans="1:34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  <c r="AB2550" s="1"/>
      <c r="AC2550" s="1"/>
      <c r="AD2550" s="1"/>
      <c r="AE2550" s="1"/>
      <c r="AF2550" s="1"/>
      <c r="AG2550" s="1"/>
      <c r="AH2550" s="1"/>
    </row>
    <row r="2551" spans="1:34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  <c r="AB2551" s="1"/>
      <c r="AC2551" s="1"/>
      <c r="AD2551" s="1"/>
      <c r="AE2551" s="1"/>
      <c r="AF2551" s="1"/>
      <c r="AG2551" s="1"/>
      <c r="AH2551" s="1"/>
    </row>
    <row r="2552" spans="1:34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  <c r="AB2552" s="1"/>
      <c r="AC2552" s="1"/>
      <c r="AD2552" s="1"/>
      <c r="AE2552" s="1"/>
      <c r="AF2552" s="1"/>
      <c r="AG2552" s="1"/>
      <c r="AH2552" s="1"/>
    </row>
    <row r="2553" spans="1:34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  <c r="AB2553" s="1"/>
      <c r="AC2553" s="1"/>
      <c r="AD2553" s="1"/>
      <c r="AE2553" s="1"/>
      <c r="AF2553" s="1"/>
      <c r="AG2553" s="1"/>
      <c r="AH2553" s="1"/>
    </row>
    <row r="2554" spans="1:34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  <c r="AB2554" s="1"/>
      <c r="AC2554" s="1"/>
      <c r="AD2554" s="1"/>
      <c r="AE2554" s="1"/>
      <c r="AF2554" s="1"/>
      <c r="AG2554" s="1"/>
      <c r="AH2554" s="1"/>
    </row>
    <row r="2555" spans="1:34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  <c r="AB2555" s="1"/>
      <c r="AC2555" s="1"/>
      <c r="AD2555" s="1"/>
      <c r="AE2555" s="1"/>
      <c r="AF2555" s="1"/>
      <c r="AG2555" s="1"/>
      <c r="AH2555" s="1"/>
    </row>
    <row r="2556" spans="1:34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  <c r="AB2556" s="1"/>
      <c r="AC2556" s="1"/>
      <c r="AD2556" s="1"/>
      <c r="AE2556" s="1"/>
      <c r="AF2556" s="1"/>
      <c r="AG2556" s="1"/>
      <c r="AH2556" s="1"/>
    </row>
    <row r="2557" spans="1:34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  <c r="AB2557" s="1"/>
      <c r="AC2557" s="1"/>
      <c r="AD2557" s="1"/>
      <c r="AE2557" s="1"/>
      <c r="AF2557" s="1"/>
      <c r="AG2557" s="1"/>
      <c r="AH2557" s="1"/>
    </row>
    <row r="2558" spans="1:34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  <c r="AB2558" s="1"/>
      <c r="AC2558" s="1"/>
      <c r="AD2558" s="1"/>
      <c r="AE2558" s="1"/>
      <c r="AF2558" s="1"/>
      <c r="AG2558" s="1"/>
      <c r="AH2558" s="1"/>
    </row>
    <row r="2559" spans="1:34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  <c r="AB2559" s="1"/>
      <c r="AC2559" s="1"/>
      <c r="AD2559" s="1"/>
      <c r="AE2559" s="1"/>
      <c r="AF2559" s="1"/>
      <c r="AG2559" s="1"/>
      <c r="AH2559" s="1"/>
    </row>
    <row r="2560" spans="1:34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  <c r="AB2560" s="1"/>
      <c r="AC2560" s="1"/>
      <c r="AD2560" s="1"/>
      <c r="AE2560" s="1"/>
      <c r="AF2560" s="1"/>
      <c r="AG2560" s="1"/>
      <c r="AH2560" s="1"/>
    </row>
    <row r="2561" spans="1:34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  <c r="AB2561" s="1"/>
      <c r="AC2561" s="1"/>
      <c r="AD2561" s="1"/>
      <c r="AE2561" s="1"/>
      <c r="AF2561" s="1"/>
      <c r="AG2561" s="1"/>
      <c r="AH2561" s="1"/>
    </row>
    <row r="2562" spans="1:34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  <c r="AB2562" s="1"/>
      <c r="AC2562" s="1"/>
      <c r="AD2562" s="1"/>
      <c r="AE2562" s="1"/>
      <c r="AF2562" s="1"/>
      <c r="AG2562" s="1"/>
      <c r="AH2562" s="1"/>
    </row>
    <row r="2563" spans="1:34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  <c r="AB2563" s="1"/>
      <c r="AC2563" s="1"/>
      <c r="AD2563" s="1"/>
      <c r="AE2563" s="1"/>
      <c r="AF2563" s="1"/>
      <c r="AG2563" s="1"/>
      <c r="AH2563" s="1"/>
    </row>
    <row r="2564" spans="1:34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  <c r="AB2564" s="1"/>
      <c r="AC2564" s="1"/>
      <c r="AD2564" s="1"/>
      <c r="AE2564" s="1"/>
      <c r="AF2564" s="1"/>
      <c r="AG2564" s="1"/>
      <c r="AH2564" s="1"/>
    </row>
    <row r="2565" spans="1:34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  <c r="AB2565" s="1"/>
      <c r="AC2565" s="1"/>
      <c r="AD2565" s="1"/>
      <c r="AE2565" s="1"/>
      <c r="AF2565" s="1"/>
      <c r="AG2565" s="1"/>
      <c r="AH2565" s="1"/>
    </row>
    <row r="2566" spans="1:34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  <c r="AB2566" s="1"/>
      <c r="AC2566" s="1"/>
      <c r="AD2566" s="1"/>
      <c r="AE2566" s="1"/>
      <c r="AF2566" s="1"/>
      <c r="AG2566" s="1"/>
      <c r="AH2566" s="1"/>
    </row>
    <row r="2567" spans="1:34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  <c r="AB2567" s="1"/>
      <c r="AC2567" s="1"/>
      <c r="AD2567" s="1"/>
      <c r="AE2567" s="1"/>
      <c r="AF2567" s="1"/>
      <c r="AG2567" s="1"/>
      <c r="AH2567" s="1"/>
    </row>
    <row r="2568" spans="1:34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  <c r="AB2568" s="1"/>
      <c r="AC2568" s="1"/>
      <c r="AD2568" s="1"/>
      <c r="AE2568" s="1"/>
      <c r="AF2568" s="1"/>
      <c r="AG2568" s="1"/>
      <c r="AH2568" s="1"/>
    </row>
    <row r="2569" spans="1:34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  <c r="AB2569" s="1"/>
      <c r="AC2569" s="1"/>
      <c r="AD2569" s="1"/>
      <c r="AE2569" s="1"/>
      <c r="AF2569" s="1"/>
      <c r="AG2569" s="1"/>
      <c r="AH2569" s="1"/>
    </row>
    <row r="2570" spans="1:34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  <c r="AB2570" s="1"/>
      <c r="AC2570" s="1"/>
      <c r="AD2570" s="1"/>
      <c r="AE2570" s="1"/>
      <c r="AF2570" s="1"/>
      <c r="AG2570" s="1"/>
      <c r="AH2570" s="1"/>
    </row>
    <row r="2571" spans="1:34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  <c r="AB2571" s="1"/>
      <c r="AC2571" s="1"/>
      <c r="AD2571" s="1"/>
      <c r="AE2571" s="1"/>
      <c r="AF2571" s="1"/>
      <c r="AG2571" s="1"/>
      <c r="AH2571" s="1"/>
    </row>
    <row r="2572" spans="1:34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  <c r="AB2572" s="1"/>
      <c r="AC2572" s="1"/>
      <c r="AD2572" s="1"/>
      <c r="AE2572" s="1"/>
      <c r="AF2572" s="1"/>
      <c r="AG2572" s="1"/>
      <c r="AH2572" s="1"/>
    </row>
    <row r="2573" spans="1:34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  <c r="AB2573" s="1"/>
      <c r="AC2573" s="1"/>
      <c r="AD2573" s="1"/>
      <c r="AE2573" s="1"/>
      <c r="AF2573" s="1"/>
      <c r="AG2573" s="1"/>
      <c r="AH2573" s="1"/>
    </row>
    <row r="2574" spans="1:34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  <c r="AB2574" s="1"/>
      <c r="AC2574" s="1"/>
      <c r="AD2574" s="1"/>
      <c r="AE2574" s="1"/>
      <c r="AF2574" s="1"/>
      <c r="AG2574" s="1"/>
      <c r="AH2574" s="1"/>
    </row>
    <row r="2575" spans="1:34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  <c r="AB2575" s="1"/>
      <c r="AC2575" s="1"/>
      <c r="AD2575" s="1"/>
      <c r="AE2575" s="1"/>
      <c r="AF2575" s="1"/>
      <c r="AG2575" s="1"/>
      <c r="AH2575" s="1"/>
    </row>
    <row r="2576" spans="1:34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  <c r="AB2576" s="1"/>
      <c r="AC2576" s="1"/>
      <c r="AD2576" s="1"/>
      <c r="AE2576" s="1"/>
      <c r="AF2576" s="1"/>
      <c r="AG2576" s="1"/>
      <c r="AH2576" s="1"/>
    </row>
    <row r="2577" spans="1:34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  <c r="AB2577" s="1"/>
      <c r="AC2577" s="1"/>
      <c r="AD2577" s="1"/>
      <c r="AE2577" s="1"/>
      <c r="AF2577" s="1"/>
      <c r="AG2577" s="1"/>
      <c r="AH2577" s="1"/>
    </row>
    <row r="2578" spans="1:34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  <c r="AB2578" s="1"/>
      <c r="AC2578" s="1"/>
      <c r="AD2578" s="1"/>
      <c r="AE2578" s="1"/>
      <c r="AF2578" s="1"/>
      <c r="AG2578" s="1"/>
      <c r="AH2578" s="1"/>
    </row>
    <row r="2579" spans="1:34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  <c r="AB2579" s="1"/>
      <c r="AC2579" s="1"/>
      <c r="AD2579" s="1"/>
      <c r="AE2579" s="1"/>
      <c r="AF2579" s="1"/>
      <c r="AG2579" s="1"/>
      <c r="AH2579" s="1"/>
    </row>
    <row r="2580" spans="1:34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  <c r="AB2580" s="1"/>
      <c r="AC2580" s="1"/>
      <c r="AD2580" s="1"/>
      <c r="AE2580" s="1"/>
      <c r="AF2580" s="1"/>
      <c r="AG2580" s="1"/>
      <c r="AH2580" s="1"/>
    </row>
    <row r="2581" spans="1:34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  <c r="AB2581" s="1"/>
      <c r="AC2581" s="1"/>
      <c r="AD2581" s="1"/>
      <c r="AE2581" s="1"/>
      <c r="AF2581" s="1"/>
      <c r="AG2581" s="1"/>
      <c r="AH2581" s="1"/>
    </row>
    <row r="2582" spans="1:34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  <c r="AB2582" s="1"/>
      <c r="AC2582" s="1"/>
      <c r="AD2582" s="1"/>
      <c r="AE2582" s="1"/>
      <c r="AF2582" s="1"/>
      <c r="AG2582" s="1"/>
      <c r="AH2582" s="1"/>
    </row>
    <row r="2583" spans="1:34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  <c r="AB2583" s="1"/>
      <c r="AC2583" s="1"/>
      <c r="AD2583" s="1"/>
      <c r="AE2583" s="1"/>
      <c r="AF2583" s="1"/>
      <c r="AG2583" s="1"/>
      <c r="AH2583" s="1"/>
    </row>
    <row r="2584" spans="1:34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  <c r="AB2584" s="1"/>
      <c r="AC2584" s="1"/>
      <c r="AD2584" s="1"/>
      <c r="AE2584" s="1"/>
      <c r="AF2584" s="1"/>
      <c r="AG2584" s="1"/>
      <c r="AH2584" s="1"/>
    </row>
    <row r="2585" spans="1:34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  <c r="AB2585" s="1"/>
      <c r="AC2585" s="1"/>
      <c r="AD2585" s="1"/>
      <c r="AE2585" s="1"/>
      <c r="AF2585" s="1"/>
      <c r="AG2585" s="1"/>
      <c r="AH2585" s="1"/>
    </row>
    <row r="2586" spans="1:34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  <c r="AB2586" s="1"/>
      <c r="AC2586" s="1"/>
      <c r="AD2586" s="1"/>
      <c r="AE2586" s="1"/>
      <c r="AF2586" s="1"/>
      <c r="AG2586" s="1"/>
      <c r="AH2586" s="1"/>
    </row>
    <row r="2587" spans="1:34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  <c r="AB2587" s="1"/>
      <c r="AC2587" s="1"/>
      <c r="AD2587" s="1"/>
      <c r="AE2587" s="1"/>
      <c r="AF2587" s="1"/>
      <c r="AG2587" s="1"/>
      <c r="AH2587" s="1"/>
    </row>
    <row r="2588" spans="1:34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  <c r="AB2588" s="1"/>
      <c r="AC2588" s="1"/>
      <c r="AD2588" s="1"/>
      <c r="AE2588" s="1"/>
      <c r="AF2588" s="1"/>
      <c r="AG2588" s="1"/>
      <c r="AH2588" s="1"/>
    </row>
    <row r="2589" spans="1:34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  <c r="AB2589" s="1"/>
      <c r="AC2589" s="1"/>
      <c r="AD2589" s="1"/>
      <c r="AE2589" s="1"/>
      <c r="AF2589" s="1"/>
      <c r="AG2589" s="1"/>
      <c r="AH2589" s="1"/>
    </row>
    <row r="2590" spans="1:34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  <c r="AB2590" s="1"/>
      <c r="AC2590" s="1"/>
      <c r="AD2590" s="1"/>
      <c r="AE2590" s="1"/>
      <c r="AF2590" s="1"/>
      <c r="AG2590" s="1"/>
      <c r="AH2590" s="1"/>
    </row>
    <row r="2591" spans="1:34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  <c r="AB2591" s="1"/>
      <c r="AC2591" s="1"/>
      <c r="AD2591" s="1"/>
      <c r="AE2591" s="1"/>
      <c r="AF2591" s="1"/>
      <c r="AG2591" s="1"/>
      <c r="AH2591" s="1"/>
    </row>
    <row r="2592" spans="1:34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  <c r="AB2592" s="1"/>
      <c r="AC2592" s="1"/>
      <c r="AD2592" s="1"/>
      <c r="AE2592" s="1"/>
      <c r="AF2592" s="1"/>
      <c r="AG2592" s="1"/>
      <c r="AH2592" s="1"/>
    </row>
    <row r="2593" spans="1:34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  <c r="AB2593" s="1"/>
      <c r="AC2593" s="1"/>
      <c r="AD2593" s="1"/>
      <c r="AE2593" s="1"/>
      <c r="AF2593" s="1"/>
      <c r="AG2593" s="1"/>
      <c r="AH2593" s="1"/>
    </row>
    <row r="2594" spans="1:34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  <c r="AB2594" s="1"/>
      <c r="AC2594" s="1"/>
      <c r="AD2594" s="1"/>
      <c r="AE2594" s="1"/>
      <c r="AF2594" s="1"/>
      <c r="AG2594" s="1"/>
      <c r="AH2594" s="1"/>
    </row>
    <row r="2595" spans="1:34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  <c r="AB2595" s="1"/>
      <c r="AC2595" s="1"/>
      <c r="AD2595" s="1"/>
      <c r="AE2595" s="1"/>
      <c r="AF2595" s="1"/>
      <c r="AG2595" s="1"/>
      <c r="AH2595" s="1"/>
    </row>
    <row r="2596" spans="1:34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  <c r="AB2596" s="1"/>
      <c r="AC2596" s="1"/>
      <c r="AD2596" s="1"/>
      <c r="AE2596" s="1"/>
      <c r="AF2596" s="1"/>
      <c r="AG2596" s="1"/>
      <c r="AH2596" s="1"/>
    </row>
    <row r="2597" spans="1:34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  <c r="AB2597" s="1"/>
      <c r="AC2597" s="1"/>
      <c r="AD2597" s="1"/>
      <c r="AE2597" s="1"/>
      <c r="AF2597" s="1"/>
      <c r="AG2597" s="1"/>
      <c r="AH2597" s="1"/>
    </row>
    <row r="2598" spans="1:34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  <c r="AB2598" s="1"/>
      <c r="AC2598" s="1"/>
      <c r="AD2598" s="1"/>
      <c r="AE2598" s="1"/>
      <c r="AF2598" s="1"/>
      <c r="AG2598" s="1"/>
      <c r="AH2598" s="1"/>
    </row>
    <row r="2599" spans="1:34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  <c r="AB2599" s="1"/>
      <c r="AC2599" s="1"/>
      <c r="AD2599" s="1"/>
      <c r="AE2599" s="1"/>
      <c r="AF2599" s="1"/>
      <c r="AG2599" s="1"/>
      <c r="AH2599" s="1"/>
    </row>
    <row r="2600" spans="1:34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  <c r="AB2600" s="1"/>
      <c r="AC2600" s="1"/>
      <c r="AD2600" s="1"/>
      <c r="AE2600" s="1"/>
      <c r="AF2600" s="1"/>
      <c r="AG2600" s="1"/>
      <c r="AH2600" s="1"/>
    </row>
    <row r="2601" spans="1:34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  <c r="AB2601" s="1"/>
      <c r="AC2601" s="1"/>
      <c r="AD2601" s="1"/>
      <c r="AE2601" s="1"/>
      <c r="AF2601" s="1"/>
      <c r="AG2601" s="1"/>
      <c r="AH2601" s="1"/>
    </row>
    <row r="2602" spans="1:34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  <c r="AB2602" s="1"/>
      <c r="AC2602" s="1"/>
      <c r="AD2602" s="1"/>
      <c r="AE2602" s="1"/>
      <c r="AF2602" s="1"/>
      <c r="AG2602" s="1"/>
      <c r="AH2602" s="1"/>
    </row>
    <row r="2603" spans="1:34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  <c r="AB2603" s="1"/>
      <c r="AC2603" s="1"/>
      <c r="AD2603" s="1"/>
      <c r="AE2603" s="1"/>
      <c r="AF2603" s="1"/>
      <c r="AG2603" s="1"/>
      <c r="AH2603" s="1"/>
    </row>
    <row r="2604" spans="1:34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  <c r="AB2604" s="1"/>
      <c r="AC2604" s="1"/>
      <c r="AD2604" s="1"/>
      <c r="AE2604" s="1"/>
      <c r="AF2604" s="1"/>
      <c r="AG2604" s="1"/>
      <c r="AH2604" s="1"/>
    </row>
    <row r="2605" spans="1:34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  <c r="AB2605" s="1"/>
      <c r="AC2605" s="1"/>
      <c r="AD2605" s="1"/>
      <c r="AE2605" s="1"/>
      <c r="AF2605" s="1"/>
      <c r="AG2605" s="1"/>
      <c r="AH2605" s="1"/>
    </row>
    <row r="2606" spans="1:34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  <c r="AB2606" s="1"/>
      <c r="AC2606" s="1"/>
      <c r="AD2606" s="1"/>
      <c r="AE2606" s="1"/>
      <c r="AF2606" s="1"/>
      <c r="AG2606" s="1"/>
      <c r="AH2606" s="1"/>
    </row>
    <row r="2607" spans="1:34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  <c r="AB2607" s="1"/>
      <c r="AC2607" s="1"/>
      <c r="AD2607" s="1"/>
      <c r="AE2607" s="1"/>
      <c r="AF2607" s="1"/>
      <c r="AG2607" s="1"/>
      <c r="AH2607" s="1"/>
    </row>
    <row r="2608" spans="1:34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  <c r="AB2608" s="1"/>
      <c r="AC2608" s="1"/>
      <c r="AD2608" s="1"/>
      <c r="AE2608" s="1"/>
      <c r="AF2608" s="1"/>
      <c r="AG2608" s="1"/>
      <c r="AH2608" s="1"/>
    </row>
    <row r="2609" spans="1:34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  <c r="AB2609" s="1"/>
      <c r="AC2609" s="1"/>
      <c r="AD2609" s="1"/>
      <c r="AE2609" s="1"/>
      <c r="AF2609" s="1"/>
      <c r="AG2609" s="1"/>
      <c r="AH2609" s="1"/>
    </row>
    <row r="2610" spans="1:34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  <c r="AB2610" s="1"/>
      <c r="AC2610" s="1"/>
      <c r="AD2610" s="1"/>
      <c r="AE2610" s="1"/>
      <c r="AF2610" s="1"/>
      <c r="AG2610" s="1"/>
      <c r="AH2610" s="1"/>
    </row>
    <row r="2611" spans="1:34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  <c r="AB2611" s="1"/>
      <c r="AC2611" s="1"/>
      <c r="AD2611" s="1"/>
      <c r="AE2611" s="1"/>
      <c r="AF2611" s="1"/>
      <c r="AG2611" s="1"/>
      <c r="AH2611" s="1"/>
    </row>
    <row r="2612" spans="1:34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  <c r="AB2612" s="1"/>
      <c r="AC2612" s="1"/>
      <c r="AD2612" s="1"/>
      <c r="AE2612" s="1"/>
      <c r="AF2612" s="1"/>
      <c r="AG2612" s="1"/>
      <c r="AH2612" s="1"/>
    </row>
    <row r="2613" spans="1:34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  <c r="AB2613" s="1"/>
      <c r="AC2613" s="1"/>
      <c r="AD2613" s="1"/>
      <c r="AE2613" s="1"/>
      <c r="AF2613" s="1"/>
      <c r="AG2613" s="1"/>
      <c r="AH2613" s="1"/>
    </row>
    <row r="2614" spans="1:34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  <c r="AB2614" s="1"/>
      <c r="AC2614" s="1"/>
      <c r="AD2614" s="1"/>
      <c r="AE2614" s="1"/>
      <c r="AF2614" s="1"/>
      <c r="AG2614" s="1"/>
      <c r="AH2614" s="1"/>
    </row>
    <row r="2615" spans="1:34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  <c r="AB2615" s="1"/>
      <c r="AC2615" s="1"/>
      <c r="AD2615" s="1"/>
      <c r="AE2615" s="1"/>
      <c r="AF2615" s="1"/>
      <c r="AG2615" s="1"/>
      <c r="AH2615" s="1"/>
    </row>
    <row r="2616" spans="1:34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  <c r="AB2616" s="1"/>
      <c r="AC2616" s="1"/>
      <c r="AD2616" s="1"/>
      <c r="AE2616" s="1"/>
      <c r="AF2616" s="1"/>
      <c r="AG2616" s="1"/>
      <c r="AH2616" s="1"/>
    </row>
    <row r="2617" spans="1:34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  <c r="AB2617" s="1"/>
      <c r="AC2617" s="1"/>
      <c r="AD2617" s="1"/>
      <c r="AE2617" s="1"/>
      <c r="AF2617" s="1"/>
      <c r="AG2617" s="1"/>
      <c r="AH2617" s="1"/>
    </row>
    <row r="2618" spans="1:34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  <c r="AB2618" s="1"/>
      <c r="AC2618" s="1"/>
      <c r="AD2618" s="1"/>
      <c r="AE2618" s="1"/>
      <c r="AF2618" s="1"/>
      <c r="AG2618" s="1"/>
      <c r="AH2618" s="1"/>
    </row>
    <row r="2619" spans="1:34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  <c r="AB2619" s="1"/>
      <c r="AC2619" s="1"/>
      <c r="AD2619" s="1"/>
      <c r="AE2619" s="1"/>
      <c r="AF2619" s="1"/>
      <c r="AG2619" s="1"/>
      <c r="AH2619" s="1"/>
    </row>
    <row r="2620" spans="1:34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  <c r="AB2620" s="1"/>
      <c r="AC2620" s="1"/>
      <c r="AD2620" s="1"/>
      <c r="AE2620" s="1"/>
      <c r="AF2620" s="1"/>
      <c r="AG2620" s="1"/>
      <c r="AH2620" s="1"/>
    </row>
    <row r="2621" spans="1:34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  <c r="AB2621" s="1"/>
      <c r="AC2621" s="1"/>
      <c r="AD2621" s="1"/>
      <c r="AE2621" s="1"/>
      <c r="AF2621" s="1"/>
      <c r="AG2621" s="1"/>
      <c r="AH2621" s="1"/>
    </row>
    <row r="2622" spans="1:34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  <c r="AB2622" s="1"/>
      <c r="AC2622" s="1"/>
      <c r="AD2622" s="1"/>
      <c r="AE2622" s="1"/>
      <c r="AF2622" s="1"/>
      <c r="AG2622" s="1"/>
      <c r="AH2622" s="1"/>
    </row>
    <row r="2623" spans="1:34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  <c r="AB2623" s="1"/>
      <c r="AC2623" s="1"/>
      <c r="AD2623" s="1"/>
      <c r="AE2623" s="1"/>
      <c r="AF2623" s="1"/>
      <c r="AG2623" s="1"/>
      <c r="AH2623" s="1"/>
    </row>
    <row r="2624" spans="1:34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  <c r="AB2624" s="1"/>
      <c r="AC2624" s="1"/>
      <c r="AD2624" s="1"/>
      <c r="AE2624" s="1"/>
      <c r="AF2624" s="1"/>
      <c r="AG2624" s="1"/>
      <c r="AH2624" s="1"/>
    </row>
    <row r="2625" spans="1:34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  <c r="AB2625" s="1"/>
      <c r="AC2625" s="1"/>
      <c r="AD2625" s="1"/>
      <c r="AE2625" s="1"/>
      <c r="AF2625" s="1"/>
      <c r="AG2625" s="1"/>
      <c r="AH2625" s="1"/>
    </row>
    <row r="2626" spans="1:34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  <c r="AB2626" s="1"/>
      <c r="AC2626" s="1"/>
      <c r="AD2626" s="1"/>
      <c r="AE2626" s="1"/>
      <c r="AF2626" s="1"/>
      <c r="AG2626" s="1"/>
      <c r="AH2626" s="1"/>
    </row>
    <row r="2627" spans="1:34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  <c r="AB2627" s="1"/>
      <c r="AC2627" s="1"/>
      <c r="AD2627" s="1"/>
      <c r="AE2627" s="1"/>
      <c r="AF2627" s="1"/>
      <c r="AG2627" s="1"/>
      <c r="AH2627" s="1"/>
    </row>
    <row r="2628" spans="1:34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  <c r="AB2628" s="1"/>
      <c r="AC2628" s="1"/>
      <c r="AD2628" s="1"/>
      <c r="AE2628" s="1"/>
      <c r="AF2628" s="1"/>
      <c r="AG2628" s="1"/>
      <c r="AH2628" s="1"/>
    </row>
    <row r="2629" spans="1:34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  <c r="AB2629" s="1"/>
      <c r="AC2629" s="1"/>
      <c r="AD2629" s="1"/>
      <c r="AE2629" s="1"/>
      <c r="AF2629" s="1"/>
      <c r="AG2629" s="1"/>
      <c r="AH2629" s="1"/>
    </row>
    <row r="2630" spans="1:34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  <c r="AB2630" s="1"/>
      <c r="AC2630" s="1"/>
      <c r="AD2630" s="1"/>
      <c r="AE2630" s="1"/>
      <c r="AF2630" s="1"/>
      <c r="AG2630" s="1"/>
      <c r="AH2630" s="1"/>
    </row>
    <row r="2631" spans="1:34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  <c r="AB2631" s="1"/>
      <c r="AC2631" s="1"/>
      <c r="AD2631" s="1"/>
      <c r="AE2631" s="1"/>
      <c r="AF2631" s="1"/>
      <c r="AG2631" s="1"/>
      <c r="AH2631" s="1"/>
    </row>
    <row r="2632" spans="1:34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  <c r="AB2632" s="1"/>
      <c r="AC2632" s="1"/>
      <c r="AD2632" s="1"/>
      <c r="AE2632" s="1"/>
      <c r="AF2632" s="1"/>
      <c r="AG2632" s="1"/>
      <c r="AH2632" s="1"/>
    </row>
    <row r="2633" spans="1:34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  <c r="AB2633" s="1"/>
      <c r="AC2633" s="1"/>
      <c r="AD2633" s="1"/>
      <c r="AE2633" s="1"/>
      <c r="AF2633" s="1"/>
      <c r="AG2633" s="1"/>
      <c r="AH2633" s="1"/>
    </row>
    <row r="2634" spans="1:34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  <c r="AB2634" s="1"/>
      <c r="AC2634" s="1"/>
      <c r="AD2634" s="1"/>
      <c r="AE2634" s="1"/>
      <c r="AF2634" s="1"/>
      <c r="AG2634" s="1"/>
      <c r="AH2634" s="1"/>
    </row>
    <row r="2635" spans="1:34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  <c r="AB2635" s="1"/>
      <c r="AC2635" s="1"/>
      <c r="AD2635" s="1"/>
      <c r="AE2635" s="1"/>
      <c r="AF2635" s="1"/>
      <c r="AG2635" s="1"/>
      <c r="AH2635" s="1"/>
    </row>
    <row r="2636" spans="1:34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  <c r="AB2636" s="1"/>
      <c r="AC2636" s="1"/>
      <c r="AD2636" s="1"/>
      <c r="AE2636" s="1"/>
      <c r="AF2636" s="1"/>
      <c r="AG2636" s="1"/>
      <c r="AH2636" s="1"/>
    </row>
    <row r="2637" spans="1:34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  <c r="AB2637" s="1"/>
      <c r="AC2637" s="1"/>
      <c r="AD2637" s="1"/>
      <c r="AE2637" s="1"/>
      <c r="AF2637" s="1"/>
      <c r="AG2637" s="1"/>
      <c r="AH2637" s="1"/>
    </row>
    <row r="2638" spans="1:34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  <c r="AB2638" s="1"/>
      <c r="AC2638" s="1"/>
      <c r="AD2638" s="1"/>
      <c r="AE2638" s="1"/>
      <c r="AF2638" s="1"/>
      <c r="AG2638" s="1"/>
      <c r="AH2638" s="1"/>
    </row>
    <row r="2639" spans="1:34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  <c r="AB2639" s="1"/>
      <c r="AC2639" s="1"/>
      <c r="AD2639" s="1"/>
      <c r="AE2639" s="1"/>
      <c r="AF2639" s="1"/>
      <c r="AG2639" s="1"/>
      <c r="AH2639" s="1"/>
    </row>
    <row r="2640" spans="1:34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  <c r="AB2640" s="1"/>
      <c r="AC2640" s="1"/>
      <c r="AD2640" s="1"/>
      <c r="AE2640" s="1"/>
      <c r="AF2640" s="1"/>
      <c r="AG2640" s="1"/>
      <c r="AH2640" s="1"/>
    </row>
    <row r="2641" spans="1:34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  <c r="AB2641" s="1"/>
      <c r="AC2641" s="1"/>
      <c r="AD2641" s="1"/>
      <c r="AE2641" s="1"/>
      <c r="AF2641" s="1"/>
      <c r="AG2641" s="1"/>
      <c r="AH2641" s="1"/>
    </row>
    <row r="2642" spans="1:34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  <c r="AB2642" s="1"/>
      <c r="AC2642" s="1"/>
      <c r="AD2642" s="1"/>
      <c r="AE2642" s="1"/>
      <c r="AF2642" s="1"/>
      <c r="AG2642" s="1"/>
      <c r="AH2642" s="1"/>
    </row>
    <row r="2643" spans="1:34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  <c r="AB2643" s="1"/>
      <c r="AC2643" s="1"/>
      <c r="AD2643" s="1"/>
      <c r="AE2643" s="1"/>
      <c r="AF2643" s="1"/>
      <c r="AG2643" s="1"/>
      <c r="AH2643" s="1"/>
    </row>
    <row r="2644" spans="1:34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  <c r="AB2644" s="1"/>
      <c r="AC2644" s="1"/>
      <c r="AD2644" s="1"/>
      <c r="AE2644" s="1"/>
      <c r="AF2644" s="1"/>
      <c r="AG2644" s="1"/>
      <c r="AH2644" s="1"/>
    </row>
    <row r="2645" spans="1:34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  <c r="AB2645" s="1"/>
      <c r="AC2645" s="1"/>
      <c r="AD2645" s="1"/>
      <c r="AE2645" s="1"/>
      <c r="AF2645" s="1"/>
      <c r="AG2645" s="1"/>
      <c r="AH2645" s="1"/>
    </row>
    <row r="2646" spans="1:34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  <c r="AB2646" s="1"/>
      <c r="AC2646" s="1"/>
      <c r="AD2646" s="1"/>
      <c r="AE2646" s="1"/>
      <c r="AF2646" s="1"/>
      <c r="AG2646" s="1"/>
      <c r="AH2646" s="1"/>
    </row>
    <row r="2647" spans="1:34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  <c r="AB2647" s="1"/>
      <c r="AC2647" s="1"/>
      <c r="AD2647" s="1"/>
      <c r="AE2647" s="1"/>
      <c r="AF2647" s="1"/>
      <c r="AG2647" s="1"/>
      <c r="AH2647" s="1"/>
    </row>
    <row r="2648" spans="1:34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  <c r="AB2648" s="1"/>
      <c r="AC2648" s="1"/>
      <c r="AD2648" s="1"/>
      <c r="AE2648" s="1"/>
      <c r="AF2648" s="1"/>
      <c r="AG2648" s="1"/>
      <c r="AH2648" s="1"/>
    </row>
    <row r="2649" spans="1:34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  <c r="AB2649" s="1"/>
      <c r="AC2649" s="1"/>
      <c r="AD2649" s="1"/>
      <c r="AE2649" s="1"/>
      <c r="AF2649" s="1"/>
      <c r="AG2649" s="1"/>
      <c r="AH2649" s="1"/>
    </row>
    <row r="2650" spans="1:34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  <c r="AB2650" s="1"/>
      <c r="AC2650" s="1"/>
      <c r="AD2650" s="1"/>
      <c r="AE2650" s="1"/>
      <c r="AF2650" s="1"/>
      <c r="AG2650" s="1"/>
      <c r="AH2650" s="1"/>
    </row>
    <row r="2651" spans="1:34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  <c r="AB2651" s="1"/>
      <c r="AC2651" s="1"/>
      <c r="AD2651" s="1"/>
      <c r="AE2651" s="1"/>
      <c r="AF2651" s="1"/>
      <c r="AG2651" s="1"/>
      <c r="AH2651" s="1"/>
    </row>
    <row r="2652" spans="1:34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  <c r="AB2652" s="1"/>
      <c r="AC2652" s="1"/>
      <c r="AD2652" s="1"/>
      <c r="AE2652" s="1"/>
      <c r="AF2652" s="1"/>
      <c r="AG2652" s="1"/>
      <c r="AH2652" s="1"/>
    </row>
    <row r="2653" spans="1:34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  <c r="AB2653" s="1"/>
      <c r="AC2653" s="1"/>
      <c r="AD2653" s="1"/>
      <c r="AE2653" s="1"/>
      <c r="AF2653" s="1"/>
      <c r="AG2653" s="1"/>
      <c r="AH2653" s="1"/>
    </row>
    <row r="2654" spans="1:34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  <c r="AB2654" s="1"/>
      <c r="AC2654" s="1"/>
      <c r="AD2654" s="1"/>
      <c r="AE2654" s="1"/>
      <c r="AF2654" s="1"/>
      <c r="AG2654" s="1"/>
      <c r="AH2654" s="1"/>
    </row>
    <row r="2655" spans="1:34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  <c r="AB2655" s="1"/>
      <c r="AC2655" s="1"/>
      <c r="AD2655" s="1"/>
      <c r="AE2655" s="1"/>
      <c r="AF2655" s="1"/>
      <c r="AG2655" s="1"/>
      <c r="AH2655" s="1"/>
    </row>
    <row r="2656" spans="1:34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  <c r="AB2656" s="1"/>
      <c r="AC2656" s="1"/>
      <c r="AD2656" s="1"/>
      <c r="AE2656" s="1"/>
      <c r="AF2656" s="1"/>
      <c r="AG2656" s="1"/>
      <c r="AH2656" s="1"/>
    </row>
    <row r="2657" spans="1:34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  <c r="AB2657" s="1"/>
      <c r="AC2657" s="1"/>
      <c r="AD2657" s="1"/>
      <c r="AE2657" s="1"/>
      <c r="AF2657" s="1"/>
      <c r="AG2657" s="1"/>
      <c r="AH2657" s="1"/>
    </row>
    <row r="2658" spans="1:34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  <c r="AB2658" s="1"/>
      <c r="AC2658" s="1"/>
      <c r="AD2658" s="1"/>
      <c r="AE2658" s="1"/>
      <c r="AF2658" s="1"/>
      <c r="AG2658" s="1"/>
      <c r="AH2658" s="1"/>
    </row>
    <row r="2659" spans="1:34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  <c r="AB2659" s="1"/>
      <c r="AC2659" s="1"/>
      <c r="AD2659" s="1"/>
      <c r="AE2659" s="1"/>
      <c r="AF2659" s="1"/>
      <c r="AG2659" s="1"/>
      <c r="AH2659" s="1"/>
    </row>
    <row r="2660" spans="1:34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  <c r="AB2660" s="1"/>
      <c r="AC2660" s="1"/>
      <c r="AD2660" s="1"/>
      <c r="AE2660" s="1"/>
      <c r="AF2660" s="1"/>
      <c r="AG2660" s="1"/>
      <c r="AH2660" s="1"/>
    </row>
    <row r="2661" spans="1:34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  <c r="AB2661" s="1"/>
      <c r="AC2661" s="1"/>
      <c r="AD2661" s="1"/>
      <c r="AE2661" s="1"/>
      <c r="AF2661" s="1"/>
      <c r="AG2661" s="1"/>
      <c r="AH2661" s="1"/>
    </row>
    <row r="2662" spans="1:34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  <c r="AB2662" s="1"/>
      <c r="AC2662" s="1"/>
      <c r="AD2662" s="1"/>
      <c r="AE2662" s="1"/>
      <c r="AF2662" s="1"/>
      <c r="AG2662" s="1"/>
      <c r="AH2662" s="1"/>
    </row>
    <row r="2663" spans="1:34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  <c r="AB2663" s="1"/>
      <c r="AC2663" s="1"/>
      <c r="AD2663" s="1"/>
      <c r="AE2663" s="1"/>
      <c r="AF2663" s="1"/>
      <c r="AG2663" s="1"/>
      <c r="AH2663" s="1"/>
    </row>
    <row r="2664" spans="1:34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  <c r="AB2664" s="1"/>
      <c r="AC2664" s="1"/>
      <c r="AD2664" s="1"/>
      <c r="AE2664" s="1"/>
      <c r="AF2664" s="1"/>
      <c r="AG2664" s="1"/>
      <c r="AH2664" s="1"/>
    </row>
    <row r="2665" spans="1:34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  <c r="AB2665" s="1"/>
      <c r="AC2665" s="1"/>
      <c r="AD2665" s="1"/>
      <c r="AE2665" s="1"/>
      <c r="AF2665" s="1"/>
      <c r="AG2665" s="1"/>
      <c r="AH2665" s="1"/>
    </row>
    <row r="2666" spans="1:34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  <c r="AB2666" s="1"/>
      <c r="AC2666" s="1"/>
      <c r="AD2666" s="1"/>
      <c r="AE2666" s="1"/>
      <c r="AF2666" s="1"/>
      <c r="AG2666" s="1"/>
      <c r="AH2666" s="1"/>
    </row>
    <row r="2667" spans="1:34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  <c r="AB2667" s="1"/>
      <c r="AC2667" s="1"/>
      <c r="AD2667" s="1"/>
      <c r="AE2667" s="1"/>
      <c r="AF2667" s="1"/>
      <c r="AG2667" s="1"/>
      <c r="AH2667" s="1"/>
    </row>
    <row r="2668" spans="1:34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  <c r="AB2668" s="1"/>
      <c r="AC2668" s="1"/>
      <c r="AD2668" s="1"/>
      <c r="AE2668" s="1"/>
      <c r="AF2668" s="1"/>
      <c r="AG2668" s="1"/>
      <c r="AH2668" s="1"/>
    </row>
    <row r="2669" spans="1:34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  <c r="AB2669" s="1"/>
      <c r="AC2669" s="1"/>
      <c r="AD2669" s="1"/>
      <c r="AE2669" s="1"/>
      <c r="AF2669" s="1"/>
      <c r="AG2669" s="1"/>
      <c r="AH2669" s="1"/>
    </row>
    <row r="2670" spans="1:34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  <c r="AB2670" s="1"/>
      <c r="AC2670" s="1"/>
      <c r="AD2670" s="1"/>
      <c r="AE2670" s="1"/>
      <c r="AF2670" s="1"/>
      <c r="AG2670" s="1"/>
      <c r="AH2670" s="1"/>
    </row>
    <row r="2671" spans="1:34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  <c r="AB2671" s="1"/>
      <c r="AC2671" s="1"/>
      <c r="AD2671" s="1"/>
      <c r="AE2671" s="1"/>
      <c r="AF2671" s="1"/>
      <c r="AG2671" s="1"/>
      <c r="AH2671" s="1"/>
    </row>
    <row r="2672" spans="1:34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  <c r="AB2672" s="1"/>
      <c r="AC2672" s="1"/>
      <c r="AD2672" s="1"/>
      <c r="AE2672" s="1"/>
      <c r="AF2672" s="1"/>
      <c r="AG2672" s="1"/>
      <c r="AH2672" s="1"/>
    </row>
    <row r="2673" spans="1:34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  <c r="AB2673" s="1"/>
      <c r="AC2673" s="1"/>
      <c r="AD2673" s="1"/>
      <c r="AE2673" s="1"/>
      <c r="AF2673" s="1"/>
      <c r="AG2673" s="1"/>
      <c r="AH2673" s="1"/>
    </row>
    <row r="2674" spans="1:34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  <c r="AB2674" s="1"/>
      <c r="AC2674" s="1"/>
      <c r="AD2674" s="1"/>
      <c r="AE2674" s="1"/>
      <c r="AF2674" s="1"/>
      <c r="AG2674" s="1"/>
      <c r="AH2674" s="1"/>
    </row>
    <row r="2675" spans="1:34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  <c r="AB2675" s="1"/>
      <c r="AC2675" s="1"/>
      <c r="AD2675" s="1"/>
      <c r="AE2675" s="1"/>
      <c r="AF2675" s="1"/>
      <c r="AG2675" s="1"/>
      <c r="AH2675" s="1"/>
    </row>
    <row r="2676" spans="1:34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  <c r="AB2676" s="1"/>
      <c r="AC2676" s="1"/>
      <c r="AD2676" s="1"/>
      <c r="AE2676" s="1"/>
      <c r="AF2676" s="1"/>
      <c r="AG2676" s="1"/>
      <c r="AH2676" s="1"/>
    </row>
    <row r="2677" spans="1:34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  <c r="AB2677" s="1"/>
      <c r="AC2677" s="1"/>
      <c r="AD2677" s="1"/>
      <c r="AE2677" s="1"/>
      <c r="AF2677" s="1"/>
      <c r="AG2677" s="1"/>
      <c r="AH2677" s="1"/>
    </row>
    <row r="2678" spans="1:34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  <c r="AB2678" s="1"/>
      <c r="AC2678" s="1"/>
      <c r="AD2678" s="1"/>
      <c r="AE2678" s="1"/>
      <c r="AF2678" s="1"/>
      <c r="AG2678" s="1"/>
      <c r="AH2678" s="1"/>
    </row>
    <row r="2679" spans="1:34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  <c r="AB2679" s="1"/>
      <c r="AC2679" s="1"/>
      <c r="AD2679" s="1"/>
      <c r="AE2679" s="1"/>
      <c r="AF2679" s="1"/>
      <c r="AG2679" s="1"/>
      <c r="AH2679" s="1"/>
    </row>
    <row r="2680" spans="1:34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  <c r="AB2680" s="1"/>
      <c r="AC2680" s="1"/>
      <c r="AD2680" s="1"/>
      <c r="AE2680" s="1"/>
      <c r="AF2680" s="1"/>
      <c r="AG2680" s="1"/>
      <c r="AH2680" s="1"/>
    </row>
    <row r="2681" spans="1:34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  <c r="AB2681" s="1"/>
      <c r="AC2681" s="1"/>
      <c r="AD2681" s="1"/>
      <c r="AE2681" s="1"/>
      <c r="AF2681" s="1"/>
      <c r="AG2681" s="1"/>
      <c r="AH2681" s="1"/>
    </row>
    <row r="2682" spans="1:34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  <c r="AB2682" s="1"/>
      <c r="AC2682" s="1"/>
      <c r="AD2682" s="1"/>
      <c r="AE2682" s="1"/>
      <c r="AF2682" s="1"/>
      <c r="AG2682" s="1"/>
      <c r="AH2682" s="1"/>
    </row>
    <row r="2683" spans="1:34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  <c r="AB2683" s="1"/>
      <c r="AC2683" s="1"/>
      <c r="AD2683" s="1"/>
      <c r="AE2683" s="1"/>
      <c r="AF2683" s="1"/>
      <c r="AG2683" s="1"/>
      <c r="AH2683" s="1"/>
    </row>
    <row r="2684" spans="1:34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  <c r="AB2684" s="1"/>
      <c r="AC2684" s="1"/>
      <c r="AD2684" s="1"/>
      <c r="AE2684" s="1"/>
      <c r="AF2684" s="1"/>
      <c r="AG2684" s="1"/>
      <c r="AH2684" s="1"/>
    </row>
    <row r="2685" spans="1:34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  <c r="AB2685" s="1"/>
      <c r="AC2685" s="1"/>
      <c r="AD2685" s="1"/>
      <c r="AE2685" s="1"/>
      <c r="AF2685" s="1"/>
      <c r="AG2685" s="1"/>
      <c r="AH2685" s="1"/>
    </row>
    <row r="2686" spans="1:34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  <c r="AB2686" s="1"/>
      <c r="AC2686" s="1"/>
      <c r="AD2686" s="1"/>
      <c r="AE2686" s="1"/>
      <c r="AF2686" s="1"/>
      <c r="AG2686" s="1"/>
      <c r="AH2686" s="1"/>
    </row>
    <row r="2687" spans="1:34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  <c r="AB2687" s="1"/>
      <c r="AC2687" s="1"/>
      <c r="AD2687" s="1"/>
      <c r="AE2687" s="1"/>
      <c r="AF2687" s="1"/>
      <c r="AG2687" s="1"/>
      <c r="AH2687" s="1"/>
    </row>
    <row r="2688" spans="1:34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  <c r="AB2688" s="1"/>
      <c r="AC2688" s="1"/>
      <c r="AD2688" s="1"/>
      <c r="AE2688" s="1"/>
      <c r="AF2688" s="1"/>
      <c r="AG2688" s="1"/>
      <c r="AH2688" s="1"/>
    </row>
    <row r="2689" spans="1:34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  <c r="AB2689" s="1"/>
      <c r="AC2689" s="1"/>
      <c r="AD2689" s="1"/>
      <c r="AE2689" s="1"/>
      <c r="AF2689" s="1"/>
      <c r="AG2689" s="1"/>
      <c r="AH2689" s="1"/>
    </row>
    <row r="2690" spans="1:34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  <c r="AB2690" s="1"/>
      <c r="AC2690" s="1"/>
      <c r="AD2690" s="1"/>
      <c r="AE2690" s="1"/>
      <c r="AF2690" s="1"/>
      <c r="AG2690" s="1"/>
      <c r="AH2690" s="1"/>
    </row>
    <row r="2691" spans="1:34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  <c r="AB2691" s="1"/>
      <c r="AC2691" s="1"/>
      <c r="AD2691" s="1"/>
      <c r="AE2691" s="1"/>
      <c r="AF2691" s="1"/>
      <c r="AG2691" s="1"/>
      <c r="AH2691" s="1"/>
    </row>
    <row r="2692" spans="1:34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  <c r="AB2692" s="1"/>
      <c r="AC2692" s="1"/>
      <c r="AD2692" s="1"/>
      <c r="AE2692" s="1"/>
      <c r="AF2692" s="1"/>
      <c r="AG2692" s="1"/>
      <c r="AH2692" s="1"/>
    </row>
    <row r="2693" spans="1:34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  <c r="AB2693" s="1"/>
      <c r="AC2693" s="1"/>
      <c r="AD2693" s="1"/>
      <c r="AE2693" s="1"/>
      <c r="AF2693" s="1"/>
      <c r="AG2693" s="1"/>
      <c r="AH2693" s="1"/>
    </row>
    <row r="2694" spans="1:34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  <c r="AB2694" s="1"/>
      <c r="AC2694" s="1"/>
      <c r="AD2694" s="1"/>
      <c r="AE2694" s="1"/>
      <c r="AF2694" s="1"/>
      <c r="AG2694" s="1"/>
      <c r="AH2694" s="1"/>
    </row>
    <row r="2695" spans="1:34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  <c r="AB2695" s="1"/>
      <c r="AC2695" s="1"/>
      <c r="AD2695" s="1"/>
      <c r="AE2695" s="1"/>
      <c r="AF2695" s="1"/>
      <c r="AG2695" s="1"/>
      <c r="AH2695" s="1"/>
    </row>
    <row r="2696" spans="1:34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  <c r="AB2696" s="1"/>
      <c r="AC2696" s="1"/>
      <c r="AD2696" s="1"/>
      <c r="AE2696" s="1"/>
      <c r="AF2696" s="1"/>
      <c r="AG2696" s="1"/>
      <c r="AH2696" s="1"/>
    </row>
    <row r="2697" spans="1:34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  <c r="AB2697" s="1"/>
      <c r="AC2697" s="1"/>
      <c r="AD2697" s="1"/>
      <c r="AE2697" s="1"/>
      <c r="AF2697" s="1"/>
      <c r="AG2697" s="1"/>
      <c r="AH2697" s="1"/>
    </row>
    <row r="2698" spans="1:34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  <c r="AB2698" s="1"/>
      <c r="AC2698" s="1"/>
      <c r="AD2698" s="1"/>
      <c r="AE2698" s="1"/>
      <c r="AF2698" s="1"/>
      <c r="AG2698" s="1"/>
      <c r="AH2698" s="1"/>
    </row>
    <row r="2699" spans="1:34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  <c r="AB2699" s="1"/>
      <c r="AC2699" s="1"/>
      <c r="AD2699" s="1"/>
      <c r="AE2699" s="1"/>
      <c r="AF2699" s="1"/>
      <c r="AG2699" s="1"/>
      <c r="AH2699" s="1"/>
    </row>
    <row r="2700" spans="1:34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  <c r="AB2700" s="1"/>
      <c r="AC2700" s="1"/>
      <c r="AD2700" s="1"/>
      <c r="AE2700" s="1"/>
      <c r="AF2700" s="1"/>
      <c r="AG2700" s="1"/>
      <c r="AH2700" s="1"/>
    </row>
    <row r="2701" spans="1:34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  <c r="AB2701" s="1"/>
      <c r="AC2701" s="1"/>
      <c r="AD2701" s="1"/>
      <c r="AE2701" s="1"/>
      <c r="AF2701" s="1"/>
      <c r="AG2701" s="1"/>
      <c r="AH2701" s="1"/>
    </row>
    <row r="2702" spans="1:34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  <c r="AB2702" s="1"/>
      <c r="AC2702" s="1"/>
      <c r="AD2702" s="1"/>
      <c r="AE2702" s="1"/>
      <c r="AF2702" s="1"/>
      <c r="AG2702" s="1"/>
      <c r="AH2702" s="1"/>
    </row>
    <row r="2703" spans="1:34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  <c r="AB2703" s="1"/>
      <c r="AC2703" s="1"/>
      <c r="AD2703" s="1"/>
      <c r="AE2703" s="1"/>
      <c r="AF2703" s="1"/>
      <c r="AG2703" s="1"/>
      <c r="AH2703" s="1"/>
    </row>
    <row r="2704" spans="1:34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  <c r="AB2704" s="1"/>
      <c r="AC2704" s="1"/>
      <c r="AD2704" s="1"/>
      <c r="AE2704" s="1"/>
      <c r="AF2704" s="1"/>
      <c r="AG2704" s="1"/>
      <c r="AH2704" s="1"/>
    </row>
    <row r="2705" spans="1:34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  <c r="AB2705" s="1"/>
      <c r="AC2705" s="1"/>
      <c r="AD2705" s="1"/>
      <c r="AE2705" s="1"/>
      <c r="AF2705" s="1"/>
      <c r="AG2705" s="1"/>
      <c r="AH2705" s="1"/>
    </row>
    <row r="2706" spans="1:34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  <c r="AB2706" s="1"/>
      <c r="AC2706" s="1"/>
      <c r="AD2706" s="1"/>
      <c r="AE2706" s="1"/>
      <c r="AF2706" s="1"/>
      <c r="AG2706" s="1"/>
      <c r="AH2706" s="1"/>
    </row>
    <row r="2707" spans="1:34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  <c r="AB2707" s="1"/>
      <c r="AC2707" s="1"/>
      <c r="AD2707" s="1"/>
      <c r="AE2707" s="1"/>
      <c r="AF2707" s="1"/>
      <c r="AG2707" s="1"/>
      <c r="AH2707" s="1"/>
    </row>
    <row r="2708" spans="1:34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  <c r="AB2708" s="1"/>
      <c r="AC2708" s="1"/>
      <c r="AD2708" s="1"/>
      <c r="AE2708" s="1"/>
      <c r="AF2708" s="1"/>
      <c r="AG2708" s="1"/>
      <c r="AH2708" s="1"/>
    </row>
    <row r="2709" spans="1:34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  <c r="AB2709" s="1"/>
      <c r="AC2709" s="1"/>
      <c r="AD2709" s="1"/>
      <c r="AE2709" s="1"/>
      <c r="AF2709" s="1"/>
      <c r="AG2709" s="1"/>
      <c r="AH2709" s="1"/>
    </row>
    <row r="2710" spans="1:34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  <c r="AB2710" s="1"/>
      <c r="AC2710" s="1"/>
      <c r="AD2710" s="1"/>
      <c r="AE2710" s="1"/>
      <c r="AF2710" s="1"/>
      <c r="AG2710" s="1"/>
      <c r="AH2710" s="1"/>
    </row>
    <row r="2711" spans="1:34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  <c r="AB2711" s="1"/>
      <c r="AC2711" s="1"/>
      <c r="AD2711" s="1"/>
      <c r="AE2711" s="1"/>
      <c r="AF2711" s="1"/>
      <c r="AG2711" s="1"/>
      <c r="AH2711" s="1"/>
    </row>
    <row r="2712" spans="1:34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  <c r="AB2712" s="1"/>
      <c r="AC2712" s="1"/>
      <c r="AD2712" s="1"/>
      <c r="AE2712" s="1"/>
      <c r="AF2712" s="1"/>
      <c r="AG2712" s="1"/>
      <c r="AH2712" s="1"/>
    </row>
    <row r="2713" spans="1:34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  <c r="AB2713" s="1"/>
      <c r="AC2713" s="1"/>
      <c r="AD2713" s="1"/>
      <c r="AE2713" s="1"/>
      <c r="AF2713" s="1"/>
      <c r="AG2713" s="1"/>
      <c r="AH2713" s="1"/>
    </row>
    <row r="2714" spans="1:34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  <c r="AB2714" s="1"/>
      <c r="AC2714" s="1"/>
      <c r="AD2714" s="1"/>
      <c r="AE2714" s="1"/>
      <c r="AF2714" s="1"/>
      <c r="AG2714" s="1"/>
      <c r="AH2714" s="1"/>
    </row>
    <row r="2715" spans="1:34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  <c r="AB2715" s="1"/>
      <c r="AC2715" s="1"/>
      <c r="AD2715" s="1"/>
      <c r="AE2715" s="1"/>
      <c r="AF2715" s="1"/>
      <c r="AG2715" s="1"/>
      <c r="AH2715" s="1"/>
    </row>
    <row r="2716" spans="1:34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  <c r="AB2716" s="1"/>
      <c r="AC2716" s="1"/>
      <c r="AD2716" s="1"/>
      <c r="AE2716" s="1"/>
      <c r="AF2716" s="1"/>
      <c r="AG2716" s="1"/>
      <c r="AH2716" s="1"/>
    </row>
    <row r="2717" spans="1:34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  <c r="AB2717" s="1"/>
      <c r="AC2717" s="1"/>
      <c r="AD2717" s="1"/>
      <c r="AE2717" s="1"/>
      <c r="AF2717" s="1"/>
      <c r="AG2717" s="1"/>
      <c r="AH2717" s="1"/>
    </row>
    <row r="2718" spans="1:34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  <c r="AB2718" s="1"/>
      <c r="AC2718" s="1"/>
      <c r="AD2718" s="1"/>
      <c r="AE2718" s="1"/>
      <c r="AF2718" s="1"/>
      <c r="AG2718" s="1"/>
      <c r="AH2718" s="1"/>
    </row>
    <row r="2719" spans="1:34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  <c r="AB2719" s="1"/>
      <c r="AC2719" s="1"/>
      <c r="AD2719" s="1"/>
      <c r="AE2719" s="1"/>
      <c r="AF2719" s="1"/>
      <c r="AG2719" s="1"/>
      <c r="AH2719" s="1"/>
    </row>
    <row r="2720" spans="1:34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  <c r="AB2720" s="1"/>
      <c r="AC2720" s="1"/>
      <c r="AD2720" s="1"/>
      <c r="AE2720" s="1"/>
      <c r="AF2720" s="1"/>
      <c r="AG2720" s="1"/>
      <c r="AH2720" s="1"/>
    </row>
    <row r="2721" spans="1:34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  <c r="AB2721" s="1"/>
      <c r="AC2721" s="1"/>
      <c r="AD2721" s="1"/>
      <c r="AE2721" s="1"/>
      <c r="AF2721" s="1"/>
      <c r="AG2721" s="1"/>
      <c r="AH2721" s="1"/>
    </row>
    <row r="2722" spans="1:34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  <c r="AB2722" s="1"/>
      <c r="AC2722" s="1"/>
      <c r="AD2722" s="1"/>
      <c r="AE2722" s="1"/>
      <c r="AF2722" s="1"/>
      <c r="AG2722" s="1"/>
      <c r="AH2722" s="1"/>
    </row>
    <row r="2723" spans="1:34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  <c r="AB2723" s="1"/>
      <c r="AC2723" s="1"/>
      <c r="AD2723" s="1"/>
      <c r="AE2723" s="1"/>
      <c r="AF2723" s="1"/>
      <c r="AG2723" s="1"/>
      <c r="AH2723" s="1"/>
    </row>
    <row r="2724" spans="1:34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  <c r="AB2724" s="1"/>
      <c r="AC2724" s="1"/>
      <c r="AD2724" s="1"/>
      <c r="AE2724" s="1"/>
      <c r="AF2724" s="1"/>
      <c r="AG2724" s="1"/>
      <c r="AH2724" s="1"/>
    </row>
    <row r="2725" spans="1:34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  <c r="AB2725" s="1"/>
      <c r="AC2725" s="1"/>
      <c r="AD2725" s="1"/>
      <c r="AE2725" s="1"/>
      <c r="AF2725" s="1"/>
      <c r="AG2725" s="1"/>
      <c r="AH2725" s="1"/>
    </row>
    <row r="2726" spans="1:34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  <c r="AB2726" s="1"/>
      <c r="AC2726" s="1"/>
      <c r="AD2726" s="1"/>
      <c r="AE2726" s="1"/>
      <c r="AF2726" s="1"/>
      <c r="AG2726" s="1"/>
      <c r="AH2726" s="1"/>
    </row>
    <row r="2727" spans="1:34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  <c r="AB2727" s="1"/>
      <c r="AC2727" s="1"/>
      <c r="AD2727" s="1"/>
      <c r="AE2727" s="1"/>
      <c r="AF2727" s="1"/>
      <c r="AG2727" s="1"/>
      <c r="AH2727" s="1"/>
    </row>
    <row r="2728" spans="1:34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  <c r="AB2728" s="1"/>
      <c r="AC2728" s="1"/>
      <c r="AD2728" s="1"/>
      <c r="AE2728" s="1"/>
      <c r="AF2728" s="1"/>
      <c r="AG2728" s="1"/>
      <c r="AH2728" s="1"/>
    </row>
    <row r="2729" spans="1:34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  <c r="AB2729" s="1"/>
      <c r="AC2729" s="1"/>
      <c r="AD2729" s="1"/>
      <c r="AE2729" s="1"/>
      <c r="AF2729" s="1"/>
      <c r="AG2729" s="1"/>
      <c r="AH2729" s="1"/>
    </row>
    <row r="2730" spans="1:34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  <c r="AB2730" s="1"/>
      <c r="AC2730" s="1"/>
      <c r="AD2730" s="1"/>
      <c r="AE2730" s="1"/>
      <c r="AF2730" s="1"/>
      <c r="AG2730" s="1"/>
      <c r="AH2730" s="1"/>
    </row>
    <row r="2731" spans="1:34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  <c r="AB2731" s="1"/>
      <c r="AC2731" s="1"/>
      <c r="AD2731" s="1"/>
      <c r="AE2731" s="1"/>
      <c r="AF2731" s="1"/>
      <c r="AG2731" s="1"/>
      <c r="AH2731" s="1"/>
    </row>
    <row r="2732" spans="1:34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  <c r="AB2732" s="1"/>
      <c r="AC2732" s="1"/>
      <c r="AD2732" s="1"/>
      <c r="AE2732" s="1"/>
      <c r="AF2732" s="1"/>
      <c r="AG2732" s="1"/>
      <c r="AH2732" s="1"/>
    </row>
    <row r="2733" spans="1:34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  <c r="AB2733" s="1"/>
      <c r="AC2733" s="1"/>
      <c r="AD2733" s="1"/>
      <c r="AE2733" s="1"/>
      <c r="AF2733" s="1"/>
      <c r="AG2733" s="1"/>
      <c r="AH2733" s="1"/>
    </row>
    <row r="2734" spans="1:34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  <c r="AB2734" s="1"/>
      <c r="AC2734" s="1"/>
      <c r="AD2734" s="1"/>
      <c r="AE2734" s="1"/>
      <c r="AF2734" s="1"/>
      <c r="AG2734" s="1"/>
      <c r="AH2734" s="1"/>
    </row>
    <row r="2735" spans="1:34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  <c r="AB2735" s="1"/>
      <c r="AC2735" s="1"/>
      <c r="AD2735" s="1"/>
      <c r="AE2735" s="1"/>
      <c r="AF2735" s="1"/>
      <c r="AG2735" s="1"/>
      <c r="AH2735" s="1"/>
    </row>
    <row r="2736" spans="1:34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  <c r="AB2736" s="1"/>
      <c r="AC2736" s="1"/>
      <c r="AD2736" s="1"/>
      <c r="AE2736" s="1"/>
      <c r="AF2736" s="1"/>
      <c r="AG2736" s="1"/>
      <c r="AH2736" s="1"/>
    </row>
    <row r="2737" spans="1:34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  <c r="AB2737" s="1"/>
      <c r="AC2737" s="1"/>
      <c r="AD2737" s="1"/>
      <c r="AE2737" s="1"/>
      <c r="AF2737" s="1"/>
      <c r="AG2737" s="1"/>
      <c r="AH2737" s="1"/>
    </row>
    <row r="2738" spans="1:34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  <c r="AB2738" s="1"/>
      <c r="AC2738" s="1"/>
      <c r="AD2738" s="1"/>
      <c r="AE2738" s="1"/>
      <c r="AF2738" s="1"/>
      <c r="AG2738" s="1"/>
      <c r="AH2738" s="1"/>
    </row>
    <row r="2739" spans="1:34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  <c r="AB2739" s="1"/>
      <c r="AC2739" s="1"/>
      <c r="AD2739" s="1"/>
      <c r="AE2739" s="1"/>
      <c r="AF2739" s="1"/>
      <c r="AG2739" s="1"/>
      <c r="AH2739" s="1"/>
    </row>
    <row r="2740" spans="1:34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  <c r="AB2740" s="1"/>
      <c r="AC2740" s="1"/>
      <c r="AD2740" s="1"/>
      <c r="AE2740" s="1"/>
      <c r="AF2740" s="1"/>
      <c r="AG2740" s="1"/>
      <c r="AH2740" s="1"/>
    </row>
    <row r="2741" spans="1:34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  <c r="AB2741" s="1"/>
      <c r="AC2741" s="1"/>
      <c r="AD2741" s="1"/>
      <c r="AE2741" s="1"/>
      <c r="AF2741" s="1"/>
      <c r="AG2741" s="1"/>
      <c r="AH2741" s="1"/>
    </row>
    <row r="2742" spans="1:34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  <c r="AB2742" s="1"/>
      <c r="AC2742" s="1"/>
      <c r="AD2742" s="1"/>
      <c r="AE2742" s="1"/>
      <c r="AF2742" s="1"/>
      <c r="AG2742" s="1"/>
      <c r="AH2742" s="1"/>
    </row>
    <row r="2743" spans="1:34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  <c r="AB2743" s="1"/>
      <c r="AC2743" s="1"/>
      <c r="AD2743" s="1"/>
      <c r="AE2743" s="1"/>
      <c r="AF2743" s="1"/>
      <c r="AG2743" s="1"/>
      <c r="AH2743" s="1"/>
    </row>
    <row r="2744" spans="1:34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  <c r="AB2744" s="1"/>
      <c r="AC2744" s="1"/>
      <c r="AD2744" s="1"/>
      <c r="AE2744" s="1"/>
      <c r="AF2744" s="1"/>
      <c r="AG2744" s="1"/>
      <c r="AH2744" s="1"/>
    </row>
    <row r="2745" spans="1:34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  <c r="AB2745" s="1"/>
      <c r="AC2745" s="1"/>
      <c r="AD2745" s="1"/>
      <c r="AE2745" s="1"/>
      <c r="AF2745" s="1"/>
      <c r="AG2745" s="1"/>
      <c r="AH2745" s="1"/>
    </row>
    <row r="2746" spans="1:34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  <c r="AB2746" s="1"/>
      <c r="AC2746" s="1"/>
      <c r="AD2746" s="1"/>
      <c r="AE2746" s="1"/>
      <c r="AF2746" s="1"/>
      <c r="AG2746" s="1"/>
      <c r="AH2746" s="1"/>
    </row>
    <row r="2747" spans="1:34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  <c r="AB2747" s="1"/>
      <c r="AC2747" s="1"/>
      <c r="AD2747" s="1"/>
      <c r="AE2747" s="1"/>
      <c r="AF2747" s="1"/>
      <c r="AG2747" s="1"/>
      <c r="AH2747" s="1"/>
    </row>
    <row r="2748" spans="1:34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  <c r="AB2748" s="1"/>
      <c r="AC2748" s="1"/>
      <c r="AD2748" s="1"/>
      <c r="AE2748" s="1"/>
      <c r="AF2748" s="1"/>
      <c r="AG2748" s="1"/>
      <c r="AH2748" s="1"/>
    </row>
    <row r="2749" spans="1:34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  <c r="AB2749" s="1"/>
      <c r="AC2749" s="1"/>
      <c r="AD2749" s="1"/>
      <c r="AE2749" s="1"/>
      <c r="AF2749" s="1"/>
      <c r="AG2749" s="1"/>
      <c r="AH2749" s="1"/>
    </row>
    <row r="2750" spans="1:34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  <c r="AB2750" s="1"/>
      <c r="AC2750" s="1"/>
      <c r="AD2750" s="1"/>
      <c r="AE2750" s="1"/>
      <c r="AF2750" s="1"/>
      <c r="AG2750" s="1"/>
      <c r="AH2750" s="1"/>
    </row>
    <row r="2751" spans="1:34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  <c r="AB2751" s="1"/>
      <c r="AC2751" s="1"/>
      <c r="AD2751" s="1"/>
      <c r="AE2751" s="1"/>
      <c r="AF2751" s="1"/>
      <c r="AG2751" s="1"/>
      <c r="AH2751" s="1"/>
    </row>
    <row r="2752" spans="1:34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  <c r="AB2752" s="1"/>
      <c r="AC2752" s="1"/>
      <c r="AD2752" s="1"/>
      <c r="AE2752" s="1"/>
      <c r="AF2752" s="1"/>
      <c r="AG2752" s="1"/>
      <c r="AH2752" s="1"/>
    </row>
    <row r="2753" spans="1:34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  <c r="AB2753" s="1"/>
      <c r="AC2753" s="1"/>
      <c r="AD2753" s="1"/>
      <c r="AE2753" s="1"/>
      <c r="AF2753" s="1"/>
      <c r="AG2753" s="1"/>
      <c r="AH2753" s="1"/>
    </row>
    <row r="2754" spans="1:34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  <c r="AB2754" s="1"/>
      <c r="AC2754" s="1"/>
      <c r="AD2754" s="1"/>
      <c r="AE2754" s="1"/>
      <c r="AF2754" s="1"/>
      <c r="AG2754" s="1"/>
      <c r="AH2754" s="1"/>
    </row>
    <row r="2755" spans="1:34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  <c r="AB2755" s="1"/>
      <c r="AC2755" s="1"/>
      <c r="AD2755" s="1"/>
      <c r="AE2755" s="1"/>
      <c r="AF2755" s="1"/>
      <c r="AG2755" s="1"/>
      <c r="AH2755" s="1"/>
    </row>
    <row r="2756" spans="1:34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  <c r="AB2756" s="1"/>
      <c r="AC2756" s="1"/>
      <c r="AD2756" s="1"/>
      <c r="AE2756" s="1"/>
      <c r="AF2756" s="1"/>
      <c r="AG2756" s="1"/>
      <c r="AH2756" s="1"/>
    </row>
    <row r="2757" spans="1:34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  <c r="AB2757" s="1"/>
      <c r="AC2757" s="1"/>
      <c r="AD2757" s="1"/>
      <c r="AE2757" s="1"/>
      <c r="AF2757" s="1"/>
      <c r="AG2757" s="1"/>
      <c r="AH2757" s="1"/>
    </row>
    <row r="2758" spans="1:34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  <c r="AB2758" s="1"/>
      <c r="AC2758" s="1"/>
      <c r="AD2758" s="1"/>
      <c r="AE2758" s="1"/>
      <c r="AF2758" s="1"/>
      <c r="AG2758" s="1"/>
      <c r="AH2758" s="1"/>
    </row>
    <row r="2759" spans="1:34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  <c r="AB2759" s="1"/>
      <c r="AC2759" s="1"/>
      <c r="AD2759" s="1"/>
      <c r="AE2759" s="1"/>
      <c r="AF2759" s="1"/>
      <c r="AG2759" s="1"/>
      <c r="AH2759" s="1"/>
    </row>
    <row r="2760" spans="1:34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  <c r="AB2760" s="1"/>
      <c r="AC2760" s="1"/>
      <c r="AD2760" s="1"/>
      <c r="AE2760" s="1"/>
      <c r="AF2760" s="1"/>
      <c r="AG2760" s="1"/>
      <c r="AH2760" s="1"/>
    </row>
    <row r="2761" spans="1:34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  <c r="AB2761" s="1"/>
      <c r="AC2761" s="1"/>
      <c r="AD2761" s="1"/>
      <c r="AE2761" s="1"/>
      <c r="AF2761" s="1"/>
      <c r="AG2761" s="1"/>
      <c r="AH2761" s="1"/>
    </row>
    <row r="2762" spans="1:34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  <c r="AB2762" s="1"/>
      <c r="AC2762" s="1"/>
      <c r="AD2762" s="1"/>
      <c r="AE2762" s="1"/>
      <c r="AF2762" s="1"/>
      <c r="AG2762" s="1"/>
      <c r="AH2762" s="1"/>
    </row>
    <row r="2763" spans="1:34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  <c r="AB2763" s="1"/>
      <c r="AC2763" s="1"/>
      <c r="AD2763" s="1"/>
      <c r="AE2763" s="1"/>
      <c r="AF2763" s="1"/>
      <c r="AG2763" s="1"/>
      <c r="AH2763" s="1"/>
    </row>
    <row r="2764" spans="1:34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  <c r="AB2764" s="1"/>
      <c r="AC2764" s="1"/>
      <c r="AD2764" s="1"/>
      <c r="AE2764" s="1"/>
      <c r="AF2764" s="1"/>
      <c r="AG2764" s="1"/>
      <c r="AH2764" s="1"/>
    </row>
    <row r="2765" spans="1:34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  <c r="AB2765" s="1"/>
      <c r="AC2765" s="1"/>
      <c r="AD2765" s="1"/>
      <c r="AE2765" s="1"/>
      <c r="AF2765" s="1"/>
      <c r="AG2765" s="1"/>
      <c r="AH2765" s="1"/>
    </row>
    <row r="2766" spans="1:34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  <c r="AB2766" s="1"/>
      <c r="AC2766" s="1"/>
      <c r="AD2766" s="1"/>
      <c r="AE2766" s="1"/>
      <c r="AF2766" s="1"/>
      <c r="AG2766" s="1"/>
      <c r="AH2766" s="1"/>
    </row>
    <row r="2767" spans="1:34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  <c r="AB2767" s="1"/>
      <c r="AC2767" s="1"/>
      <c r="AD2767" s="1"/>
      <c r="AE2767" s="1"/>
      <c r="AF2767" s="1"/>
      <c r="AG2767" s="1"/>
      <c r="AH2767" s="1"/>
    </row>
    <row r="2768" spans="1:34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  <c r="AB2768" s="1"/>
      <c r="AC2768" s="1"/>
      <c r="AD2768" s="1"/>
      <c r="AE2768" s="1"/>
      <c r="AF2768" s="1"/>
      <c r="AG2768" s="1"/>
      <c r="AH2768" s="1"/>
    </row>
    <row r="2769" spans="1:34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  <c r="AB2769" s="1"/>
      <c r="AC2769" s="1"/>
      <c r="AD2769" s="1"/>
      <c r="AE2769" s="1"/>
      <c r="AF2769" s="1"/>
      <c r="AG2769" s="1"/>
      <c r="AH2769" s="1"/>
    </row>
    <row r="2770" spans="1:34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  <c r="AB2770" s="1"/>
      <c r="AC2770" s="1"/>
      <c r="AD2770" s="1"/>
      <c r="AE2770" s="1"/>
      <c r="AF2770" s="1"/>
      <c r="AG2770" s="1"/>
      <c r="AH2770" s="1"/>
    </row>
    <row r="2771" spans="1:34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  <c r="AB2771" s="1"/>
      <c r="AC2771" s="1"/>
      <c r="AD2771" s="1"/>
      <c r="AE2771" s="1"/>
      <c r="AF2771" s="1"/>
      <c r="AG2771" s="1"/>
      <c r="AH2771" s="1"/>
    </row>
    <row r="2772" spans="1:34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  <c r="AB2772" s="1"/>
      <c r="AC2772" s="1"/>
      <c r="AD2772" s="1"/>
      <c r="AE2772" s="1"/>
      <c r="AF2772" s="1"/>
      <c r="AG2772" s="1"/>
      <c r="AH2772" s="1"/>
    </row>
    <row r="2773" spans="1:34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  <c r="AB2773" s="1"/>
      <c r="AC2773" s="1"/>
      <c r="AD2773" s="1"/>
      <c r="AE2773" s="1"/>
      <c r="AF2773" s="1"/>
      <c r="AG2773" s="1"/>
      <c r="AH2773" s="1"/>
    </row>
    <row r="2774" spans="1:34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  <c r="AB2774" s="1"/>
      <c r="AC2774" s="1"/>
      <c r="AD2774" s="1"/>
      <c r="AE2774" s="1"/>
      <c r="AF2774" s="1"/>
      <c r="AG2774" s="1"/>
      <c r="AH2774" s="1"/>
    </row>
    <row r="2775" spans="1:34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  <c r="AB2775" s="1"/>
      <c r="AC2775" s="1"/>
      <c r="AD2775" s="1"/>
      <c r="AE2775" s="1"/>
      <c r="AF2775" s="1"/>
      <c r="AG2775" s="1"/>
      <c r="AH2775" s="1"/>
    </row>
    <row r="2776" spans="1:34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  <c r="AB2776" s="1"/>
      <c r="AC2776" s="1"/>
      <c r="AD2776" s="1"/>
      <c r="AE2776" s="1"/>
      <c r="AF2776" s="1"/>
      <c r="AG2776" s="1"/>
      <c r="AH2776" s="1"/>
    </row>
    <row r="2777" spans="1:34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  <c r="AB2777" s="1"/>
      <c r="AC2777" s="1"/>
      <c r="AD2777" s="1"/>
      <c r="AE2777" s="1"/>
      <c r="AF2777" s="1"/>
      <c r="AG2777" s="1"/>
      <c r="AH2777" s="1"/>
    </row>
    <row r="2778" spans="1:34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  <c r="AB2778" s="1"/>
      <c r="AC2778" s="1"/>
      <c r="AD2778" s="1"/>
      <c r="AE2778" s="1"/>
      <c r="AF2778" s="1"/>
      <c r="AG2778" s="1"/>
      <c r="AH2778" s="1"/>
    </row>
    <row r="2779" spans="1:34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  <c r="AB2779" s="1"/>
      <c r="AC2779" s="1"/>
      <c r="AD2779" s="1"/>
      <c r="AE2779" s="1"/>
      <c r="AF2779" s="1"/>
      <c r="AG2779" s="1"/>
      <c r="AH2779" s="1"/>
    </row>
    <row r="2780" spans="1:34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  <c r="AB2780" s="1"/>
      <c r="AC2780" s="1"/>
      <c r="AD2780" s="1"/>
      <c r="AE2780" s="1"/>
      <c r="AF2780" s="1"/>
      <c r="AG2780" s="1"/>
      <c r="AH2780" s="1"/>
    </row>
    <row r="2781" spans="1:34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  <c r="AB2781" s="1"/>
      <c r="AC2781" s="1"/>
      <c r="AD2781" s="1"/>
      <c r="AE2781" s="1"/>
      <c r="AF2781" s="1"/>
      <c r="AG2781" s="1"/>
      <c r="AH2781" s="1"/>
    </row>
    <row r="2782" spans="1:34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  <c r="AB2782" s="1"/>
      <c r="AC2782" s="1"/>
      <c r="AD2782" s="1"/>
      <c r="AE2782" s="1"/>
      <c r="AF2782" s="1"/>
      <c r="AG2782" s="1"/>
      <c r="AH2782" s="1"/>
    </row>
    <row r="2783" spans="1:34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  <c r="AB2783" s="1"/>
      <c r="AC2783" s="1"/>
      <c r="AD2783" s="1"/>
      <c r="AE2783" s="1"/>
      <c r="AF2783" s="1"/>
      <c r="AG2783" s="1"/>
      <c r="AH2783" s="1"/>
    </row>
    <row r="2784" spans="1:34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  <c r="AB2784" s="1"/>
      <c r="AC2784" s="1"/>
      <c r="AD2784" s="1"/>
      <c r="AE2784" s="1"/>
      <c r="AF2784" s="1"/>
      <c r="AG2784" s="1"/>
      <c r="AH2784" s="1"/>
    </row>
    <row r="2785" spans="1:34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  <c r="AB2785" s="1"/>
      <c r="AC2785" s="1"/>
      <c r="AD2785" s="1"/>
      <c r="AE2785" s="1"/>
      <c r="AF2785" s="1"/>
      <c r="AG2785" s="1"/>
      <c r="AH2785" s="1"/>
    </row>
    <row r="2786" spans="1:34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  <c r="AB2786" s="1"/>
      <c r="AC2786" s="1"/>
      <c r="AD2786" s="1"/>
      <c r="AE2786" s="1"/>
      <c r="AF2786" s="1"/>
      <c r="AG2786" s="1"/>
      <c r="AH2786" s="1"/>
    </row>
    <row r="2787" spans="1:34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  <c r="AB2787" s="1"/>
      <c r="AC2787" s="1"/>
      <c r="AD2787" s="1"/>
      <c r="AE2787" s="1"/>
      <c r="AF2787" s="1"/>
      <c r="AG2787" s="1"/>
      <c r="AH2787" s="1"/>
    </row>
    <row r="2788" spans="1:34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  <c r="AB2788" s="1"/>
      <c r="AC2788" s="1"/>
      <c r="AD2788" s="1"/>
      <c r="AE2788" s="1"/>
      <c r="AF2788" s="1"/>
      <c r="AG2788" s="1"/>
      <c r="AH2788" s="1"/>
    </row>
    <row r="2789" spans="1:34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  <c r="AB2789" s="1"/>
      <c r="AC2789" s="1"/>
      <c r="AD2789" s="1"/>
      <c r="AE2789" s="1"/>
      <c r="AF2789" s="1"/>
      <c r="AG2789" s="1"/>
      <c r="AH2789" s="1"/>
    </row>
    <row r="2790" spans="1:34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  <c r="AB2790" s="1"/>
      <c r="AC2790" s="1"/>
      <c r="AD2790" s="1"/>
      <c r="AE2790" s="1"/>
      <c r="AF2790" s="1"/>
      <c r="AG2790" s="1"/>
      <c r="AH2790" s="1"/>
    </row>
    <row r="2791" spans="1:34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  <c r="AB2791" s="1"/>
      <c r="AC2791" s="1"/>
      <c r="AD2791" s="1"/>
      <c r="AE2791" s="1"/>
      <c r="AF2791" s="1"/>
      <c r="AG2791" s="1"/>
      <c r="AH2791" s="1"/>
    </row>
    <row r="2792" spans="1:34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  <c r="AB2792" s="1"/>
      <c r="AC2792" s="1"/>
      <c r="AD2792" s="1"/>
      <c r="AE2792" s="1"/>
      <c r="AF2792" s="1"/>
      <c r="AG2792" s="1"/>
      <c r="AH2792" s="1"/>
    </row>
    <row r="2793" spans="1:34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  <c r="AB2793" s="1"/>
      <c r="AC2793" s="1"/>
      <c r="AD2793" s="1"/>
      <c r="AE2793" s="1"/>
      <c r="AF2793" s="1"/>
      <c r="AG2793" s="1"/>
      <c r="AH2793" s="1"/>
    </row>
    <row r="2794" spans="1:34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  <c r="AB2794" s="1"/>
      <c r="AC2794" s="1"/>
      <c r="AD2794" s="1"/>
      <c r="AE2794" s="1"/>
      <c r="AF2794" s="1"/>
      <c r="AG2794" s="1"/>
      <c r="AH2794" s="1"/>
    </row>
    <row r="2795" spans="1:34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  <c r="AB2795" s="1"/>
      <c r="AC2795" s="1"/>
      <c r="AD2795" s="1"/>
      <c r="AE2795" s="1"/>
      <c r="AF2795" s="1"/>
      <c r="AG2795" s="1"/>
      <c r="AH2795" s="1"/>
    </row>
    <row r="2796" spans="1:34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  <c r="AB2796" s="1"/>
      <c r="AC2796" s="1"/>
      <c r="AD2796" s="1"/>
      <c r="AE2796" s="1"/>
      <c r="AF2796" s="1"/>
      <c r="AG2796" s="1"/>
      <c r="AH2796" s="1"/>
    </row>
    <row r="2797" spans="1:34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</row>
    <row r="2798" spans="1:34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</row>
    <row r="2799" spans="1:34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</row>
    <row r="2800" spans="1:34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</row>
    <row r="2801" spans="1:34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</row>
    <row r="2802" spans="1:34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</row>
    <row r="2803" spans="1:34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</row>
    <row r="2804" spans="1:34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</row>
    <row r="2805" spans="1:34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</row>
    <row r="2806" spans="1:34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</row>
    <row r="2807" spans="1:34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</row>
    <row r="2808" spans="1:34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</row>
    <row r="2809" spans="1:34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</row>
    <row r="2810" spans="1:34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</row>
    <row r="2811" spans="1:34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</row>
    <row r="2812" spans="1:34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</row>
    <row r="2813" spans="1:34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</row>
    <row r="2814" spans="1:34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</row>
    <row r="2815" spans="1:34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</row>
    <row r="2816" spans="1:34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</row>
    <row r="2817" spans="1:34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</row>
    <row r="2818" spans="1:34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</row>
    <row r="2819" spans="1:34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</row>
    <row r="2820" spans="1:34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</row>
    <row r="2821" spans="1:34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</row>
    <row r="2822" spans="1:34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</row>
    <row r="2823" spans="1:34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</row>
    <row r="2824" spans="1:34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</row>
    <row r="2825" spans="1:34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</row>
    <row r="2826" spans="1:34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</row>
    <row r="2827" spans="1:34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</row>
    <row r="2828" spans="1:34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</row>
    <row r="2829" spans="1:34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</row>
    <row r="2830" spans="1:34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</row>
    <row r="2831" spans="1:34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</row>
    <row r="2832" spans="1:34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</row>
    <row r="2833" spans="1:34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</row>
    <row r="2834" spans="1:34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</row>
    <row r="2835" spans="1:34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</row>
    <row r="2836" spans="1:34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</row>
    <row r="2837" spans="1:34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</row>
    <row r="2838" spans="1:34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</row>
    <row r="2839" spans="1:34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</row>
    <row r="2840" spans="1:34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</row>
    <row r="2841" spans="1:34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</row>
    <row r="2842" spans="1:34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</row>
    <row r="2843" spans="1:34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</row>
    <row r="2844" spans="1:34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</row>
    <row r="2845" spans="1:34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</row>
    <row r="2846" spans="1:34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</row>
    <row r="2847" spans="1:34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</row>
    <row r="2848" spans="1:34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</row>
    <row r="2849" spans="1:34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</row>
    <row r="2850" spans="1:34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</row>
    <row r="2851" spans="1:34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</row>
    <row r="2852" spans="1:34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</row>
    <row r="2853" spans="1:34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</row>
    <row r="2854" spans="1:34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</row>
    <row r="2855" spans="1:34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</row>
    <row r="2856" spans="1:34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</row>
    <row r="2857" spans="1:34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</row>
    <row r="2858" spans="1:34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</row>
    <row r="2859" spans="1:34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</row>
    <row r="2860" spans="1:34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</row>
    <row r="2861" spans="1:34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</row>
    <row r="2862" spans="1:34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</row>
    <row r="2863" spans="1:34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</row>
    <row r="2864" spans="1:34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</row>
    <row r="2865" spans="1:34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</row>
    <row r="2866" spans="1:34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</row>
    <row r="2867" spans="1:34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</row>
    <row r="2868" spans="1:34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</row>
    <row r="2869" spans="1:34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</row>
    <row r="2870" spans="1:34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</row>
    <row r="2871" spans="1:34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</row>
    <row r="2872" spans="1:34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</row>
    <row r="2873" spans="1:34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</row>
    <row r="2874" spans="1:34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</row>
    <row r="2875" spans="1:34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</row>
    <row r="2876" spans="1:34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</row>
    <row r="2877" spans="1:34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</row>
    <row r="2878" spans="1:34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</row>
    <row r="2879" spans="1:34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</row>
    <row r="2880" spans="1:34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</row>
    <row r="2881" spans="1:34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</row>
    <row r="2882" spans="1:34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</row>
    <row r="2883" spans="1:34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</row>
    <row r="2884" spans="1:34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</row>
    <row r="2885" spans="1:34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</row>
    <row r="2886" spans="1:34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</row>
    <row r="2887" spans="1:34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</row>
    <row r="2888" spans="1:34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</row>
    <row r="2889" spans="1:34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</row>
    <row r="2890" spans="1:34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</row>
    <row r="2891" spans="1:34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</row>
    <row r="2892" spans="1:34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</row>
    <row r="2893" spans="1:34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</row>
    <row r="2894" spans="1:34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</row>
    <row r="2895" spans="1:34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</row>
    <row r="2896" spans="1:34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</row>
    <row r="2897" spans="1:34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</row>
    <row r="2898" spans="1:34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</row>
    <row r="2899" spans="1:34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</row>
    <row r="2900" spans="1:34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</row>
    <row r="2901" spans="1:34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</row>
    <row r="2902" spans="1:34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</row>
    <row r="2903" spans="1:34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</row>
    <row r="2904" spans="1:34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</row>
    <row r="2905" spans="1:34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</row>
    <row r="2906" spans="1:34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</row>
    <row r="2907" spans="1:34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</row>
    <row r="2908" spans="1:34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</row>
    <row r="2909" spans="1:34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</row>
    <row r="2910" spans="1:34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</row>
    <row r="2911" spans="1:34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</row>
    <row r="2912" spans="1:34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</row>
    <row r="2913" spans="1:34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</row>
    <row r="2914" spans="1:34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</row>
    <row r="2915" spans="1:34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</row>
    <row r="2916" spans="1:34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</row>
    <row r="2917" spans="1:34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</row>
    <row r="2918" spans="1:34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</row>
    <row r="2919" spans="1:34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</row>
    <row r="2920" spans="1:34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</row>
    <row r="2921" spans="1:34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</row>
    <row r="2922" spans="1:34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</row>
    <row r="2923" spans="1:34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</row>
    <row r="2924" spans="1:34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</row>
    <row r="2925" spans="1:34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</row>
    <row r="2926" spans="1:34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</row>
    <row r="2927" spans="1:34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</row>
    <row r="2928" spans="1:34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</row>
    <row r="2929" spans="1:34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</row>
    <row r="2930" spans="1:34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</row>
    <row r="2931" spans="1:34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</row>
    <row r="2932" spans="1:34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</row>
    <row r="2933" spans="1:34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</row>
    <row r="2934" spans="1:34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</row>
    <row r="2935" spans="1:34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</row>
    <row r="2936" spans="1:34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</row>
    <row r="2937" spans="1:34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</row>
    <row r="2938" spans="1:34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</row>
    <row r="2939" spans="1:34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</row>
    <row r="2940" spans="1:34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</row>
    <row r="2941" spans="1:34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</row>
    <row r="2942" spans="1:34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</row>
    <row r="2943" spans="1:34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</row>
    <row r="2944" spans="1:34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</row>
    <row r="2945" spans="1:34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</row>
    <row r="2946" spans="1:34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</row>
    <row r="2947" spans="1:34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</row>
    <row r="2948" spans="1:34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</row>
    <row r="2949" spans="1:34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</row>
    <row r="2950" spans="1:34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</row>
    <row r="2951" spans="1:34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</row>
    <row r="2952" spans="1:34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</row>
    <row r="2953" spans="1:34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</row>
    <row r="2954" spans="1:34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</row>
    <row r="2955" spans="1:34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</row>
    <row r="2956" spans="1:34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</row>
    <row r="2957" spans="1:34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</row>
    <row r="2958" spans="1:34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</row>
    <row r="2959" spans="1:34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</row>
    <row r="2960" spans="1:34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</row>
    <row r="2961" spans="1:34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</row>
    <row r="2962" spans="1:34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</row>
    <row r="2963" spans="1:34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</row>
    <row r="2964" spans="1:34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</row>
    <row r="2965" spans="1:34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</row>
    <row r="2966" spans="1:34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</row>
    <row r="2967" spans="1:34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</row>
    <row r="2968" spans="1:34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</row>
    <row r="2969" spans="1:34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</row>
    <row r="2970" spans="1:34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</row>
    <row r="2971" spans="1:34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</row>
    <row r="2972" spans="1:34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</row>
    <row r="2973" spans="1:34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</row>
    <row r="2974" spans="1:34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</row>
    <row r="2975" spans="1:34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</row>
    <row r="2976" spans="1:34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</row>
    <row r="2977" spans="1:34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</row>
    <row r="2978" spans="1:34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</row>
    <row r="2979" spans="1:34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</row>
    <row r="2980" spans="1:34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</row>
    <row r="2981" spans="1:34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</row>
    <row r="2982" spans="1:34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</row>
    <row r="2983" spans="1:34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</row>
    <row r="2984" spans="1:34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</row>
    <row r="2985" spans="1:34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</row>
    <row r="2986" spans="1:34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</row>
    <row r="2987" spans="1:34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</row>
    <row r="2988" spans="1:34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</row>
    <row r="2989" spans="1:34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</row>
    <row r="2990" spans="1:34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</row>
    <row r="2991" spans="1:34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</row>
    <row r="2992" spans="1:34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</row>
    <row r="2993" spans="1:34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</row>
    <row r="2994" spans="1:34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</row>
    <row r="2995" spans="1:34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</row>
    <row r="2996" spans="1:34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</row>
    <row r="2997" spans="1:34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</row>
    <row r="2998" spans="1:34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</row>
    <row r="2999" spans="1:34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</row>
    <row r="3000" spans="1:34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</row>
    <row r="3001" spans="1:34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</row>
    <row r="3002" spans="1:34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</row>
    <row r="3003" spans="1:34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</row>
    <row r="3004" spans="1:34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</row>
    <row r="3005" spans="1:34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</row>
    <row r="3006" spans="1:34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</row>
    <row r="3007" spans="1:34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</row>
    <row r="3008" spans="1:34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</row>
    <row r="3009" spans="1:34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</row>
    <row r="3010" spans="1:34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</row>
    <row r="3011" spans="1:34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</row>
    <row r="3012" spans="1:34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</row>
    <row r="3013" spans="1:34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</row>
    <row r="3014" spans="1:34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</row>
    <row r="3015" spans="1:34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</row>
    <row r="3016" spans="1:34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</row>
    <row r="3017" spans="1:34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</row>
    <row r="3018" spans="1:34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</row>
    <row r="3019" spans="1:34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</row>
    <row r="3020" spans="1:34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</row>
    <row r="3021" spans="1:34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</row>
    <row r="3022" spans="1:34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</row>
    <row r="3023" spans="1:34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</row>
    <row r="3024" spans="1:34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</row>
    <row r="3025" spans="1:34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</row>
    <row r="3026" spans="1:34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</row>
    <row r="3027" spans="1:34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</row>
    <row r="3028" spans="1:34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</row>
    <row r="3029" spans="1:34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</row>
    <row r="3030" spans="1:34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</row>
    <row r="3031" spans="1:34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</row>
    <row r="3032" spans="1:34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</row>
    <row r="3033" spans="1:34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</row>
    <row r="3034" spans="1:34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</row>
    <row r="3035" spans="1:34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</row>
    <row r="3036" spans="1:34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</row>
    <row r="3037" spans="1:34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</row>
    <row r="3038" spans="1:34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</row>
    <row r="3039" spans="1:34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</row>
    <row r="3040" spans="1:34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</row>
    <row r="3041" spans="1:34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</row>
    <row r="3042" spans="1:34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</row>
    <row r="3043" spans="1:34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</row>
    <row r="3044" spans="1:34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</row>
    <row r="3045" spans="1:34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</row>
    <row r="3046" spans="1:34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</row>
    <row r="3047" spans="1:34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</row>
    <row r="3048" spans="1:34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</row>
    <row r="3049" spans="1:34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</row>
    <row r="3050" spans="1:34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</row>
    <row r="3051" spans="1:34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</row>
    <row r="3052" spans="1:34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</row>
    <row r="3053" spans="1:34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</row>
    <row r="3054" spans="1:34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</row>
    <row r="3055" spans="1:34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</row>
    <row r="3056" spans="1:34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</row>
    <row r="3057" spans="1:34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</row>
    <row r="3058" spans="1:34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</row>
    <row r="3059" spans="1:34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</row>
    <row r="3060" spans="1:34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</row>
    <row r="3061" spans="1:34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</row>
    <row r="3062" spans="1:34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</row>
    <row r="3063" spans="1:34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</row>
    <row r="3064" spans="1:34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</row>
    <row r="3065" spans="1:34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</row>
    <row r="3066" spans="1:34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</row>
    <row r="3067" spans="1:34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</row>
    <row r="3068" spans="1:34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</row>
    <row r="3069" spans="1:34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</row>
    <row r="3070" spans="1:34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</row>
    <row r="3071" spans="1:34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</row>
    <row r="3072" spans="1:34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</row>
    <row r="3073" spans="1:34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</row>
    <row r="3074" spans="1:34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</row>
    <row r="3075" spans="1:34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</row>
    <row r="3076" spans="1:34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</row>
    <row r="3077" spans="1:34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</row>
    <row r="3078" spans="1:34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</row>
    <row r="3079" spans="1:34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</row>
    <row r="3080" spans="1:34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</row>
    <row r="3081" spans="1:34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</row>
    <row r="3082" spans="1:34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</row>
    <row r="3083" spans="1:34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</row>
    <row r="3084" spans="1:34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</row>
    <row r="3085" spans="1:34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</row>
    <row r="3086" spans="1:34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</row>
    <row r="3087" spans="1:34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</row>
    <row r="3088" spans="1:34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</row>
    <row r="3089" spans="1:34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</row>
    <row r="3090" spans="1:34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</row>
    <row r="3091" spans="1:34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</row>
    <row r="3092" spans="1:34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</row>
    <row r="3093" spans="1:34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</row>
    <row r="3094" spans="1:34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</row>
    <row r="3095" spans="1:34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</row>
    <row r="3096" spans="1:34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</row>
    <row r="3097" spans="1:34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</row>
    <row r="3098" spans="1:34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</row>
    <row r="3099" spans="1:34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1"/>
    </row>
    <row r="3100" spans="1:34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1"/>
    </row>
    <row r="3101" spans="1:34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</row>
    <row r="3102" spans="1:34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</row>
    <row r="3103" spans="1:34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</row>
    <row r="3104" spans="1:34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</row>
    <row r="3105" spans="1:34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</row>
    <row r="3106" spans="1:34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</row>
    <row r="3107" spans="1:34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</row>
    <row r="3108" spans="1:34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</row>
    <row r="3109" spans="1:34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</row>
    <row r="3110" spans="1:34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</row>
    <row r="3111" spans="1:34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</row>
    <row r="3112" spans="1:34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</row>
    <row r="3113" spans="1:34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</row>
    <row r="3114" spans="1:34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</row>
    <row r="3115" spans="1:34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</row>
    <row r="3116" spans="1:34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</row>
    <row r="3117" spans="1:34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</row>
    <row r="3118" spans="1:34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</row>
    <row r="3119" spans="1:34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</row>
    <row r="3120" spans="1:34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</row>
    <row r="3121" spans="1:34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</row>
    <row r="3122" spans="1:34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</row>
    <row r="3123" spans="1:34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</row>
    <row r="3124" spans="1:34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</row>
    <row r="3125" spans="1:34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</row>
    <row r="3126" spans="1:34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</row>
    <row r="3127" spans="1:34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</row>
    <row r="3128" spans="1:34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</row>
    <row r="3129" spans="1:34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</row>
    <row r="3130" spans="1:34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</row>
    <row r="3131" spans="1:34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</row>
    <row r="3132" spans="1:34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</row>
    <row r="3133" spans="1:34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</row>
    <row r="3134" spans="1:34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</row>
    <row r="3135" spans="1:34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</row>
    <row r="3136" spans="1:34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</row>
    <row r="3137" spans="1:34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</row>
    <row r="3138" spans="1:34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</row>
    <row r="3139" spans="1:34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</row>
    <row r="3140" spans="1:34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</row>
    <row r="3141" spans="1:34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</row>
    <row r="3142" spans="1:34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</row>
    <row r="3143" spans="1:34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</row>
    <row r="3144" spans="1:34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</row>
    <row r="3145" spans="1:34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</row>
    <row r="3146" spans="1:34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</row>
    <row r="3147" spans="1:34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</row>
    <row r="3148" spans="1:34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</row>
    <row r="3149" spans="1:34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</row>
    <row r="3150" spans="1:34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</row>
    <row r="3151" spans="1:34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</row>
    <row r="3152" spans="1:34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</row>
    <row r="3153" spans="1:34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</row>
    <row r="3154" spans="1:34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</row>
    <row r="3155" spans="1:34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</row>
    <row r="3156" spans="1:34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</row>
    <row r="3157" spans="1:34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</row>
    <row r="3158" spans="1:34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</row>
    <row r="3159" spans="1:34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</row>
    <row r="3160" spans="1:34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</row>
    <row r="3161" spans="1:34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</row>
    <row r="3162" spans="1:34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</row>
    <row r="3163" spans="1:34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</row>
    <row r="3164" spans="1:34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</row>
    <row r="3165" spans="1:34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</row>
    <row r="3166" spans="1:34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</row>
    <row r="3167" spans="1:34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</row>
    <row r="3168" spans="1:34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</row>
    <row r="3169" spans="1:34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</row>
    <row r="3170" spans="1:34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</row>
    <row r="3171" spans="1:34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</row>
    <row r="3172" spans="1:34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</row>
    <row r="3173" spans="1:34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</row>
    <row r="3174" spans="1:34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</row>
    <row r="3175" spans="1:34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</row>
    <row r="3176" spans="1:34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</row>
    <row r="3177" spans="1:34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</row>
    <row r="3178" spans="1:34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</row>
    <row r="3179" spans="1:34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</row>
    <row r="3180" spans="1:34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</row>
    <row r="3181" spans="1:34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</row>
    <row r="3182" spans="1:34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</row>
    <row r="3183" spans="1:34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</row>
    <row r="3184" spans="1:34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</row>
    <row r="3185" spans="1:34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</row>
    <row r="3186" spans="1:34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</row>
    <row r="3187" spans="1:34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</row>
    <row r="3188" spans="1:34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</row>
    <row r="3189" spans="1:34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</row>
    <row r="3190" spans="1:34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</row>
    <row r="3191" spans="1:34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</row>
    <row r="3192" spans="1:34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</row>
    <row r="3193" spans="1:34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</row>
    <row r="3194" spans="1:34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</row>
    <row r="3195" spans="1:34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</row>
    <row r="3196" spans="1:34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</row>
    <row r="3197" spans="1:34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</row>
    <row r="3198" spans="1:34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</row>
    <row r="3199" spans="1:34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</row>
    <row r="3200" spans="1:34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</row>
    <row r="3201" spans="1:34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</row>
    <row r="3202" spans="1:34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</row>
    <row r="3203" spans="1:34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</row>
    <row r="3204" spans="1:34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</row>
    <row r="3205" spans="1:34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</row>
    <row r="3206" spans="1:34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</row>
    <row r="3207" spans="1:34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</row>
    <row r="3208" spans="1:34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</row>
    <row r="3209" spans="1:34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</row>
    <row r="3210" spans="1:34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</row>
    <row r="3211" spans="1:34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</row>
    <row r="3212" spans="1:34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</row>
    <row r="3213" spans="1:34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</row>
    <row r="3214" spans="1:34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</row>
    <row r="3215" spans="1:34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</row>
    <row r="3216" spans="1:34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</row>
    <row r="3217" spans="1:34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</row>
    <row r="3218" spans="1:34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</row>
    <row r="3219" spans="1:34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</row>
    <row r="3220" spans="1:34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</row>
    <row r="3221" spans="1:34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</row>
    <row r="3222" spans="1:34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</row>
    <row r="3223" spans="1:34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</row>
    <row r="3224" spans="1:34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</row>
    <row r="3225" spans="1:34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</row>
    <row r="3226" spans="1:34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</row>
    <row r="3227" spans="1:34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</row>
    <row r="3228" spans="1:34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</row>
    <row r="3229" spans="1:34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</row>
    <row r="3230" spans="1:34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</row>
    <row r="3231" spans="1:34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</row>
    <row r="3232" spans="1:34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</row>
    <row r="3233" spans="1:34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</row>
    <row r="3234" spans="1:34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</row>
    <row r="3235" spans="1:34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</row>
    <row r="3236" spans="1:34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</row>
    <row r="3237" spans="1:34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</row>
    <row r="3238" spans="1:34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</row>
    <row r="3239" spans="1:34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</row>
    <row r="3240" spans="1:34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</row>
    <row r="3241" spans="1:34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</row>
    <row r="3242" spans="1:34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</row>
    <row r="3243" spans="1:34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</row>
    <row r="3244" spans="1:34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</row>
    <row r="3245" spans="1:34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</row>
    <row r="3246" spans="1:34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</row>
    <row r="3247" spans="1:34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</row>
    <row r="3248" spans="1:34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</row>
    <row r="3249" spans="1:34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</row>
    <row r="3250" spans="1:34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</row>
    <row r="3251" spans="1:34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</row>
    <row r="3252" spans="1:34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</row>
    <row r="3253" spans="1:34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</row>
    <row r="3254" spans="1:34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</row>
    <row r="3255" spans="1:34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</row>
    <row r="3256" spans="1:34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</row>
    <row r="3257" spans="1:34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</row>
    <row r="3258" spans="1:34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</row>
    <row r="3259" spans="1:34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</row>
    <row r="3260" spans="1:34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</row>
    <row r="3261" spans="1:34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</row>
    <row r="3262" spans="1:34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</row>
    <row r="3263" spans="1:34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</row>
    <row r="3264" spans="1:34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</row>
    <row r="3265" spans="1:34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</row>
    <row r="3266" spans="1:34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</row>
    <row r="3267" spans="1:34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</row>
    <row r="3268" spans="1:34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</row>
    <row r="3269" spans="1:34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</row>
    <row r="3270" spans="1:34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</row>
    <row r="3271" spans="1:34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</row>
    <row r="3272" spans="1:34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</row>
    <row r="3273" spans="1:34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</row>
    <row r="3274" spans="1:34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</row>
    <row r="3275" spans="1:34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</row>
    <row r="3276" spans="1:34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</row>
    <row r="3277" spans="1:34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</row>
    <row r="3278" spans="1:34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</row>
    <row r="3279" spans="1:34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</row>
    <row r="3280" spans="1:34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</row>
    <row r="3281" spans="1:34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</row>
    <row r="3282" spans="1:34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</row>
    <row r="3283" spans="1:34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</row>
    <row r="3284" spans="1:34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</row>
    <row r="3285" spans="1:34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</row>
    <row r="3286" spans="1:34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</row>
    <row r="3287" spans="1:34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</row>
    <row r="3288" spans="1:34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</row>
    <row r="3289" spans="1:34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</row>
    <row r="3290" spans="1:34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</row>
    <row r="3291" spans="1:34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</row>
    <row r="3292" spans="1:34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</row>
    <row r="3293" spans="1:34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</row>
    <row r="3294" spans="1:34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</row>
    <row r="3295" spans="1:34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</row>
    <row r="3296" spans="1:34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</row>
    <row r="3297" spans="1:34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</row>
    <row r="3298" spans="1:34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</row>
    <row r="3299" spans="1:34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</row>
    <row r="3300" spans="1:34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</row>
    <row r="3301" spans="1:34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</row>
    <row r="3302" spans="1:34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</row>
    <row r="3303" spans="1:34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</row>
    <row r="3304" spans="1:34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</row>
    <row r="3305" spans="1:34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</row>
    <row r="3306" spans="1:34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</row>
    <row r="3307" spans="1:34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</row>
    <row r="3308" spans="1:34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</row>
    <row r="3309" spans="1:34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</row>
    <row r="3310" spans="1:34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</row>
    <row r="3311" spans="1:34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</row>
    <row r="3312" spans="1:34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</row>
    <row r="3313" spans="1:34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</row>
    <row r="3314" spans="1:34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</row>
    <row r="3315" spans="1:34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</row>
    <row r="3316" spans="1:34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</row>
    <row r="3317" spans="1:34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</row>
    <row r="3318" spans="1:34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</row>
    <row r="3319" spans="1:34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</row>
    <row r="3320" spans="1:34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</row>
    <row r="3321" spans="1:34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</row>
    <row r="3322" spans="1:34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</row>
    <row r="3323" spans="1:34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</row>
    <row r="3324" spans="1:34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</row>
    <row r="3325" spans="1:34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</row>
    <row r="3326" spans="1:34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</row>
    <row r="3327" spans="1:34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</row>
    <row r="3328" spans="1:34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</row>
    <row r="3329" spans="1:34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</row>
    <row r="3330" spans="1:34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</row>
    <row r="3331" spans="1:34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</row>
    <row r="3332" spans="1:34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</row>
    <row r="3333" spans="1:34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</row>
    <row r="3334" spans="1:34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</row>
    <row r="3335" spans="1:34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</row>
    <row r="3336" spans="1:34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</row>
    <row r="3337" spans="1:34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</row>
    <row r="3338" spans="1:34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</row>
    <row r="3339" spans="1:34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</row>
    <row r="3340" spans="1:34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</row>
    <row r="3341" spans="1:34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</row>
    <row r="3342" spans="1:34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</row>
    <row r="3343" spans="1:34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</row>
    <row r="3344" spans="1:34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</row>
    <row r="3345" spans="1:34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</row>
    <row r="3346" spans="1:34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</row>
    <row r="3347" spans="1:34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</row>
    <row r="3348" spans="1:34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</row>
    <row r="3349" spans="1:34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</row>
    <row r="3350" spans="1:34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</row>
    <row r="3351" spans="1:34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</row>
    <row r="3352" spans="1:34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</row>
    <row r="3353" spans="1:34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</row>
    <row r="3354" spans="1:34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</row>
    <row r="3355" spans="1:34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</row>
    <row r="3356" spans="1:34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</row>
    <row r="3357" spans="1:34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</row>
    <row r="3358" spans="1:34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</row>
    <row r="3359" spans="1:34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</row>
    <row r="3360" spans="1:34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</row>
    <row r="3361" spans="1:34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</row>
    <row r="3362" spans="1:34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</row>
    <row r="3363" spans="1:34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</row>
    <row r="3364" spans="1:34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</row>
    <row r="3365" spans="1:34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</row>
    <row r="3366" spans="1:34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</row>
    <row r="3367" spans="1:34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</row>
    <row r="3368" spans="1:34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</row>
    <row r="3369" spans="1:34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</row>
    <row r="3370" spans="1:34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</row>
    <row r="3371" spans="1:34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</row>
    <row r="3372" spans="1:34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</row>
    <row r="3373" spans="1:34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</row>
    <row r="3374" spans="1:34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</row>
    <row r="3375" spans="1:34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</row>
    <row r="3376" spans="1:34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</row>
    <row r="3377" spans="1:34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</row>
    <row r="3378" spans="1:34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</row>
    <row r="3379" spans="1:34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</row>
    <row r="3380" spans="1:34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</row>
    <row r="3381" spans="1:34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</row>
    <row r="3382" spans="1:34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</row>
    <row r="3383" spans="1:34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</row>
    <row r="3384" spans="1:34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</row>
    <row r="3385" spans="1:34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</row>
    <row r="3386" spans="1:34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</row>
    <row r="3387" spans="1:34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</row>
    <row r="3388" spans="1:34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</row>
    <row r="3389" spans="1:34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</row>
    <row r="3390" spans="1:34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</row>
    <row r="3391" spans="1:34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</row>
    <row r="3392" spans="1:34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</row>
    <row r="3393" spans="1:34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</row>
    <row r="3394" spans="1:34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</row>
    <row r="3395" spans="1:34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</row>
    <row r="3396" spans="1:34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</row>
    <row r="3397" spans="1:34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</row>
    <row r="3398" spans="1:34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</row>
    <row r="3399" spans="1:34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</row>
    <row r="3400" spans="1:34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</row>
    <row r="3401" spans="1:34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</row>
    <row r="3402" spans="1:34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</row>
    <row r="3403" spans="1:34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</row>
    <row r="3404" spans="1:34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</row>
    <row r="3405" spans="1:34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</row>
    <row r="3406" spans="1:34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</row>
    <row r="3407" spans="1:34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</row>
    <row r="3408" spans="1:34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1"/>
    </row>
    <row r="3409" spans="1:34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</row>
    <row r="3410" spans="1:34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</row>
    <row r="3411" spans="1:34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</row>
    <row r="3412" spans="1:34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</row>
    <row r="3413" spans="1:34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</row>
    <row r="3414" spans="1:34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</row>
    <row r="3415" spans="1:34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</row>
    <row r="3416" spans="1:34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</row>
    <row r="3417" spans="1:34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</row>
    <row r="3418" spans="1:34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</row>
    <row r="3419" spans="1:34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</row>
    <row r="3420" spans="1:34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</row>
    <row r="3421" spans="1:34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</row>
    <row r="3422" spans="1:34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</row>
    <row r="3423" spans="1:34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</row>
    <row r="3424" spans="1:34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</row>
    <row r="3425" spans="1:34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</row>
    <row r="3426" spans="1:34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</row>
    <row r="3427" spans="1:34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</row>
    <row r="3428" spans="1:34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</row>
    <row r="3429" spans="1:34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</row>
    <row r="3430" spans="1:34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</row>
    <row r="3431" spans="1:34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</row>
    <row r="3432" spans="1:34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</row>
    <row r="3433" spans="1:34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</row>
    <row r="3434" spans="1:34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</row>
    <row r="3435" spans="1:34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</row>
    <row r="3436" spans="1:34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</row>
    <row r="3437" spans="1:34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</row>
    <row r="3438" spans="1:34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</row>
    <row r="3439" spans="1:34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</row>
    <row r="3440" spans="1:34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</row>
    <row r="3441" spans="1:34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</row>
    <row r="3442" spans="1:34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</row>
    <row r="3443" spans="1:34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</row>
    <row r="3444" spans="1:34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</row>
    <row r="3445" spans="1:34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</row>
    <row r="3446" spans="1:34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</row>
    <row r="3447" spans="1:34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</row>
    <row r="3448" spans="1:34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</row>
    <row r="3449" spans="1:34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</row>
    <row r="3450" spans="1:34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</row>
    <row r="3451" spans="1:34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</row>
    <row r="3452" spans="1:34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</row>
    <row r="3453" spans="1:34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</row>
    <row r="3454" spans="1:34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</row>
    <row r="3455" spans="1:34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</row>
    <row r="3456" spans="1:34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</row>
    <row r="3457" spans="1:34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</row>
    <row r="3458" spans="1:34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</row>
    <row r="3459" spans="1:34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</row>
    <row r="3460" spans="1:34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</row>
    <row r="3461" spans="1:34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</row>
    <row r="3462" spans="1:34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</row>
    <row r="3463" spans="1:34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</row>
    <row r="3464" spans="1:34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</row>
    <row r="3465" spans="1:34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</row>
    <row r="3466" spans="1:34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</row>
    <row r="3467" spans="1:34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</row>
    <row r="3468" spans="1:34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</row>
    <row r="3469" spans="1:34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</row>
    <row r="3470" spans="1:34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</row>
    <row r="3471" spans="1:34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</row>
    <row r="3472" spans="1:34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</row>
    <row r="3473" spans="1:34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</row>
    <row r="3474" spans="1:34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</row>
    <row r="3475" spans="1:34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</row>
    <row r="3476" spans="1:34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</row>
    <row r="3477" spans="1:34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</row>
    <row r="3478" spans="1:34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</row>
    <row r="3479" spans="1:34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</row>
    <row r="3480" spans="1:34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</row>
    <row r="3481" spans="1:34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</row>
    <row r="3482" spans="1:34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</row>
    <row r="3483" spans="1:34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</row>
    <row r="3484" spans="1:34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</row>
    <row r="3485" spans="1:34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</row>
    <row r="3486" spans="1:34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</row>
    <row r="3487" spans="1:34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</row>
    <row r="3488" spans="1:34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</row>
    <row r="3489" spans="1:34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</row>
    <row r="3490" spans="1:34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</row>
    <row r="3491" spans="1:34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</row>
    <row r="3492" spans="1:34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</row>
    <row r="3493" spans="1:34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</row>
    <row r="3494" spans="1:34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</row>
    <row r="3495" spans="1:34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</row>
    <row r="3496" spans="1:34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</row>
    <row r="3497" spans="1:34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</row>
    <row r="3498" spans="1:34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</row>
    <row r="3499" spans="1:34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</row>
    <row r="3500" spans="1:34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</row>
    <row r="3501" spans="1:34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</row>
    <row r="3502" spans="1:34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</row>
    <row r="3503" spans="1:34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</row>
    <row r="3504" spans="1:34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</row>
    <row r="3505" spans="1:34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</row>
    <row r="3506" spans="1:34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</row>
    <row r="3507" spans="1:34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</row>
    <row r="3508" spans="1:34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</row>
    <row r="3509" spans="1:34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</row>
    <row r="3510" spans="1:34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</row>
    <row r="3511" spans="1:34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</row>
    <row r="3512" spans="1:34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</row>
    <row r="3513" spans="1:34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</row>
    <row r="3514" spans="1:34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</row>
    <row r="3515" spans="1:34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</row>
    <row r="3516" spans="1:34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</row>
    <row r="3517" spans="1:34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</row>
    <row r="3518" spans="1:34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</row>
    <row r="3519" spans="1:34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</row>
    <row r="3520" spans="1:34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</row>
    <row r="3521" spans="1:34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</row>
    <row r="3522" spans="1:34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</row>
    <row r="3523" spans="1:34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</row>
    <row r="3524" spans="1:34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</row>
    <row r="3525" spans="1:34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</row>
    <row r="3526" spans="1:34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</row>
    <row r="3527" spans="1:34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</row>
    <row r="3528" spans="1:34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</row>
    <row r="3529" spans="1:34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</row>
    <row r="3530" spans="1:34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</row>
    <row r="3531" spans="1:34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</row>
    <row r="3532" spans="1:34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</row>
    <row r="3533" spans="1:34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</row>
    <row r="3534" spans="1:34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</row>
    <row r="3535" spans="1:34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</row>
    <row r="3536" spans="1:34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</row>
    <row r="3537" spans="1:34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</row>
    <row r="3538" spans="1:34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</row>
    <row r="3539" spans="1:34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</row>
    <row r="3540" spans="1:34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</row>
    <row r="3541" spans="1:34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</row>
    <row r="3542" spans="1:34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</row>
    <row r="3543" spans="1:34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</row>
    <row r="3544" spans="1:34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</row>
    <row r="3545" spans="1:34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</row>
    <row r="3552" spans="1:34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</sheetData>
  <mergeCells count="3">
    <mergeCell ref="C2:H2"/>
    <mergeCell ref="C3:H3"/>
    <mergeCell ref="C4:H4"/>
  </mergeCells>
  <phoneticPr fontId="1" type="noConversion"/>
  <dataValidations count="2">
    <dataValidation type="list" allowBlank="1" showInputMessage="1" showErrorMessage="1" sqref="A3" xr:uid="{00000000-0002-0000-0400-000000000000}">
      <formula1>"파일1,파일2"</formula1>
    </dataValidation>
    <dataValidation type="list" allowBlank="1" showInputMessage="1" showErrorMessage="1" sqref="A4" xr:uid="{00000000-0002-0000-0400-000001000000}">
      <formula1>IF($A$3="시상",파일2년월,파일1년월)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eRange">
                <anchor moveWithCells="1" sizeWithCells="1">
                  <from>
                    <xdr:col>2</xdr:col>
                    <xdr:colOff>1089660</xdr:colOff>
                    <xdr:row>7</xdr:row>
                    <xdr:rowOff>22860</xdr:rowOff>
                  </from>
                  <to>
                    <xdr:col>5</xdr:col>
                    <xdr:colOff>518160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DataFromExcelFile">
                <anchor moveWithCells="1" sizeWithCells="1">
                  <from>
                    <xdr:col>0</xdr:col>
                    <xdr:colOff>99060</xdr:colOff>
                    <xdr:row>7</xdr:row>
                    <xdr:rowOff>22860</xdr:rowOff>
                  </from>
                  <to>
                    <xdr:col>2</xdr:col>
                    <xdr:colOff>899160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컬럼추출">
                <anchor moveWithCells="1" sizeWithCells="1">
                  <from>
                    <xdr:col>6</xdr:col>
                    <xdr:colOff>99060</xdr:colOff>
                    <xdr:row>7</xdr:row>
                    <xdr:rowOff>22860</xdr:rowOff>
                  </from>
                  <to>
                    <xdr:col>7</xdr:col>
                    <xdr:colOff>685800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DataFromExcelFiles">
                <anchor moveWithCells="1" sizeWithCells="1">
                  <from>
                    <xdr:col>0</xdr:col>
                    <xdr:colOff>99060</xdr:colOff>
                    <xdr:row>9</xdr:row>
                    <xdr:rowOff>137160</xdr:rowOff>
                  </from>
                  <to>
                    <xdr:col>2</xdr:col>
                    <xdr:colOff>876300</xdr:colOff>
                    <xdr:row>11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E85"/>
  <sheetViews>
    <sheetView topLeftCell="T1" workbookViewId="0">
      <selection activeCell="AI17" sqref="AI17"/>
    </sheetView>
  </sheetViews>
  <sheetFormatPr defaultRowHeight="17.399999999999999"/>
  <cols>
    <col min="4" max="4" width="14.69921875" bestFit="1" customWidth="1"/>
  </cols>
  <sheetData>
    <row r="1" spans="1:31">
      <c r="A1" s="119" t="s">
        <v>543</v>
      </c>
      <c r="B1" s="119" t="s">
        <v>544</v>
      </c>
      <c r="C1" s="119" t="s">
        <v>545</v>
      </c>
      <c r="D1" s="119" t="s">
        <v>0</v>
      </c>
      <c r="E1" s="119" t="s">
        <v>1241</v>
      </c>
      <c r="F1" s="119" t="s">
        <v>1241</v>
      </c>
      <c r="G1" s="119" t="s">
        <v>555</v>
      </c>
      <c r="H1" s="119" t="s">
        <v>549</v>
      </c>
      <c r="I1" s="119" t="s">
        <v>4</v>
      </c>
      <c r="J1" s="119" t="s">
        <v>550</v>
      </c>
      <c r="K1" s="119" t="s">
        <v>551</v>
      </c>
      <c r="L1" s="119" t="s">
        <v>479</v>
      </c>
      <c r="M1" s="119" t="s">
        <v>552</v>
      </c>
      <c r="N1" s="119" t="s">
        <v>553</v>
      </c>
      <c r="O1" s="119" t="s">
        <v>554</v>
      </c>
      <c r="P1" s="119" t="s">
        <v>555</v>
      </c>
      <c r="Q1" s="119" t="s">
        <v>539</v>
      </c>
      <c r="R1" s="119" t="s">
        <v>556</v>
      </c>
      <c r="S1" s="119" t="s">
        <v>480</v>
      </c>
      <c r="T1" s="119" t="s">
        <v>557</v>
      </c>
      <c r="U1" s="119" t="s">
        <v>558</v>
      </c>
      <c r="V1" s="119" t="s">
        <v>559</v>
      </c>
      <c r="W1" s="119" t="s">
        <v>560</v>
      </c>
      <c r="X1" s="119" t="s">
        <v>155</v>
      </c>
      <c r="Y1" s="119" t="s">
        <v>561</v>
      </c>
      <c r="Z1" s="119" t="s">
        <v>562</v>
      </c>
      <c r="AA1" s="119" t="s">
        <v>563</v>
      </c>
      <c r="AB1" s="119" t="s">
        <v>564</v>
      </c>
      <c r="AC1" s="119" t="s">
        <v>565</v>
      </c>
      <c r="AD1" s="119" t="s">
        <v>566</v>
      </c>
      <c r="AE1" s="119" t="s">
        <v>567</v>
      </c>
    </row>
    <row r="2" spans="1:31">
      <c r="A2" s="94" t="s">
        <v>1156</v>
      </c>
      <c r="B2" s="94" t="s">
        <v>568</v>
      </c>
      <c r="C2" s="94" t="s">
        <v>499</v>
      </c>
      <c r="D2" s="93" t="s">
        <v>1157</v>
      </c>
      <c r="E2" s="94" t="s">
        <v>1239</v>
      </c>
      <c r="F2" s="94" t="s">
        <v>1240</v>
      </c>
      <c r="G2" s="93"/>
      <c r="H2" s="93" t="s">
        <v>571</v>
      </c>
      <c r="I2" s="93" t="s">
        <v>538</v>
      </c>
      <c r="J2" s="93" t="s">
        <v>578</v>
      </c>
      <c r="K2" s="93" t="s">
        <v>579</v>
      </c>
      <c r="L2" s="93" t="s">
        <v>655</v>
      </c>
      <c r="M2" s="94" t="s">
        <v>656</v>
      </c>
      <c r="N2" s="94" t="s">
        <v>1144</v>
      </c>
      <c r="O2" s="94" t="s">
        <v>574</v>
      </c>
      <c r="P2" s="94" t="s">
        <v>575</v>
      </c>
      <c r="Q2" s="94" t="s">
        <v>540</v>
      </c>
      <c r="R2" s="93" t="s">
        <v>576</v>
      </c>
      <c r="S2" s="94" t="s">
        <v>1142</v>
      </c>
      <c r="T2" s="94" t="s">
        <v>749</v>
      </c>
      <c r="U2" s="94"/>
      <c r="V2" s="94"/>
      <c r="W2" s="94"/>
      <c r="X2" s="120">
        <v>24</v>
      </c>
      <c r="Y2" s="120">
        <v>20441</v>
      </c>
      <c r="Z2" s="120">
        <v>0</v>
      </c>
      <c r="AA2" s="94" t="s">
        <v>577</v>
      </c>
      <c r="AB2" s="94" t="s">
        <v>1158</v>
      </c>
      <c r="AC2" s="94"/>
      <c r="AD2" s="94"/>
      <c r="AE2" s="120">
        <v>200</v>
      </c>
    </row>
    <row r="3" spans="1:31">
      <c r="A3" s="94" t="s">
        <v>1156</v>
      </c>
      <c r="B3" s="94" t="s">
        <v>568</v>
      </c>
      <c r="C3" s="94" t="s">
        <v>499</v>
      </c>
      <c r="D3" s="93" t="s">
        <v>1159</v>
      </c>
      <c r="E3" s="94" t="s">
        <v>1239</v>
      </c>
      <c r="F3" s="94" t="s">
        <v>1240</v>
      </c>
      <c r="G3" s="93"/>
      <c r="H3" s="93" t="s">
        <v>571</v>
      </c>
      <c r="I3" s="93" t="s">
        <v>538</v>
      </c>
      <c r="J3" s="93" t="s">
        <v>578</v>
      </c>
      <c r="K3" s="93" t="s">
        <v>579</v>
      </c>
      <c r="L3" s="93" t="s">
        <v>586</v>
      </c>
      <c r="M3" s="94" t="s">
        <v>587</v>
      </c>
      <c r="N3" s="94" t="s">
        <v>588</v>
      </c>
      <c r="O3" s="94" t="s">
        <v>574</v>
      </c>
      <c r="P3" s="94" t="s">
        <v>575</v>
      </c>
      <c r="Q3" s="94" t="s">
        <v>540</v>
      </c>
      <c r="R3" s="93" t="s">
        <v>582</v>
      </c>
      <c r="S3" s="94" t="s">
        <v>1160</v>
      </c>
      <c r="T3" s="94" t="s">
        <v>750</v>
      </c>
      <c r="U3" s="94"/>
      <c r="V3" s="94"/>
      <c r="W3" s="94"/>
      <c r="X3" s="120">
        <v>24</v>
      </c>
      <c r="Y3" s="120">
        <v>38601</v>
      </c>
      <c r="Z3" s="120">
        <v>11580</v>
      </c>
      <c r="AA3" s="94" t="s">
        <v>577</v>
      </c>
      <c r="AB3" s="94" t="s">
        <v>1161</v>
      </c>
      <c r="AC3" s="94"/>
      <c r="AD3" s="94"/>
      <c r="AE3" s="120">
        <v>2310</v>
      </c>
    </row>
    <row r="4" spans="1:31">
      <c r="A4" s="94" t="s">
        <v>1156</v>
      </c>
      <c r="B4" s="94" t="s">
        <v>568</v>
      </c>
      <c r="C4" s="94" t="s">
        <v>499</v>
      </c>
      <c r="D4" s="93" t="s">
        <v>1162</v>
      </c>
      <c r="E4" s="94" t="s">
        <v>1239</v>
      </c>
      <c r="F4" s="94" t="s">
        <v>1240</v>
      </c>
      <c r="G4" s="93"/>
      <c r="H4" s="93" t="s">
        <v>571</v>
      </c>
      <c r="I4" s="93" t="s">
        <v>538</v>
      </c>
      <c r="J4" s="93" t="s">
        <v>578</v>
      </c>
      <c r="K4" s="93" t="s">
        <v>579</v>
      </c>
      <c r="L4" s="93" t="s">
        <v>594</v>
      </c>
      <c r="M4" s="94" t="s">
        <v>595</v>
      </c>
      <c r="N4" s="94" t="s">
        <v>1163</v>
      </c>
      <c r="O4" s="94" t="s">
        <v>574</v>
      </c>
      <c r="P4" s="94" t="s">
        <v>575</v>
      </c>
      <c r="Q4" s="94" t="s">
        <v>540</v>
      </c>
      <c r="R4" s="93" t="s">
        <v>576</v>
      </c>
      <c r="S4" s="94" t="s">
        <v>1164</v>
      </c>
      <c r="T4" s="94" t="s">
        <v>754</v>
      </c>
      <c r="U4" s="94"/>
      <c r="V4" s="94"/>
      <c r="W4" s="94"/>
      <c r="X4" s="120">
        <v>24</v>
      </c>
      <c r="Y4" s="120">
        <v>28643</v>
      </c>
      <c r="Z4" s="120">
        <v>0</v>
      </c>
      <c r="AA4" s="94" t="s">
        <v>577</v>
      </c>
      <c r="AB4" s="94" t="s">
        <v>1161</v>
      </c>
      <c r="AC4" s="94"/>
      <c r="AD4" s="94"/>
      <c r="AE4" s="120">
        <v>280</v>
      </c>
    </row>
    <row r="5" spans="1:31">
      <c r="A5" s="94" t="s">
        <v>1156</v>
      </c>
      <c r="B5" s="94" t="s">
        <v>568</v>
      </c>
      <c r="C5" s="94" t="s">
        <v>499</v>
      </c>
      <c r="D5" s="93" t="s">
        <v>1165</v>
      </c>
      <c r="E5" s="94" t="s">
        <v>1239</v>
      </c>
      <c r="F5" s="94" t="s">
        <v>1240</v>
      </c>
      <c r="G5" s="93"/>
      <c r="H5" s="93" t="s">
        <v>571</v>
      </c>
      <c r="I5" s="93" t="s">
        <v>538</v>
      </c>
      <c r="J5" s="93" t="s">
        <v>578</v>
      </c>
      <c r="K5" s="93" t="s">
        <v>579</v>
      </c>
      <c r="L5" s="93" t="s">
        <v>597</v>
      </c>
      <c r="M5" s="94" t="s">
        <v>598</v>
      </c>
      <c r="N5" s="94" t="s">
        <v>1166</v>
      </c>
      <c r="O5" s="94" t="s">
        <v>574</v>
      </c>
      <c r="P5" s="94" t="s">
        <v>575</v>
      </c>
      <c r="Q5" s="94" t="s">
        <v>540</v>
      </c>
      <c r="R5" s="93" t="s">
        <v>576</v>
      </c>
      <c r="S5" s="94" t="s">
        <v>1164</v>
      </c>
      <c r="T5" s="94" t="s">
        <v>755</v>
      </c>
      <c r="U5" s="94"/>
      <c r="V5" s="94"/>
      <c r="W5" s="94"/>
      <c r="X5" s="120">
        <v>24</v>
      </c>
      <c r="Y5" s="120">
        <v>33760</v>
      </c>
      <c r="Z5" s="120">
        <v>10128</v>
      </c>
      <c r="AA5" s="94" t="s">
        <v>577</v>
      </c>
      <c r="AB5" s="94" t="s">
        <v>1167</v>
      </c>
      <c r="AC5" s="94"/>
      <c r="AD5" s="94"/>
      <c r="AE5" s="120">
        <v>2020</v>
      </c>
    </row>
    <row r="6" spans="1:31">
      <c r="A6" s="94" t="s">
        <v>1156</v>
      </c>
      <c r="B6" s="94" t="s">
        <v>568</v>
      </c>
      <c r="C6" s="94" t="s">
        <v>499</v>
      </c>
      <c r="D6" s="93" t="s">
        <v>1168</v>
      </c>
      <c r="E6" s="94" t="s">
        <v>1239</v>
      </c>
      <c r="F6" s="94" t="s">
        <v>1240</v>
      </c>
      <c r="G6" s="93"/>
      <c r="H6" s="93" t="s">
        <v>571</v>
      </c>
      <c r="I6" s="93" t="s">
        <v>538</v>
      </c>
      <c r="J6" s="93" t="s">
        <v>578</v>
      </c>
      <c r="K6" s="93" t="s">
        <v>579</v>
      </c>
      <c r="L6" s="93" t="s">
        <v>583</v>
      </c>
      <c r="M6" s="94" t="s">
        <v>584</v>
      </c>
      <c r="N6" s="94" t="s">
        <v>585</v>
      </c>
      <c r="O6" s="94" t="s">
        <v>574</v>
      </c>
      <c r="P6" s="94" t="s">
        <v>575</v>
      </c>
      <c r="Q6" s="94" t="s">
        <v>540</v>
      </c>
      <c r="R6" s="93" t="s">
        <v>582</v>
      </c>
      <c r="S6" s="94" t="s">
        <v>1146</v>
      </c>
      <c r="T6" s="94" t="s">
        <v>712</v>
      </c>
      <c r="U6" s="94"/>
      <c r="V6" s="94"/>
      <c r="W6" s="94"/>
      <c r="X6" s="120">
        <v>24</v>
      </c>
      <c r="Y6" s="120">
        <v>62403</v>
      </c>
      <c r="Z6" s="120">
        <v>18721</v>
      </c>
      <c r="AA6" s="94" t="s">
        <v>577</v>
      </c>
      <c r="AB6" s="94" t="s">
        <v>1169</v>
      </c>
      <c r="AC6" s="94"/>
      <c r="AD6" s="94"/>
      <c r="AE6" s="120">
        <v>3740</v>
      </c>
    </row>
    <row r="7" spans="1:31">
      <c r="A7" s="94" t="s">
        <v>1156</v>
      </c>
      <c r="B7" s="94" t="s">
        <v>568</v>
      </c>
      <c r="C7" s="94" t="s">
        <v>499</v>
      </c>
      <c r="D7" s="93" t="s">
        <v>1157</v>
      </c>
      <c r="E7" s="94" t="s">
        <v>1239</v>
      </c>
      <c r="F7" s="94" t="s">
        <v>1240</v>
      </c>
      <c r="G7" s="93"/>
      <c r="H7" s="93" t="s">
        <v>571</v>
      </c>
      <c r="I7" s="93" t="s">
        <v>538</v>
      </c>
      <c r="J7" s="93" t="s">
        <v>578</v>
      </c>
      <c r="K7" s="93" t="s">
        <v>579</v>
      </c>
      <c r="L7" s="93" t="s">
        <v>655</v>
      </c>
      <c r="M7" s="94" t="s">
        <v>656</v>
      </c>
      <c r="N7" s="94" t="s">
        <v>1144</v>
      </c>
      <c r="O7" s="94" t="s">
        <v>574</v>
      </c>
      <c r="P7" s="94" t="s">
        <v>575</v>
      </c>
      <c r="Q7" s="94" t="s">
        <v>540</v>
      </c>
      <c r="R7" s="93" t="s">
        <v>576</v>
      </c>
      <c r="S7" s="94" t="s">
        <v>1142</v>
      </c>
      <c r="T7" s="94" t="s">
        <v>749</v>
      </c>
      <c r="U7" s="94"/>
      <c r="V7" s="94"/>
      <c r="W7" s="94"/>
      <c r="X7" s="120">
        <v>24</v>
      </c>
      <c r="Y7" s="120">
        <v>20441</v>
      </c>
      <c r="Z7" s="120">
        <v>6132</v>
      </c>
      <c r="AA7" s="94" t="s">
        <v>577</v>
      </c>
      <c r="AB7" s="94" t="s">
        <v>1158</v>
      </c>
      <c r="AC7" s="94"/>
      <c r="AD7" s="94"/>
      <c r="AE7" s="120">
        <v>1220</v>
      </c>
    </row>
    <row r="8" spans="1:31">
      <c r="A8" s="94" t="s">
        <v>1156</v>
      </c>
      <c r="B8" s="94" t="s">
        <v>568</v>
      </c>
      <c r="C8" s="94" t="s">
        <v>499</v>
      </c>
      <c r="D8" s="93" t="s">
        <v>1170</v>
      </c>
      <c r="E8" s="94" t="s">
        <v>1239</v>
      </c>
      <c r="F8" s="94" t="s">
        <v>1240</v>
      </c>
      <c r="G8" s="93"/>
      <c r="H8" s="93" t="s">
        <v>571</v>
      </c>
      <c r="I8" s="93" t="s">
        <v>538</v>
      </c>
      <c r="J8" s="93" t="s">
        <v>578</v>
      </c>
      <c r="K8" s="93" t="s">
        <v>579</v>
      </c>
      <c r="L8" s="93" t="s">
        <v>589</v>
      </c>
      <c r="M8" s="94" t="s">
        <v>590</v>
      </c>
      <c r="N8" s="94" t="s">
        <v>1145</v>
      </c>
      <c r="O8" s="94" t="s">
        <v>574</v>
      </c>
      <c r="P8" s="94" t="s">
        <v>575</v>
      </c>
      <c r="Q8" s="94" t="s">
        <v>540</v>
      </c>
      <c r="R8" s="93" t="s">
        <v>576</v>
      </c>
      <c r="S8" s="94" t="s">
        <v>1171</v>
      </c>
      <c r="T8" s="94" t="s">
        <v>752</v>
      </c>
      <c r="U8" s="94"/>
      <c r="V8" s="94"/>
      <c r="W8" s="94"/>
      <c r="X8" s="120">
        <v>24</v>
      </c>
      <c r="Y8" s="120">
        <v>11573</v>
      </c>
      <c r="Z8" s="120">
        <v>3472</v>
      </c>
      <c r="AA8" s="94" t="s">
        <v>577</v>
      </c>
      <c r="AB8" s="94" t="s">
        <v>1167</v>
      </c>
      <c r="AC8" s="94"/>
      <c r="AD8" s="94"/>
      <c r="AE8" s="120">
        <v>690</v>
      </c>
    </row>
    <row r="9" spans="1:31">
      <c r="A9" s="94" t="s">
        <v>1156</v>
      </c>
      <c r="B9" s="94" t="s">
        <v>568</v>
      </c>
      <c r="C9" s="94" t="s">
        <v>499</v>
      </c>
      <c r="D9" s="93" t="s">
        <v>1165</v>
      </c>
      <c r="E9" s="94" t="s">
        <v>1239</v>
      </c>
      <c r="F9" s="94" t="s">
        <v>1240</v>
      </c>
      <c r="G9" s="93"/>
      <c r="H9" s="93" t="s">
        <v>571</v>
      </c>
      <c r="I9" s="93" t="s">
        <v>538</v>
      </c>
      <c r="J9" s="93" t="s">
        <v>578</v>
      </c>
      <c r="K9" s="93" t="s">
        <v>579</v>
      </c>
      <c r="L9" s="93" t="s">
        <v>597</v>
      </c>
      <c r="M9" s="94" t="s">
        <v>598</v>
      </c>
      <c r="N9" s="94" t="s">
        <v>1166</v>
      </c>
      <c r="O9" s="94" t="s">
        <v>574</v>
      </c>
      <c r="P9" s="94" t="s">
        <v>575</v>
      </c>
      <c r="Q9" s="94" t="s">
        <v>540</v>
      </c>
      <c r="R9" s="93" t="s">
        <v>576</v>
      </c>
      <c r="S9" s="94" t="s">
        <v>1164</v>
      </c>
      <c r="T9" s="94" t="s">
        <v>755</v>
      </c>
      <c r="U9" s="94"/>
      <c r="V9" s="94"/>
      <c r="W9" s="94"/>
      <c r="X9" s="120">
        <v>24</v>
      </c>
      <c r="Y9" s="120">
        <v>33760</v>
      </c>
      <c r="Z9" s="120">
        <v>0</v>
      </c>
      <c r="AA9" s="94" t="s">
        <v>577</v>
      </c>
      <c r="AB9" s="94" t="s">
        <v>1167</v>
      </c>
      <c r="AC9" s="94"/>
      <c r="AD9" s="94"/>
      <c r="AE9" s="120">
        <v>330</v>
      </c>
    </row>
    <row r="10" spans="1:31">
      <c r="A10" s="94" t="s">
        <v>1156</v>
      </c>
      <c r="B10" s="94" t="s">
        <v>568</v>
      </c>
      <c r="C10" s="94" t="s">
        <v>499</v>
      </c>
      <c r="D10" s="93" t="s">
        <v>1170</v>
      </c>
      <c r="E10" s="94" t="s">
        <v>1239</v>
      </c>
      <c r="F10" s="94" t="s">
        <v>1240</v>
      </c>
      <c r="G10" s="93"/>
      <c r="H10" s="93" t="s">
        <v>571</v>
      </c>
      <c r="I10" s="93" t="s">
        <v>538</v>
      </c>
      <c r="J10" s="93" t="s">
        <v>578</v>
      </c>
      <c r="K10" s="93" t="s">
        <v>579</v>
      </c>
      <c r="L10" s="93" t="s">
        <v>589</v>
      </c>
      <c r="M10" s="94" t="s">
        <v>590</v>
      </c>
      <c r="N10" s="94" t="s">
        <v>1145</v>
      </c>
      <c r="O10" s="94" t="s">
        <v>574</v>
      </c>
      <c r="P10" s="94" t="s">
        <v>575</v>
      </c>
      <c r="Q10" s="94" t="s">
        <v>540</v>
      </c>
      <c r="R10" s="93" t="s">
        <v>576</v>
      </c>
      <c r="S10" s="94" t="s">
        <v>1171</v>
      </c>
      <c r="T10" s="94" t="s">
        <v>752</v>
      </c>
      <c r="U10" s="94"/>
      <c r="V10" s="94"/>
      <c r="W10" s="94"/>
      <c r="X10" s="120">
        <v>24</v>
      </c>
      <c r="Y10" s="120">
        <v>11573</v>
      </c>
      <c r="Z10" s="120">
        <v>0</v>
      </c>
      <c r="AA10" s="94" t="s">
        <v>577</v>
      </c>
      <c r="AB10" s="94" t="s">
        <v>1167</v>
      </c>
      <c r="AC10" s="94"/>
      <c r="AD10" s="94"/>
      <c r="AE10" s="120">
        <v>110</v>
      </c>
    </row>
    <row r="11" spans="1:31">
      <c r="A11" s="94" t="s">
        <v>1156</v>
      </c>
      <c r="B11" s="94" t="s">
        <v>568</v>
      </c>
      <c r="C11" s="94" t="s">
        <v>499</v>
      </c>
      <c r="D11" s="93" t="s">
        <v>1172</v>
      </c>
      <c r="E11" s="94" t="s">
        <v>1239</v>
      </c>
      <c r="F11" s="94" t="s">
        <v>1240</v>
      </c>
      <c r="G11" s="93"/>
      <c r="H11" s="93" t="s">
        <v>571</v>
      </c>
      <c r="I11" s="93" t="s">
        <v>538</v>
      </c>
      <c r="J11" s="93" t="s">
        <v>578</v>
      </c>
      <c r="K11" s="93" t="s">
        <v>579</v>
      </c>
      <c r="L11" s="93" t="s">
        <v>597</v>
      </c>
      <c r="M11" s="94" t="s">
        <v>598</v>
      </c>
      <c r="N11" s="94" t="s">
        <v>1166</v>
      </c>
      <c r="O11" s="94" t="s">
        <v>574</v>
      </c>
      <c r="P11" s="94" t="s">
        <v>575</v>
      </c>
      <c r="Q11" s="94" t="s">
        <v>540</v>
      </c>
      <c r="R11" s="93" t="s">
        <v>582</v>
      </c>
      <c r="S11" s="94" t="s">
        <v>1173</v>
      </c>
      <c r="T11" s="94" t="s">
        <v>751</v>
      </c>
      <c r="U11" s="94"/>
      <c r="V11" s="94"/>
      <c r="W11" s="94"/>
      <c r="X11" s="120">
        <v>24</v>
      </c>
      <c r="Y11" s="120">
        <v>39513</v>
      </c>
      <c r="Z11" s="120">
        <v>11854</v>
      </c>
      <c r="AA11" s="94" t="s">
        <v>577</v>
      </c>
      <c r="AB11" s="94" t="s">
        <v>1167</v>
      </c>
      <c r="AC11" s="94"/>
      <c r="AD11" s="94"/>
      <c r="AE11" s="120">
        <v>2370</v>
      </c>
    </row>
    <row r="12" spans="1:31">
      <c r="A12" s="94" t="s">
        <v>1156</v>
      </c>
      <c r="B12" s="94" t="s">
        <v>568</v>
      </c>
      <c r="C12" s="94" t="s">
        <v>499</v>
      </c>
      <c r="D12" s="93" t="s">
        <v>1172</v>
      </c>
      <c r="E12" s="94" t="s">
        <v>1239</v>
      </c>
      <c r="F12" s="94" t="s">
        <v>1240</v>
      </c>
      <c r="G12" s="93"/>
      <c r="H12" s="93" t="s">
        <v>571</v>
      </c>
      <c r="I12" s="93" t="s">
        <v>538</v>
      </c>
      <c r="J12" s="93" t="s">
        <v>578</v>
      </c>
      <c r="K12" s="93" t="s">
        <v>579</v>
      </c>
      <c r="L12" s="93" t="s">
        <v>597</v>
      </c>
      <c r="M12" s="94" t="s">
        <v>598</v>
      </c>
      <c r="N12" s="94" t="s">
        <v>1166</v>
      </c>
      <c r="O12" s="94" t="s">
        <v>574</v>
      </c>
      <c r="P12" s="94" t="s">
        <v>575</v>
      </c>
      <c r="Q12" s="94" t="s">
        <v>540</v>
      </c>
      <c r="R12" s="93" t="s">
        <v>582</v>
      </c>
      <c r="S12" s="94" t="s">
        <v>1173</v>
      </c>
      <c r="T12" s="94" t="s">
        <v>751</v>
      </c>
      <c r="U12" s="94"/>
      <c r="V12" s="94"/>
      <c r="W12" s="94"/>
      <c r="X12" s="120">
        <v>24</v>
      </c>
      <c r="Y12" s="120">
        <v>39513</v>
      </c>
      <c r="Z12" s="120">
        <v>0</v>
      </c>
      <c r="AA12" s="94" t="s">
        <v>577</v>
      </c>
      <c r="AB12" s="94" t="s">
        <v>1167</v>
      </c>
      <c r="AC12" s="94"/>
      <c r="AD12" s="94"/>
      <c r="AE12" s="120">
        <v>390</v>
      </c>
    </row>
    <row r="13" spans="1:31">
      <c r="A13" s="94" t="s">
        <v>1156</v>
      </c>
      <c r="B13" s="94" t="s">
        <v>568</v>
      </c>
      <c r="C13" s="94" t="s">
        <v>499</v>
      </c>
      <c r="D13" s="93" t="s">
        <v>1162</v>
      </c>
      <c r="E13" s="94" t="s">
        <v>1239</v>
      </c>
      <c r="F13" s="94" t="s">
        <v>1240</v>
      </c>
      <c r="G13" s="93"/>
      <c r="H13" s="93" t="s">
        <v>571</v>
      </c>
      <c r="I13" s="93" t="s">
        <v>538</v>
      </c>
      <c r="J13" s="93" t="s">
        <v>578</v>
      </c>
      <c r="K13" s="93" t="s">
        <v>579</v>
      </c>
      <c r="L13" s="93" t="s">
        <v>594</v>
      </c>
      <c r="M13" s="94" t="s">
        <v>595</v>
      </c>
      <c r="N13" s="94" t="s">
        <v>1163</v>
      </c>
      <c r="O13" s="94" t="s">
        <v>574</v>
      </c>
      <c r="P13" s="94" t="s">
        <v>575</v>
      </c>
      <c r="Q13" s="94" t="s">
        <v>540</v>
      </c>
      <c r="R13" s="93" t="s">
        <v>576</v>
      </c>
      <c r="S13" s="94" t="s">
        <v>1164</v>
      </c>
      <c r="T13" s="94" t="s">
        <v>754</v>
      </c>
      <c r="U13" s="94"/>
      <c r="V13" s="94"/>
      <c r="W13" s="94"/>
      <c r="X13" s="120">
        <v>24</v>
      </c>
      <c r="Y13" s="120">
        <v>28643</v>
      </c>
      <c r="Z13" s="120">
        <v>8593</v>
      </c>
      <c r="AA13" s="94" t="s">
        <v>577</v>
      </c>
      <c r="AB13" s="94" t="s">
        <v>1161</v>
      </c>
      <c r="AC13" s="94"/>
      <c r="AD13" s="94"/>
      <c r="AE13" s="120">
        <v>1710</v>
      </c>
    </row>
    <row r="14" spans="1:31">
      <c r="A14" s="94" t="s">
        <v>1156</v>
      </c>
      <c r="B14" s="94" t="s">
        <v>568</v>
      </c>
      <c r="C14" s="94" t="s">
        <v>499</v>
      </c>
      <c r="D14" s="93" t="s">
        <v>1168</v>
      </c>
      <c r="E14" s="94" t="s">
        <v>1239</v>
      </c>
      <c r="F14" s="94" t="s">
        <v>1240</v>
      </c>
      <c r="G14" s="93"/>
      <c r="H14" s="93" t="s">
        <v>571</v>
      </c>
      <c r="I14" s="93" t="s">
        <v>538</v>
      </c>
      <c r="J14" s="93" t="s">
        <v>578</v>
      </c>
      <c r="K14" s="93" t="s">
        <v>579</v>
      </c>
      <c r="L14" s="93" t="s">
        <v>583</v>
      </c>
      <c r="M14" s="94" t="s">
        <v>584</v>
      </c>
      <c r="N14" s="94" t="s">
        <v>585</v>
      </c>
      <c r="O14" s="94" t="s">
        <v>574</v>
      </c>
      <c r="P14" s="94" t="s">
        <v>575</v>
      </c>
      <c r="Q14" s="94" t="s">
        <v>540</v>
      </c>
      <c r="R14" s="93" t="s">
        <v>582</v>
      </c>
      <c r="S14" s="94" t="s">
        <v>1146</v>
      </c>
      <c r="T14" s="94" t="s">
        <v>712</v>
      </c>
      <c r="U14" s="94"/>
      <c r="V14" s="94"/>
      <c r="W14" s="94"/>
      <c r="X14" s="120">
        <v>24</v>
      </c>
      <c r="Y14" s="120">
        <v>62403</v>
      </c>
      <c r="Z14" s="120">
        <v>0</v>
      </c>
      <c r="AA14" s="94" t="s">
        <v>577</v>
      </c>
      <c r="AB14" s="94" t="s">
        <v>1169</v>
      </c>
      <c r="AC14" s="94"/>
      <c r="AD14" s="94"/>
      <c r="AE14" s="120">
        <v>620</v>
      </c>
    </row>
    <row r="15" spans="1:31">
      <c r="A15" s="94" t="s">
        <v>1156</v>
      </c>
      <c r="B15" s="94" t="s">
        <v>568</v>
      </c>
      <c r="C15" s="94" t="s">
        <v>499</v>
      </c>
      <c r="D15" s="93" t="s">
        <v>1159</v>
      </c>
      <c r="E15" s="94" t="s">
        <v>1239</v>
      </c>
      <c r="F15" s="94" t="s">
        <v>1240</v>
      </c>
      <c r="G15" s="93"/>
      <c r="H15" s="93" t="s">
        <v>571</v>
      </c>
      <c r="I15" s="93" t="s">
        <v>538</v>
      </c>
      <c r="J15" s="93" t="s">
        <v>578</v>
      </c>
      <c r="K15" s="93" t="s">
        <v>579</v>
      </c>
      <c r="L15" s="93" t="s">
        <v>586</v>
      </c>
      <c r="M15" s="94" t="s">
        <v>587</v>
      </c>
      <c r="N15" s="94" t="s">
        <v>588</v>
      </c>
      <c r="O15" s="94" t="s">
        <v>574</v>
      </c>
      <c r="P15" s="94" t="s">
        <v>575</v>
      </c>
      <c r="Q15" s="94" t="s">
        <v>540</v>
      </c>
      <c r="R15" s="93" t="s">
        <v>582</v>
      </c>
      <c r="S15" s="94" t="s">
        <v>1160</v>
      </c>
      <c r="T15" s="94" t="s">
        <v>750</v>
      </c>
      <c r="U15" s="94"/>
      <c r="V15" s="94"/>
      <c r="W15" s="94"/>
      <c r="X15" s="120">
        <v>24</v>
      </c>
      <c r="Y15" s="120">
        <v>38601</v>
      </c>
      <c r="Z15" s="120">
        <v>0</v>
      </c>
      <c r="AA15" s="94" t="s">
        <v>577</v>
      </c>
      <c r="AB15" s="94" t="s">
        <v>1161</v>
      </c>
      <c r="AC15" s="94"/>
      <c r="AD15" s="94"/>
      <c r="AE15" s="120">
        <v>380</v>
      </c>
    </row>
    <row r="16" spans="1:31">
      <c r="A16" s="94" t="s">
        <v>1156</v>
      </c>
      <c r="B16" s="94" t="s">
        <v>568</v>
      </c>
      <c r="C16" s="94" t="s">
        <v>499</v>
      </c>
      <c r="D16" s="93" t="s">
        <v>1174</v>
      </c>
      <c r="E16" s="94" t="s">
        <v>1239</v>
      </c>
      <c r="F16" s="94" t="s">
        <v>1240</v>
      </c>
      <c r="G16" s="93"/>
      <c r="H16" s="93" t="s">
        <v>571</v>
      </c>
      <c r="I16" s="93" t="s">
        <v>538</v>
      </c>
      <c r="J16" s="93" t="s">
        <v>578</v>
      </c>
      <c r="K16" s="93" t="s">
        <v>579</v>
      </c>
      <c r="L16" s="93" t="s">
        <v>583</v>
      </c>
      <c r="M16" s="94" t="s">
        <v>584</v>
      </c>
      <c r="N16" s="94" t="s">
        <v>585</v>
      </c>
      <c r="O16" s="94" t="s">
        <v>574</v>
      </c>
      <c r="P16" s="94" t="s">
        <v>575</v>
      </c>
      <c r="Q16" s="94" t="s">
        <v>540</v>
      </c>
      <c r="R16" s="93" t="s">
        <v>576</v>
      </c>
      <c r="S16" s="94" t="s">
        <v>1146</v>
      </c>
      <c r="T16" s="94" t="s">
        <v>712</v>
      </c>
      <c r="U16" s="94"/>
      <c r="V16" s="94"/>
      <c r="W16" s="94"/>
      <c r="X16" s="120">
        <v>24</v>
      </c>
      <c r="Y16" s="120">
        <v>27144</v>
      </c>
      <c r="Z16" s="120">
        <v>8143</v>
      </c>
      <c r="AA16" s="94" t="s">
        <v>577</v>
      </c>
      <c r="AB16" s="94" t="s">
        <v>1169</v>
      </c>
      <c r="AC16" s="94"/>
      <c r="AD16" s="94"/>
      <c r="AE16" s="120">
        <v>1620</v>
      </c>
    </row>
    <row r="17" spans="1:31">
      <c r="A17" s="94" t="s">
        <v>1156</v>
      </c>
      <c r="B17" s="94" t="s">
        <v>568</v>
      </c>
      <c r="C17" s="94" t="s">
        <v>499</v>
      </c>
      <c r="D17" s="93" t="s">
        <v>1174</v>
      </c>
      <c r="E17" s="94" t="s">
        <v>1239</v>
      </c>
      <c r="F17" s="94" t="s">
        <v>1240</v>
      </c>
      <c r="G17" s="93"/>
      <c r="H17" s="93" t="s">
        <v>571</v>
      </c>
      <c r="I17" s="93" t="s">
        <v>538</v>
      </c>
      <c r="J17" s="93" t="s">
        <v>578</v>
      </c>
      <c r="K17" s="93" t="s">
        <v>579</v>
      </c>
      <c r="L17" s="93" t="s">
        <v>583</v>
      </c>
      <c r="M17" s="94" t="s">
        <v>584</v>
      </c>
      <c r="N17" s="94" t="s">
        <v>585</v>
      </c>
      <c r="O17" s="94" t="s">
        <v>574</v>
      </c>
      <c r="P17" s="94" t="s">
        <v>575</v>
      </c>
      <c r="Q17" s="94" t="s">
        <v>540</v>
      </c>
      <c r="R17" s="93" t="s">
        <v>576</v>
      </c>
      <c r="S17" s="94" t="s">
        <v>1146</v>
      </c>
      <c r="T17" s="94" t="s">
        <v>712</v>
      </c>
      <c r="U17" s="94"/>
      <c r="V17" s="94"/>
      <c r="W17" s="94"/>
      <c r="X17" s="120">
        <v>24</v>
      </c>
      <c r="Y17" s="120">
        <v>27144</v>
      </c>
      <c r="Z17" s="120">
        <v>0</v>
      </c>
      <c r="AA17" s="94" t="s">
        <v>577</v>
      </c>
      <c r="AB17" s="94" t="s">
        <v>1169</v>
      </c>
      <c r="AC17" s="94"/>
      <c r="AD17" s="94"/>
      <c r="AE17" s="120">
        <v>270</v>
      </c>
    </row>
    <row r="18" spans="1:31">
      <c r="A18" s="94" t="s">
        <v>1156</v>
      </c>
      <c r="B18" s="94" t="s">
        <v>568</v>
      </c>
      <c r="C18" s="94" t="s">
        <v>499</v>
      </c>
      <c r="D18" s="93" t="s">
        <v>1175</v>
      </c>
      <c r="E18" s="94" t="s">
        <v>1239</v>
      </c>
      <c r="F18" s="94" t="s">
        <v>1240</v>
      </c>
      <c r="G18" s="93"/>
      <c r="H18" s="93" t="s">
        <v>571</v>
      </c>
      <c r="I18" s="93" t="s">
        <v>538</v>
      </c>
      <c r="J18" s="93" t="s">
        <v>578</v>
      </c>
      <c r="K18" s="93" t="s">
        <v>579</v>
      </c>
      <c r="L18" s="93" t="s">
        <v>655</v>
      </c>
      <c r="M18" s="94" t="s">
        <v>656</v>
      </c>
      <c r="N18" s="94" t="s">
        <v>1144</v>
      </c>
      <c r="O18" s="94" t="s">
        <v>574</v>
      </c>
      <c r="P18" s="94" t="s">
        <v>575</v>
      </c>
      <c r="Q18" s="94" t="s">
        <v>540</v>
      </c>
      <c r="R18" s="93" t="s">
        <v>576</v>
      </c>
      <c r="S18" s="94" t="s">
        <v>1176</v>
      </c>
      <c r="T18" s="94" t="s">
        <v>676</v>
      </c>
      <c r="U18" s="94"/>
      <c r="V18" s="94"/>
      <c r="W18" s="94"/>
      <c r="X18" s="120">
        <v>24</v>
      </c>
      <c r="Y18" s="120">
        <v>30977</v>
      </c>
      <c r="Z18" s="120">
        <v>9293</v>
      </c>
      <c r="AA18" s="94" t="s">
        <v>577</v>
      </c>
      <c r="AB18" s="94" t="s">
        <v>1177</v>
      </c>
      <c r="AC18" s="94"/>
      <c r="AD18" s="94"/>
      <c r="AE18" s="120">
        <v>1850</v>
      </c>
    </row>
    <row r="19" spans="1:31">
      <c r="A19" s="94" t="s">
        <v>1156</v>
      </c>
      <c r="B19" s="94" t="s">
        <v>568</v>
      </c>
      <c r="C19" s="94" t="s">
        <v>499</v>
      </c>
      <c r="D19" s="93" t="s">
        <v>1175</v>
      </c>
      <c r="E19" s="94" t="s">
        <v>1239</v>
      </c>
      <c r="F19" s="94" t="s">
        <v>1240</v>
      </c>
      <c r="G19" s="93"/>
      <c r="H19" s="93" t="s">
        <v>571</v>
      </c>
      <c r="I19" s="93" t="s">
        <v>538</v>
      </c>
      <c r="J19" s="93" t="s">
        <v>578</v>
      </c>
      <c r="K19" s="93" t="s">
        <v>579</v>
      </c>
      <c r="L19" s="93" t="s">
        <v>655</v>
      </c>
      <c r="M19" s="94" t="s">
        <v>656</v>
      </c>
      <c r="N19" s="94" t="s">
        <v>1144</v>
      </c>
      <c r="O19" s="94" t="s">
        <v>574</v>
      </c>
      <c r="P19" s="94" t="s">
        <v>575</v>
      </c>
      <c r="Q19" s="94" t="s">
        <v>540</v>
      </c>
      <c r="R19" s="93" t="s">
        <v>576</v>
      </c>
      <c r="S19" s="94" t="s">
        <v>1176</v>
      </c>
      <c r="T19" s="94" t="s">
        <v>676</v>
      </c>
      <c r="U19" s="94"/>
      <c r="V19" s="94"/>
      <c r="W19" s="94"/>
      <c r="X19" s="120">
        <v>24</v>
      </c>
      <c r="Y19" s="120">
        <v>30977</v>
      </c>
      <c r="Z19" s="120">
        <v>0</v>
      </c>
      <c r="AA19" s="94" t="s">
        <v>577</v>
      </c>
      <c r="AB19" s="94" t="s">
        <v>1177</v>
      </c>
      <c r="AC19" s="94"/>
      <c r="AD19" s="94"/>
      <c r="AE19" s="120">
        <v>300</v>
      </c>
    </row>
    <row r="20" spans="1:31">
      <c r="A20" s="94" t="s">
        <v>1156</v>
      </c>
      <c r="B20" s="94" t="s">
        <v>568</v>
      </c>
      <c r="C20" s="94" t="s">
        <v>499</v>
      </c>
      <c r="D20" s="93" t="s">
        <v>1178</v>
      </c>
      <c r="E20" s="94" t="s">
        <v>1239</v>
      </c>
      <c r="F20" s="94" t="s">
        <v>1240</v>
      </c>
      <c r="G20" s="93"/>
      <c r="H20" s="93" t="s">
        <v>571</v>
      </c>
      <c r="I20" s="93" t="s">
        <v>538</v>
      </c>
      <c r="J20" s="93" t="s">
        <v>578</v>
      </c>
      <c r="K20" s="93" t="s">
        <v>579</v>
      </c>
      <c r="L20" s="93" t="s">
        <v>597</v>
      </c>
      <c r="M20" s="94" t="s">
        <v>598</v>
      </c>
      <c r="N20" s="94" t="s">
        <v>1166</v>
      </c>
      <c r="O20" s="94" t="s">
        <v>574</v>
      </c>
      <c r="P20" s="94" t="s">
        <v>575</v>
      </c>
      <c r="Q20" s="94" t="s">
        <v>540</v>
      </c>
      <c r="R20" s="93" t="s">
        <v>582</v>
      </c>
      <c r="S20" s="94" t="s">
        <v>1179</v>
      </c>
      <c r="T20" s="94" t="s">
        <v>748</v>
      </c>
      <c r="U20" s="94"/>
      <c r="V20" s="94"/>
      <c r="W20" s="94"/>
      <c r="X20" s="120">
        <v>24</v>
      </c>
      <c r="Y20" s="120">
        <v>21390</v>
      </c>
      <c r="Z20" s="120">
        <v>6417</v>
      </c>
      <c r="AA20" s="94" t="s">
        <v>577</v>
      </c>
      <c r="AB20" s="94" t="s">
        <v>1161</v>
      </c>
      <c r="AC20" s="94"/>
      <c r="AD20" s="94"/>
      <c r="AE20" s="120">
        <v>1280</v>
      </c>
    </row>
    <row r="21" spans="1:31">
      <c r="A21" s="94" t="s">
        <v>1156</v>
      </c>
      <c r="B21" s="94" t="s">
        <v>568</v>
      </c>
      <c r="C21" s="94" t="s">
        <v>499</v>
      </c>
      <c r="D21" s="93" t="s">
        <v>1178</v>
      </c>
      <c r="E21" s="94" t="s">
        <v>1239</v>
      </c>
      <c r="F21" s="94" t="s">
        <v>1240</v>
      </c>
      <c r="G21" s="93"/>
      <c r="H21" s="93" t="s">
        <v>571</v>
      </c>
      <c r="I21" s="93" t="s">
        <v>538</v>
      </c>
      <c r="J21" s="93" t="s">
        <v>578</v>
      </c>
      <c r="K21" s="93" t="s">
        <v>579</v>
      </c>
      <c r="L21" s="93" t="s">
        <v>597</v>
      </c>
      <c r="M21" s="94" t="s">
        <v>598</v>
      </c>
      <c r="N21" s="94" t="s">
        <v>1166</v>
      </c>
      <c r="O21" s="94" t="s">
        <v>574</v>
      </c>
      <c r="P21" s="94" t="s">
        <v>575</v>
      </c>
      <c r="Q21" s="94" t="s">
        <v>540</v>
      </c>
      <c r="R21" s="93" t="s">
        <v>582</v>
      </c>
      <c r="S21" s="94" t="s">
        <v>1179</v>
      </c>
      <c r="T21" s="94" t="s">
        <v>748</v>
      </c>
      <c r="U21" s="94"/>
      <c r="V21" s="94"/>
      <c r="W21" s="94"/>
      <c r="X21" s="120">
        <v>24</v>
      </c>
      <c r="Y21" s="120">
        <v>21390</v>
      </c>
      <c r="Z21" s="120">
        <v>0</v>
      </c>
      <c r="AA21" s="94" t="s">
        <v>577</v>
      </c>
      <c r="AB21" s="94" t="s">
        <v>1161</v>
      </c>
      <c r="AC21" s="94"/>
      <c r="AD21" s="94"/>
      <c r="AE21" s="120">
        <v>210</v>
      </c>
    </row>
    <row r="22" spans="1:31">
      <c r="A22" s="94" t="s">
        <v>1156</v>
      </c>
      <c r="B22" s="94" t="s">
        <v>568</v>
      </c>
      <c r="C22" s="94" t="s">
        <v>197</v>
      </c>
      <c r="D22" s="93" t="s">
        <v>763</v>
      </c>
      <c r="E22" s="94" t="s">
        <v>1239</v>
      </c>
      <c r="F22" s="94" t="s">
        <v>1240</v>
      </c>
      <c r="G22" s="93"/>
      <c r="H22" s="93" t="s">
        <v>571</v>
      </c>
      <c r="I22" s="93" t="s">
        <v>538</v>
      </c>
      <c r="J22" s="93" t="s">
        <v>578</v>
      </c>
      <c r="K22" s="93" t="s">
        <v>579</v>
      </c>
      <c r="L22" s="93" t="s">
        <v>589</v>
      </c>
      <c r="M22" s="94" t="s">
        <v>590</v>
      </c>
      <c r="N22" s="94" t="s">
        <v>591</v>
      </c>
      <c r="O22" s="94"/>
      <c r="P22" s="94" t="s">
        <v>575</v>
      </c>
      <c r="Q22" s="94" t="s">
        <v>540</v>
      </c>
      <c r="R22" s="93" t="s">
        <v>592</v>
      </c>
      <c r="S22" s="94" t="s">
        <v>1146</v>
      </c>
      <c r="T22" s="94" t="s">
        <v>764</v>
      </c>
      <c r="U22" s="94"/>
      <c r="V22" s="94"/>
      <c r="W22" s="94"/>
      <c r="X22" s="120">
        <v>24</v>
      </c>
      <c r="Y22" s="120">
        <v>23880</v>
      </c>
      <c r="Z22" s="120"/>
      <c r="AA22" s="94" t="s">
        <v>577</v>
      </c>
      <c r="AB22" s="94" t="s">
        <v>1167</v>
      </c>
      <c r="AC22" s="94"/>
      <c r="AD22" s="94"/>
      <c r="AE22" s="120">
        <v>1650</v>
      </c>
    </row>
    <row r="23" spans="1:31">
      <c r="A23" s="94" t="s">
        <v>1156</v>
      </c>
      <c r="B23" s="94" t="s">
        <v>568</v>
      </c>
      <c r="C23" s="94" t="s">
        <v>197</v>
      </c>
      <c r="D23" s="93" t="s">
        <v>768</v>
      </c>
      <c r="E23" s="94" t="s">
        <v>1239</v>
      </c>
      <c r="F23" s="94" t="s">
        <v>1240</v>
      </c>
      <c r="G23" s="93"/>
      <c r="H23" s="93" t="s">
        <v>571</v>
      </c>
      <c r="I23" s="93" t="s">
        <v>538</v>
      </c>
      <c r="J23" s="93" t="s">
        <v>578</v>
      </c>
      <c r="K23" s="93" t="s">
        <v>579</v>
      </c>
      <c r="L23" s="93" t="s">
        <v>589</v>
      </c>
      <c r="M23" s="94" t="s">
        <v>590</v>
      </c>
      <c r="N23" s="94" t="s">
        <v>591</v>
      </c>
      <c r="O23" s="94"/>
      <c r="P23" s="94" t="s">
        <v>575</v>
      </c>
      <c r="Q23" s="94" t="s">
        <v>540</v>
      </c>
      <c r="R23" s="93" t="s">
        <v>592</v>
      </c>
      <c r="S23" s="94" t="s">
        <v>1146</v>
      </c>
      <c r="T23" s="94" t="s">
        <v>769</v>
      </c>
      <c r="U23" s="94"/>
      <c r="V23" s="94"/>
      <c r="W23" s="94"/>
      <c r="X23" s="120">
        <v>24</v>
      </c>
      <c r="Y23" s="120">
        <v>10730</v>
      </c>
      <c r="Z23" s="120"/>
      <c r="AA23" s="94" t="s">
        <v>577</v>
      </c>
      <c r="AB23" s="94" t="s">
        <v>1169</v>
      </c>
      <c r="AC23" s="94"/>
      <c r="AD23" s="94"/>
      <c r="AE23" s="120">
        <v>740</v>
      </c>
    </row>
    <row r="24" spans="1:31">
      <c r="A24" s="94" t="s">
        <v>1156</v>
      </c>
      <c r="B24" s="94" t="s">
        <v>568</v>
      </c>
      <c r="C24" s="94" t="s">
        <v>197</v>
      </c>
      <c r="D24" s="93" t="s">
        <v>765</v>
      </c>
      <c r="E24" s="94" t="s">
        <v>1239</v>
      </c>
      <c r="F24" s="94" t="s">
        <v>1240</v>
      </c>
      <c r="G24" s="93"/>
      <c r="H24" s="93" t="s">
        <v>571</v>
      </c>
      <c r="I24" s="93" t="s">
        <v>538</v>
      </c>
      <c r="J24" s="93" t="s">
        <v>578</v>
      </c>
      <c r="K24" s="93" t="s">
        <v>579</v>
      </c>
      <c r="L24" s="93" t="s">
        <v>611</v>
      </c>
      <c r="M24" s="94" t="s">
        <v>612</v>
      </c>
      <c r="N24" s="94" t="s">
        <v>761</v>
      </c>
      <c r="O24" s="94"/>
      <c r="P24" s="94" t="s">
        <v>575</v>
      </c>
      <c r="Q24" s="94" t="s">
        <v>540</v>
      </c>
      <c r="R24" s="93" t="s">
        <v>766</v>
      </c>
      <c r="S24" s="94" t="s">
        <v>1180</v>
      </c>
      <c r="T24" s="94" t="s">
        <v>643</v>
      </c>
      <c r="U24" s="94"/>
      <c r="V24" s="94"/>
      <c r="W24" s="94"/>
      <c r="X24" s="120">
        <v>24</v>
      </c>
      <c r="Y24" s="120">
        <v>46080</v>
      </c>
      <c r="Z24" s="120"/>
      <c r="AA24" s="94" t="s">
        <v>577</v>
      </c>
      <c r="AB24" s="94" t="s">
        <v>1167</v>
      </c>
      <c r="AC24" s="94"/>
      <c r="AD24" s="94"/>
      <c r="AE24" s="120">
        <v>1610</v>
      </c>
    </row>
    <row r="25" spans="1:31">
      <c r="A25" s="94" t="s">
        <v>1156</v>
      </c>
      <c r="B25" s="94" t="s">
        <v>568</v>
      </c>
      <c r="C25" s="94" t="s">
        <v>500</v>
      </c>
      <c r="D25" s="93" t="s">
        <v>778</v>
      </c>
      <c r="E25" s="94" t="s">
        <v>1239</v>
      </c>
      <c r="F25" s="94" t="s">
        <v>1240</v>
      </c>
      <c r="G25" s="93"/>
      <c r="H25" s="93" t="s">
        <v>571</v>
      </c>
      <c r="I25" s="93" t="s">
        <v>538</v>
      </c>
      <c r="J25" s="93" t="s">
        <v>578</v>
      </c>
      <c r="K25" s="93" t="s">
        <v>579</v>
      </c>
      <c r="L25" s="93" t="s">
        <v>594</v>
      </c>
      <c r="M25" s="94" t="s">
        <v>595</v>
      </c>
      <c r="N25" s="94" t="s">
        <v>1181</v>
      </c>
      <c r="O25" s="94"/>
      <c r="P25" s="94" t="s">
        <v>575</v>
      </c>
      <c r="Q25" s="94" t="s">
        <v>540</v>
      </c>
      <c r="R25" s="93" t="s">
        <v>773</v>
      </c>
      <c r="S25" s="94" t="s">
        <v>1182</v>
      </c>
      <c r="T25" s="94" t="s">
        <v>702</v>
      </c>
      <c r="U25" s="94"/>
      <c r="V25" s="94"/>
      <c r="W25" s="94"/>
      <c r="X25" s="120">
        <v>24</v>
      </c>
      <c r="Y25" s="120">
        <v>54228</v>
      </c>
      <c r="Z25" s="120">
        <v>10845</v>
      </c>
      <c r="AA25" s="94" t="s">
        <v>577</v>
      </c>
      <c r="AB25" s="94" t="s">
        <v>1183</v>
      </c>
      <c r="AC25" s="94"/>
      <c r="AD25" s="94"/>
      <c r="AE25" s="120">
        <v>108</v>
      </c>
    </row>
    <row r="26" spans="1:31">
      <c r="A26" s="94" t="s">
        <v>1156</v>
      </c>
      <c r="B26" s="94" t="s">
        <v>568</v>
      </c>
      <c r="C26" s="94" t="s">
        <v>500</v>
      </c>
      <c r="D26" s="93" t="s">
        <v>778</v>
      </c>
      <c r="E26" s="94" t="s">
        <v>1239</v>
      </c>
      <c r="F26" s="94" t="s">
        <v>1240</v>
      </c>
      <c r="G26" s="93"/>
      <c r="H26" s="93" t="s">
        <v>571</v>
      </c>
      <c r="I26" s="93" t="s">
        <v>538</v>
      </c>
      <c r="J26" s="93" t="s">
        <v>578</v>
      </c>
      <c r="K26" s="93" t="s">
        <v>579</v>
      </c>
      <c r="L26" s="93" t="s">
        <v>594</v>
      </c>
      <c r="M26" s="94" t="s">
        <v>595</v>
      </c>
      <c r="N26" s="94" t="s">
        <v>1181</v>
      </c>
      <c r="O26" s="94"/>
      <c r="P26" s="94" t="s">
        <v>575</v>
      </c>
      <c r="Q26" s="94" t="s">
        <v>540</v>
      </c>
      <c r="R26" s="93" t="s">
        <v>773</v>
      </c>
      <c r="S26" s="94" t="s">
        <v>1182</v>
      </c>
      <c r="T26" s="94" t="s">
        <v>702</v>
      </c>
      <c r="U26" s="94"/>
      <c r="V26" s="94"/>
      <c r="W26" s="94"/>
      <c r="X26" s="120">
        <v>24</v>
      </c>
      <c r="Y26" s="120">
        <v>54228</v>
      </c>
      <c r="Z26" s="120">
        <v>10845</v>
      </c>
      <c r="AA26" s="94" t="s">
        <v>577</v>
      </c>
      <c r="AB26" s="94" t="s">
        <v>1183</v>
      </c>
      <c r="AC26" s="94"/>
      <c r="AD26" s="94"/>
      <c r="AE26" s="120">
        <v>2710</v>
      </c>
    </row>
    <row r="27" spans="1:31">
      <c r="A27" s="94" t="s">
        <v>1156</v>
      </c>
      <c r="B27" s="94" t="s">
        <v>568</v>
      </c>
      <c r="C27" s="94" t="s">
        <v>500</v>
      </c>
      <c r="D27" s="93" t="s">
        <v>776</v>
      </c>
      <c r="E27" s="94" t="s">
        <v>1239</v>
      </c>
      <c r="F27" s="94" t="s">
        <v>1240</v>
      </c>
      <c r="G27" s="93"/>
      <c r="H27" s="93" t="s">
        <v>571</v>
      </c>
      <c r="I27" s="93" t="s">
        <v>538</v>
      </c>
      <c r="J27" s="93" t="s">
        <v>578</v>
      </c>
      <c r="K27" s="93" t="s">
        <v>579</v>
      </c>
      <c r="L27" s="93" t="s">
        <v>594</v>
      </c>
      <c r="M27" s="94" t="s">
        <v>595</v>
      </c>
      <c r="N27" s="94" t="s">
        <v>1181</v>
      </c>
      <c r="O27" s="94"/>
      <c r="P27" s="94" t="s">
        <v>575</v>
      </c>
      <c r="Q27" s="94" t="s">
        <v>540</v>
      </c>
      <c r="R27" s="93" t="s">
        <v>773</v>
      </c>
      <c r="S27" s="94" t="s">
        <v>1180</v>
      </c>
      <c r="T27" s="94" t="s">
        <v>762</v>
      </c>
      <c r="U27" s="94"/>
      <c r="V27" s="94"/>
      <c r="W27" s="94"/>
      <c r="X27" s="120">
        <v>24</v>
      </c>
      <c r="Y27" s="120">
        <v>52369</v>
      </c>
      <c r="Z27" s="120">
        <v>10473</v>
      </c>
      <c r="AA27" s="94" t="s">
        <v>577</v>
      </c>
      <c r="AB27" s="94" t="s">
        <v>1183</v>
      </c>
      <c r="AC27" s="94"/>
      <c r="AD27" s="94"/>
      <c r="AE27" s="120">
        <v>417</v>
      </c>
    </row>
    <row r="28" spans="1:31">
      <c r="A28" s="94" t="s">
        <v>1156</v>
      </c>
      <c r="B28" s="94" t="s">
        <v>568</v>
      </c>
      <c r="C28" s="94" t="s">
        <v>500</v>
      </c>
      <c r="D28" s="93" t="s">
        <v>777</v>
      </c>
      <c r="E28" s="94" t="s">
        <v>1239</v>
      </c>
      <c r="F28" s="94" t="s">
        <v>1240</v>
      </c>
      <c r="G28" s="93"/>
      <c r="H28" s="93" t="s">
        <v>571</v>
      </c>
      <c r="I28" s="93" t="s">
        <v>538</v>
      </c>
      <c r="J28" s="93" t="s">
        <v>578</v>
      </c>
      <c r="K28" s="93" t="s">
        <v>579</v>
      </c>
      <c r="L28" s="93" t="s">
        <v>594</v>
      </c>
      <c r="M28" s="94" t="s">
        <v>595</v>
      </c>
      <c r="N28" s="94" t="s">
        <v>1181</v>
      </c>
      <c r="O28" s="94"/>
      <c r="P28" s="94" t="s">
        <v>575</v>
      </c>
      <c r="Q28" s="94" t="s">
        <v>540</v>
      </c>
      <c r="R28" s="93" t="s">
        <v>773</v>
      </c>
      <c r="S28" s="94" t="s">
        <v>1143</v>
      </c>
      <c r="T28" s="94" t="s">
        <v>695</v>
      </c>
      <c r="U28" s="94"/>
      <c r="V28" s="94"/>
      <c r="W28" s="94"/>
      <c r="X28" s="120">
        <v>24</v>
      </c>
      <c r="Y28" s="120">
        <v>7208</v>
      </c>
      <c r="Z28" s="120">
        <v>1441</v>
      </c>
      <c r="AA28" s="94" t="s">
        <v>577</v>
      </c>
      <c r="AB28" s="94" t="s">
        <v>1167</v>
      </c>
      <c r="AC28" s="94"/>
      <c r="AD28" s="94"/>
      <c r="AE28" s="120">
        <v>360</v>
      </c>
    </row>
    <row r="29" spans="1:31">
      <c r="A29" s="94" t="s">
        <v>1156</v>
      </c>
      <c r="B29" s="94" t="s">
        <v>568</v>
      </c>
      <c r="C29" s="94" t="s">
        <v>500</v>
      </c>
      <c r="D29" s="93" t="s">
        <v>779</v>
      </c>
      <c r="E29" s="94" t="s">
        <v>1239</v>
      </c>
      <c r="F29" s="94" t="s">
        <v>1240</v>
      </c>
      <c r="G29" s="93"/>
      <c r="H29" s="93" t="s">
        <v>571</v>
      </c>
      <c r="I29" s="93" t="s">
        <v>538</v>
      </c>
      <c r="J29" s="93" t="s">
        <v>578</v>
      </c>
      <c r="K29" s="93" t="s">
        <v>579</v>
      </c>
      <c r="L29" s="93" t="s">
        <v>580</v>
      </c>
      <c r="M29" s="94" t="s">
        <v>581</v>
      </c>
      <c r="N29" s="94" t="s">
        <v>1184</v>
      </c>
      <c r="O29" s="94"/>
      <c r="P29" s="94" t="s">
        <v>575</v>
      </c>
      <c r="Q29" s="94" t="s">
        <v>540</v>
      </c>
      <c r="R29" s="93" t="s">
        <v>773</v>
      </c>
      <c r="S29" s="94" t="s">
        <v>1142</v>
      </c>
      <c r="T29" s="94" t="s">
        <v>760</v>
      </c>
      <c r="U29" s="94"/>
      <c r="V29" s="94"/>
      <c r="W29" s="94"/>
      <c r="X29" s="120">
        <v>24</v>
      </c>
      <c r="Y29" s="120">
        <v>24461</v>
      </c>
      <c r="Z29" s="120">
        <v>4890</v>
      </c>
      <c r="AA29" s="94" t="s">
        <v>577</v>
      </c>
      <c r="AB29" s="94" t="s">
        <v>1185</v>
      </c>
      <c r="AC29" s="94"/>
      <c r="AD29" s="94"/>
      <c r="AE29" s="120">
        <v>193</v>
      </c>
    </row>
    <row r="30" spans="1:31">
      <c r="A30" s="94" t="s">
        <v>1156</v>
      </c>
      <c r="B30" s="94" t="s">
        <v>568</v>
      </c>
      <c r="C30" s="94" t="s">
        <v>500</v>
      </c>
      <c r="D30" s="93" t="s">
        <v>779</v>
      </c>
      <c r="E30" s="94" t="s">
        <v>1239</v>
      </c>
      <c r="F30" s="94" t="s">
        <v>1240</v>
      </c>
      <c r="G30" s="93"/>
      <c r="H30" s="93" t="s">
        <v>571</v>
      </c>
      <c r="I30" s="93" t="s">
        <v>538</v>
      </c>
      <c r="J30" s="93" t="s">
        <v>578</v>
      </c>
      <c r="K30" s="93" t="s">
        <v>579</v>
      </c>
      <c r="L30" s="93" t="s">
        <v>580</v>
      </c>
      <c r="M30" s="94" t="s">
        <v>581</v>
      </c>
      <c r="N30" s="94" t="s">
        <v>1184</v>
      </c>
      <c r="O30" s="94"/>
      <c r="P30" s="94" t="s">
        <v>575</v>
      </c>
      <c r="Q30" s="94" t="s">
        <v>540</v>
      </c>
      <c r="R30" s="93" t="s">
        <v>773</v>
      </c>
      <c r="S30" s="94" t="s">
        <v>1142</v>
      </c>
      <c r="T30" s="94" t="s">
        <v>760</v>
      </c>
      <c r="U30" s="94"/>
      <c r="V30" s="94"/>
      <c r="W30" s="94"/>
      <c r="X30" s="120">
        <v>24</v>
      </c>
      <c r="Y30" s="120">
        <v>24461</v>
      </c>
      <c r="Z30" s="120">
        <v>4890</v>
      </c>
      <c r="AA30" s="94" t="s">
        <v>577</v>
      </c>
      <c r="AB30" s="94" t="s">
        <v>1185</v>
      </c>
      <c r="AC30" s="94"/>
      <c r="AD30" s="94"/>
      <c r="AE30" s="120">
        <v>1221</v>
      </c>
    </row>
    <row r="31" spans="1:31">
      <c r="A31" s="94" t="s">
        <v>1156</v>
      </c>
      <c r="B31" s="94" t="s">
        <v>568</v>
      </c>
      <c r="C31" s="94" t="s">
        <v>500</v>
      </c>
      <c r="D31" s="93" t="s">
        <v>774</v>
      </c>
      <c r="E31" s="94" t="s">
        <v>1239</v>
      </c>
      <c r="F31" s="94" t="s">
        <v>1240</v>
      </c>
      <c r="G31" s="93"/>
      <c r="H31" s="93" t="s">
        <v>571</v>
      </c>
      <c r="I31" s="93" t="s">
        <v>538</v>
      </c>
      <c r="J31" s="93" t="s">
        <v>578</v>
      </c>
      <c r="K31" s="93" t="s">
        <v>579</v>
      </c>
      <c r="L31" s="93" t="s">
        <v>658</v>
      </c>
      <c r="M31" s="94" t="s">
        <v>659</v>
      </c>
      <c r="N31" s="94" t="s">
        <v>1147</v>
      </c>
      <c r="O31" s="94"/>
      <c r="P31" s="94" t="s">
        <v>575</v>
      </c>
      <c r="Q31" s="94" t="s">
        <v>540</v>
      </c>
      <c r="R31" s="93" t="s">
        <v>773</v>
      </c>
      <c r="S31" s="94" t="s">
        <v>1186</v>
      </c>
      <c r="T31" s="94" t="s">
        <v>775</v>
      </c>
      <c r="U31" s="94"/>
      <c r="V31" s="94"/>
      <c r="W31" s="94"/>
      <c r="X31" s="120">
        <v>24</v>
      </c>
      <c r="Y31" s="120">
        <v>64513</v>
      </c>
      <c r="Z31" s="120">
        <v>12901</v>
      </c>
      <c r="AA31" s="94" t="s">
        <v>577</v>
      </c>
      <c r="AB31" s="94" t="s">
        <v>1183</v>
      </c>
      <c r="AC31" s="94"/>
      <c r="AD31" s="94"/>
      <c r="AE31" s="120">
        <v>127</v>
      </c>
    </row>
    <row r="32" spans="1:31">
      <c r="A32" s="94" t="s">
        <v>1156</v>
      </c>
      <c r="B32" s="94" t="s">
        <v>568</v>
      </c>
      <c r="C32" s="94" t="s">
        <v>500</v>
      </c>
      <c r="D32" s="93" t="s">
        <v>774</v>
      </c>
      <c r="E32" s="94" t="s">
        <v>1239</v>
      </c>
      <c r="F32" s="94" t="s">
        <v>1240</v>
      </c>
      <c r="G32" s="93"/>
      <c r="H32" s="93" t="s">
        <v>571</v>
      </c>
      <c r="I32" s="93" t="s">
        <v>538</v>
      </c>
      <c r="J32" s="93" t="s">
        <v>578</v>
      </c>
      <c r="K32" s="93" t="s">
        <v>579</v>
      </c>
      <c r="L32" s="93" t="s">
        <v>658</v>
      </c>
      <c r="M32" s="94" t="s">
        <v>659</v>
      </c>
      <c r="N32" s="94" t="s">
        <v>1147</v>
      </c>
      <c r="O32" s="94"/>
      <c r="P32" s="94" t="s">
        <v>575</v>
      </c>
      <c r="Q32" s="94" t="s">
        <v>540</v>
      </c>
      <c r="R32" s="93" t="s">
        <v>773</v>
      </c>
      <c r="S32" s="94" t="s">
        <v>1186</v>
      </c>
      <c r="T32" s="94" t="s">
        <v>775</v>
      </c>
      <c r="U32" s="94"/>
      <c r="V32" s="94"/>
      <c r="W32" s="94"/>
      <c r="X32" s="120">
        <v>24</v>
      </c>
      <c r="Y32" s="120">
        <v>64513</v>
      </c>
      <c r="Z32" s="120">
        <v>12901</v>
      </c>
      <c r="AA32" s="94" t="s">
        <v>577</v>
      </c>
      <c r="AB32" s="94" t="s">
        <v>1183</v>
      </c>
      <c r="AC32" s="94"/>
      <c r="AD32" s="94"/>
      <c r="AE32" s="120">
        <v>3224</v>
      </c>
    </row>
    <row r="33" spans="1:31">
      <c r="A33" s="94" t="s">
        <v>1156</v>
      </c>
      <c r="B33" s="94" t="s">
        <v>568</v>
      </c>
      <c r="C33" s="94" t="s">
        <v>500</v>
      </c>
      <c r="D33" s="93" t="s">
        <v>771</v>
      </c>
      <c r="E33" s="94" t="s">
        <v>1239</v>
      </c>
      <c r="F33" s="94" t="s">
        <v>1240</v>
      </c>
      <c r="G33" s="93"/>
      <c r="H33" s="93" t="s">
        <v>571</v>
      </c>
      <c r="I33" s="93" t="s">
        <v>538</v>
      </c>
      <c r="J33" s="93" t="s">
        <v>578</v>
      </c>
      <c r="K33" s="93" t="s">
        <v>579</v>
      </c>
      <c r="L33" s="93" t="s">
        <v>580</v>
      </c>
      <c r="M33" s="94" t="s">
        <v>581</v>
      </c>
      <c r="N33" s="94" t="s">
        <v>1184</v>
      </c>
      <c r="O33" s="94"/>
      <c r="P33" s="94" t="s">
        <v>575</v>
      </c>
      <c r="Q33" s="94" t="s">
        <v>540</v>
      </c>
      <c r="R33" s="93" t="s">
        <v>593</v>
      </c>
      <c r="S33" s="94" t="s">
        <v>1187</v>
      </c>
      <c r="T33" s="94" t="s">
        <v>770</v>
      </c>
      <c r="U33" s="94"/>
      <c r="V33" s="94"/>
      <c r="W33" s="94"/>
      <c r="X33" s="120">
        <v>24</v>
      </c>
      <c r="Y33" s="120">
        <v>6973</v>
      </c>
      <c r="Z33" s="120">
        <v>689</v>
      </c>
      <c r="AA33" s="94" t="s">
        <v>577</v>
      </c>
      <c r="AB33" s="94" t="s">
        <v>1161</v>
      </c>
      <c r="AC33" s="94"/>
      <c r="AD33" s="94"/>
      <c r="AE33" s="120">
        <v>168</v>
      </c>
    </row>
    <row r="34" spans="1:31">
      <c r="A34" s="94" t="s">
        <v>1156</v>
      </c>
      <c r="B34" s="94" t="s">
        <v>568</v>
      </c>
      <c r="C34" s="94" t="s">
        <v>500</v>
      </c>
      <c r="D34" s="93" t="s">
        <v>776</v>
      </c>
      <c r="E34" s="94" t="s">
        <v>1239</v>
      </c>
      <c r="F34" s="94" t="s">
        <v>1240</v>
      </c>
      <c r="G34" s="93"/>
      <c r="H34" s="93" t="s">
        <v>571</v>
      </c>
      <c r="I34" s="93" t="s">
        <v>538</v>
      </c>
      <c r="J34" s="93" t="s">
        <v>578</v>
      </c>
      <c r="K34" s="93" t="s">
        <v>579</v>
      </c>
      <c r="L34" s="93" t="s">
        <v>594</v>
      </c>
      <c r="M34" s="94" t="s">
        <v>595</v>
      </c>
      <c r="N34" s="94" t="s">
        <v>1181</v>
      </c>
      <c r="O34" s="94"/>
      <c r="P34" s="94" t="s">
        <v>575</v>
      </c>
      <c r="Q34" s="94" t="s">
        <v>540</v>
      </c>
      <c r="R34" s="93" t="s">
        <v>773</v>
      </c>
      <c r="S34" s="94" t="s">
        <v>1180</v>
      </c>
      <c r="T34" s="94" t="s">
        <v>762</v>
      </c>
      <c r="U34" s="94"/>
      <c r="V34" s="94"/>
      <c r="W34" s="94"/>
      <c r="X34" s="120">
        <v>24</v>
      </c>
      <c r="Y34" s="120">
        <v>52369</v>
      </c>
      <c r="Z34" s="120">
        <v>10473</v>
      </c>
      <c r="AA34" s="94" t="s">
        <v>577</v>
      </c>
      <c r="AB34" s="94" t="s">
        <v>1183</v>
      </c>
      <c r="AC34" s="94"/>
      <c r="AD34" s="94"/>
      <c r="AE34" s="120">
        <v>2617</v>
      </c>
    </row>
    <row r="35" spans="1:31">
      <c r="A35" s="94" t="s">
        <v>1156</v>
      </c>
      <c r="B35" s="94" t="s">
        <v>568</v>
      </c>
      <c r="C35" s="94" t="s">
        <v>500</v>
      </c>
      <c r="D35" s="93" t="s">
        <v>777</v>
      </c>
      <c r="E35" s="94" t="s">
        <v>1239</v>
      </c>
      <c r="F35" s="94" t="s">
        <v>1240</v>
      </c>
      <c r="G35" s="93"/>
      <c r="H35" s="93" t="s">
        <v>571</v>
      </c>
      <c r="I35" s="93" t="s">
        <v>538</v>
      </c>
      <c r="J35" s="93" t="s">
        <v>578</v>
      </c>
      <c r="K35" s="93" t="s">
        <v>579</v>
      </c>
      <c r="L35" s="93" t="s">
        <v>594</v>
      </c>
      <c r="M35" s="94" t="s">
        <v>595</v>
      </c>
      <c r="N35" s="94" t="s">
        <v>1181</v>
      </c>
      <c r="O35" s="94"/>
      <c r="P35" s="94" t="s">
        <v>575</v>
      </c>
      <c r="Q35" s="94" t="s">
        <v>540</v>
      </c>
      <c r="R35" s="93" t="s">
        <v>773</v>
      </c>
      <c r="S35" s="94" t="s">
        <v>1143</v>
      </c>
      <c r="T35" s="94" t="s">
        <v>695</v>
      </c>
      <c r="U35" s="94"/>
      <c r="V35" s="94"/>
      <c r="W35" s="94"/>
      <c r="X35" s="120">
        <v>24</v>
      </c>
      <c r="Y35" s="120">
        <v>7208</v>
      </c>
      <c r="Z35" s="120">
        <v>1441</v>
      </c>
      <c r="AA35" s="94" t="s">
        <v>577</v>
      </c>
      <c r="AB35" s="94" t="s">
        <v>1167</v>
      </c>
      <c r="AC35" s="94"/>
      <c r="AD35" s="94"/>
      <c r="AE35" s="120">
        <v>56</v>
      </c>
    </row>
    <row r="36" spans="1:31">
      <c r="A36" s="94" t="s">
        <v>1156</v>
      </c>
      <c r="B36" s="94" t="s">
        <v>568</v>
      </c>
      <c r="C36" s="94" t="s">
        <v>500</v>
      </c>
      <c r="D36" s="93" t="s">
        <v>772</v>
      </c>
      <c r="E36" s="94" t="s">
        <v>1239</v>
      </c>
      <c r="F36" s="94" t="s">
        <v>1240</v>
      </c>
      <c r="G36" s="93"/>
      <c r="H36" s="93" t="s">
        <v>571</v>
      </c>
      <c r="I36" s="93" t="s">
        <v>538</v>
      </c>
      <c r="J36" s="93" t="s">
        <v>578</v>
      </c>
      <c r="K36" s="93" t="s">
        <v>579</v>
      </c>
      <c r="L36" s="93" t="s">
        <v>580</v>
      </c>
      <c r="M36" s="94" t="s">
        <v>581</v>
      </c>
      <c r="N36" s="94" t="s">
        <v>1184</v>
      </c>
      <c r="O36" s="94"/>
      <c r="P36" s="94" t="s">
        <v>575</v>
      </c>
      <c r="Q36" s="94" t="s">
        <v>540</v>
      </c>
      <c r="R36" s="93" t="s">
        <v>593</v>
      </c>
      <c r="S36" s="94" t="s">
        <v>1187</v>
      </c>
      <c r="T36" s="94" t="s">
        <v>770</v>
      </c>
      <c r="U36" s="94"/>
      <c r="V36" s="94"/>
      <c r="W36" s="94"/>
      <c r="X36" s="120">
        <v>24</v>
      </c>
      <c r="Y36" s="120">
        <v>6621</v>
      </c>
      <c r="Z36" s="120">
        <v>656</v>
      </c>
      <c r="AA36" s="94" t="s">
        <v>577</v>
      </c>
      <c r="AB36" s="94" t="s">
        <v>1161</v>
      </c>
      <c r="AC36" s="94"/>
      <c r="AD36" s="94"/>
      <c r="AE36" s="120">
        <v>159</v>
      </c>
    </row>
    <row r="37" spans="1:31">
      <c r="A37" s="94" t="s">
        <v>1156</v>
      </c>
      <c r="B37" s="94" t="s">
        <v>568</v>
      </c>
      <c r="C37" s="94" t="s">
        <v>196</v>
      </c>
      <c r="D37" s="93" t="s">
        <v>1188</v>
      </c>
      <c r="E37" s="94" t="s">
        <v>1239</v>
      </c>
      <c r="F37" s="94" t="s">
        <v>1240</v>
      </c>
      <c r="G37" s="93"/>
      <c r="H37" s="93" t="s">
        <v>571</v>
      </c>
      <c r="I37" s="93" t="s">
        <v>538</v>
      </c>
      <c r="J37" s="93" t="s">
        <v>578</v>
      </c>
      <c r="K37" s="93" t="s">
        <v>579</v>
      </c>
      <c r="L37" s="93" t="s">
        <v>594</v>
      </c>
      <c r="M37" s="94" t="s">
        <v>595</v>
      </c>
      <c r="N37" s="94" t="s">
        <v>596</v>
      </c>
      <c r="O37" s="94"/>
      <c r="P37" s="94" t="s">
        <v>575</v>
      </c>
      <c r="Q37" s="94" t="s">
        <v>540</v>
      </c>
      <c r="R37" s="93" t="s">
        <v>888</v>
      </c>
      <c r="S37" s="94" t="s">
        <v>1176</v>
      </c>
      <c r="T37" s="94" t="s">
        <v>704</v>
      </c>
      <c r="U37" s="94"/>
      <c r="V37" s="94"/>
      <c r="W37" s="94"/>
      <c r="X37" s="120">
        <v>24</v>
      </c>
      <c r="Y37" s="120">
        <v>71039</v>
      </c>
      <c r="Z37" s="120"/>
      <c r="AA37" s="94" t="s">
        <v>577</v>
      </c>
      <c r="AB37" s="94" t="s">
        <v>1189</v>
      </c>
      <c r="AC37" s="94"/>
      <c r="AD37" s="94"/>
      <c r="AE37" s="120">
        <v>710</v>
      </c>
    </row>
    <row r="38" spans="1:31">
      <c r="A38" s="94" t="s">
        <v>1156</v>
      </c>
      <c r="B38" s="94" t="s">
        <v>568</v>
      </c>
      <c r="C38" s="94" t="s">
        <v>198</v>
      </c>
      <c r="D38" s="93" t="s">
        <v>1190</v>
      </c>
      <c r="E38" s="94" t="s">
        <v>1239</v>
      </c>
      <c r="F38" s="94" t="s">
        <v>1240</v>
      </c>
      <c r="G38" s="93"/>
      <c r="H38" s="93" t="s">
        <v>571</v>
      </c>
      <c r="I38" s="93" t="s">
        <v>538</v>
      </c>
      <c r="J38" s="93" t="s">
        <v>578</v>
      </c>
      <c r="K38" s="93" t="s">
        <v>579</v>
      </c>
      <c r="L38" s="93" t="s">
        <v>589</v>
      </c>
      <c r="M38" s="94" t="s">
        <v>590</v>
      </c>
      <c r="N38" s="94" t="s">
        <v>601</v>
      </c>
      <c r="O38" s="94"/>
      <c r="P38" s="94" t="s">
        <v>575</v>
      </c>
      <c r="Q38" s="94" t="s">
        <v>540</v>
      </c>
      <c r="R38" s="93" t="s">
        <v>602</v>
      </c>
      <c r="S38" s="94" t="s">
        <v>1171</v>
      </c>
      <c r="T38" s="94" t="s">
        <v>892</v>
      </c>
      <c r="U38" s="94"/>
      <c r="V38" s="94"/>
      <c r="W38" s="94"/>
      <c r="X38" s="120">
        <v>24</v>
      </c>
      <c r="Y38" s="120">
        <v>13160</v>
      </c>
      <c r="Z38" s="120">
        <v>3948</v>
      </c>
      <c r="AA38" s="94" t="s">
        <v>577</v>
      </c>
      <c r="AB38" s="94" t="s">
        <v>1161</v>
      </c>
      <c r="AC38" s="94"/>
      <c r="AD38" s="94"/>
      <c r="AE38" s="120">
        <v>78</v>
      </c>
    </row>
    <row r="39" spans="1:31">
      <c r="A39" s="94" t="s">
        <v>1156</v>
      </c>
      <c r="B39" s="94" t="s">
        <v>568</v>
      </c>
      <c r="C39" s="94" t="s">
        <v>198</v>
      </c>
      <c r="D39" s="93" t="s">
        <v>1191</v>
      </c>
      <c r="E39" s="94" t="s">
        <v>1239</v>
      </c>
      <c r="F39" s="94" t="s">
        <v>1240</v>
      </c>
      <c r="G39" s="93"/>
      <c r="H39" s="93" t="s">
        <v>571</v>
      </c>
      <c r="I39" s="93" t="s">
        <v>538</v>
      </c>
      <c r="J39" s="93" t="s">
        <v>578</v>
      </c>
      <c r="K39" s="93" t="s">
        <v>579</v>
      </c>
      <c r="L39" s="93" t="s">
        <v>594</v>
      </c>
      <c r="M39" s="94" t="s">
        <v>595</v>
      </c>
      <c r="N39" s="94" t="s">
        <v>1192</v>
      </c>
      <c r="O39" s="94"/>
      <c r="P39" s="94" t="s">
        <v>575</v>
      </c>
      <c r="Q39" s="94" t="s">
        <v>540</v>
      </c>
      <c r="R39" s="93" t="s">
        <v>600</v>
      </c>
      <c r="S39" s="94" t="s">
        <v>1173</v>
      </c>
      <c r="T39" s="94" t="s">
        <v>695</v>
      </c>
      <c r="U39" s="94"/>
      <c r="V39" s="94"/>
      <c r="W39" s="94"/>
      <c r="X39" s="120">
        <v>24</v>
      </c>
      <c r="Y39" s="120">
        <v>56550</v>
      </c>
      <c r="Z39" s="120">
        <v>16965</v>
      </c>
      <c r="AA39" s="94" t="s">
        <v>577</v>
      </c>
      <c r="AB39" s="94" t="s">
        <v>1167</v>
      </c>
      <c r="AC39" s="94"/>
      <c r="AD39" s="94"/>
      <c r="AE39" s="120">
        <v>339</v>
      </c>
    </row>
    <row r="40" spans="1:31">
      <c r="A40" s="94" t="s">
        <v>1156</v>
      </c>
      <c r="B40" s="94" t="s">
        <v>568</v>
      </c>
      <c r="C40" s="94" t="s">
        <v>198</v>
      </c>
      <c r="D40" s="93" t="s">
        <v>1193</v>
      </c>
      <c r="E40" s="94" t="s">
        <v>1239</v>
      </c>
      <c r="F40" s="94" t="s">
        <v>1240</v>
      </c>
      <c r="G40" s="93"/>
      <c r="H40" s="93" t="s">
        <v>571</v>
      </c>
      <c r="I40" s="93" t="s">
        <v>538</v>
      </c>
      <c r="J40" s="93" t="s">
        <v>578</v>
      </c>
      <c r="K40" s="93" t="s">
        <v>579</v>
      </c>
      <c r="L40" s="93" t="s">
        <v>594</v>
      </c>
      <c r="M40" s="94" t="s">
        <v>595</v>
      </c>
      <c r="N40" s="94" t="s">
        <v>1192</v>
      </c>
      <c r="O40" s="94"/>
      <c r="P40" s="94" t="s">
        <v>575</v>
      </c>
      <c r="Q40" s="94" t="s">
        <v>540</v>
      </c>
      <c r="R40" s="93" t="s">
        <v>600</v>
      </c>
      <c r="S40" s="94" t="s">
        <v>1146</v>
      </c>
      <c r="T40" s="94" t="s">
        <v>894</v>
      </c>
      <c r="U40" s="94"/>
      <c r="V40" s="94"/>
      <c r="W40" s="94"/>
      <c r="X40" s="120">
        <v>24</v>
      </c>
      <c r="Y40" s="120">
        <v>53450</v>
      </c>
      <c r="Z40" s="120">
        <v>16035</v>
      </c>
      <c r="AA40" s="94" t="s">
        <v>577</v>
      </c>
      <c r="AB40" s="94" t="s">
        <v>1167</v>
      </c>
      <c r="AC40" s="94"/>
      <c r="AD40" s="94"/>
      <c r="AE40" s="120">
        <v>320</v>
      </c>
    </row>
    <row r="41" spans="1:31">
      <c r="A41" s="94" t="s">
        <v>1156</v>
      </c>
      <c r="B41" s="94" t="s">
        <v>568</v>
      </c>
      <c r="C41" s="94" t="s">
        <v>198</v>
      </c>
      <c r="D41" s="93" t="s">
        <v>1194</v>
      </c>
      <c r="E41" s="94" t="s">
        <v>1239</v>
      </c>
      <c r="F41" s="94" t="s">
        <v>1240</v>
      </c>
      <c r="G41" s="93"/>
      <c r="H41" s="93" t="s">
        <v>571</v>
      </c>
      <c r="I41" s="93" t="s">
        <v>538</v>
      </c>
      <c r="J41" s="93" t="s">
        <v>578</v>
      </c>
      <c r="K41" s="93" t="s">
        <v>579</v>
      </c>
      <c r="L41" s="93" t="s">
        <v>597</v>
      </c>
      <c r="M41" s="94" t="s">
        <v>598</v>
      </c>
      <c r="N41" s="94" t="s">
        <v>599</v>
      </c>
      <c r="O41" s="94"/>
      <c r="P41" s="94" t="s">
        <v>575</v>
      </c>
      <c r="Q41" s="94" t="s">
        <v>540</v>
      </c>
      <c r="R41" s="93" t="s">
        <v>602</v>
      </c>
      <c r="S41" s="94" t="s">
        <v>1187</v>
      </c>
      <c r="T41" s="94" t="s">
        <v>895</v>
      </c>
      <c r="U41" s="94"/>
      <c r="V41" s="94"/>
      <c r="W41" s="94"/>
      <c r="X41" s="120">
        <v>24</v>
      </c>
      <c r="Y41" s="120">
        <v>60770</v>
      </c>
      <c r="Z41" s="120">
        <v>11329</v>
      </c>
      <c r="AA41" s="94" t="s">
        <v>577</v>
      </c>
      <c r="AB41" s="94" t="s">
        <v>1161</v>
      </c>
      <c r="AC41" s="94"/>
      <c r="AD41" s="94"/>
      <c r="AE41" s="120">
        <v>226</v>
      </c>
    </row>
    <row r="42" spans="1:31">
      <c r="A42" s="94" t="s">
        <v>1156</v>
      </c>
      <c r="B42" s="94" t="s">
        <v>568</v>
      </c>
      <c r="C42" s="94" t="s">
        <v>198</v>
      </c>
      <c r="D42" s="93" t="s">
        <v>1195</v>
      </c>
      <c r="E42" s="94" t="s">
        <v>1239</v>
      </c>
      <c r="F42" s="94" t="s">
        <v>1240</v>
      </c>
      <c r="G42" s="93"/>
      <c r="H42" s="93" t="s">
        <v>571</v>
      </c>
      <c r="I42" s="93" t="s">
        <v>538</v>
      </c>
      <c r="J42" s="93" t="s">
        <v>578</v>
      </c>
      <c r="K42" s="93" t="s">
        <v>579</v>
      </c>
      <c r="L42" s="93" t="s">
        <v>594</v>
      </c>
      <c r="M42" s="94" t="s">
        <v>595</v>
      </c>
      <c r="N42" s="94" t="s">
        <v>1192</v>
      </c>
      <c r="O42" s="94"/>
      <c r="P42" s="94" t="s">
        <v>575</v>
      </c>
      <c r="Q42" s="94" t="s">
        <v>540</v>
      </c>
      <c r="R42" s="93" t="s">
        <v>602</v>
      </c>
      <c r="S42" s="94" t="s">
        <v>1146</v>
      </c>
      <c r="T42" s="94" t="s">
        <v>654</v>
      </c>
      <c r="U42" s="94"/>
      <c r="V42" s="94"/>
      <c r="W42" s="94"/>
      <c r="X42" s="120">
        <v>24</v>
      </c>
      <c r="Y42" s="120">
        <v>48080</v>
      </c>
      <c r="Z42" s="120">
        <v>8190</v>
      </c>
      <c r="AA42" s="94" t="s">
        <v>577</v>
      </c>
      <c r="AB42" s="94" t="s">
        <v>1169</v>
      </c>
      <c r="AC42" s="94"/>
      <c r="AD42" s="94"/>
      <c r="AE42" s="120">
        <v>163</v>
      </c>
    </row>
    <row r="43" spans="1:31">
      <c r="A43" s="94" t="s">
        <v>1156</v>
      </c>
      <c r="B43" s="94" t="s">
        <v>568</v>
      </c>
      <c r="C43" s="94" t="s">
        <v>502</v>
      </c>
      <c r="D43" s="93" t="s">
        <v>1196</v>
      </c>
      <c r="E43" s="94" t="s">
        <v>1239</v>
      </c>
      <c r="F43" s="94" t="s">
        <v>1240</v>
      </c>
      <c r="G43" s="93"/>
      <c r="H43" s="93" t="s">
        <v>571</v>
      </c>
      <c r="I43" s="93" t="s">
        <v>538</v>
      </c>
      <c r="J43" s="93" t="s">
        <v>578</v>
      </c>
      <c r="K43" s="93" t="s">
        <v>579</v>
      </c>
      <c r="L43" s="93" t="s">
        <v>615</v>
      </c>
      <c r="M43" s="94" t="s">
        <v>616</v>
      </c>
      <c r="N43" s="94" t="s">
        <v>919</v>
      </c>
      <c r="O43" s="94"/>
      <c r="P43" s="94" t="s">
        <v>575</v>
      </c>
      <c r="Q43" s="94" t="s">
        <v>540</v>
      </c>
      <c r="R43" s="93" t="s">
        <v>955</v>
      </c>
      <c r="S43" s="94" t="s">
        <v>1173</v>
      </c>
      <c r="T43" s="94" t="s">
        <v>1086</v>
      </c>
      <c r="U43" s="94"/>
      <c r="V43" s="94"/>
      <c r="W43" s="94"/>
      <c r="X43" s="120">
        <v>24</v>
      </c>
      <c r="Y43" s="120">
        <v>24282</v>
      </c>
      <c r="Z43" s="120"/>
      <c r="AA43" s="94" t="s">
        <v>577</v>
      </c>
      <c r="AB43" s="94" t="s">
        <v>1167</v>
      </c>
      <c r="AC43" s="94"/>
      <c r="AD43" s="94"/>
      <c r="AE43" s="120">
        <v>1274</v>
      </c>
    </row>
    <row r="44" spans="1:31">
      <c r="C44" s="94" t="s">
        <v>499</v>
      </c>
      <c r="D44" s="93" t="s">
        <v>1157</v>
      </c>
      <c r="E44" s="94">
        <v>1</v>
      </c>
      <c r="F44" s="94"/>
      <c r="G44" s="93" t="s">
        <v>575</v>
      </c>
    </row>
    <row r="45" spans="1:31">
      <c r="C45" s="94" t="s">
        <v>499</v>
      </c>
      <c r="D45" s="93" t="s">
        <v>1159</v>
      </c>
      <c r="E45" s="94">
        <v>1</v>
      </c>
      <c r="F45" s="94"/>
      <c r="G45" s="93" t="s">
        <v>575</v>
      </c>
    </row>
    <row r="46" spans="1:31">
      <c r="C46" s="94" t="s">
        <v>499</v>
      </c>
      <c r="D46" s="93" t="s">
        <v>1162</v>
      </c>
      <c r="E46" s="94">
        <v>1</v>
      </c>
      <c r="F46" s="94"/>
      <c r="G46" s="93" t="s">
        <v>575</v>
      </c>
    </row>
    <row r="47" spans="1:31">
      <c r="C47" s="94" t="s">
        <v>499</v>
      </c>
      <c r="D47" s="93" t="s">
        <v>1165</v>
      </c>
      <c r="E47" s="94">
        <v>1</v>
      </c>
      <c r="F47" s="94"/>
      <c r="G47" s="93" t="s">
        <v>575</v>
      </c>
    </row>
    <row r="48" spans="1:31">
      <c r="C48" s="94" t="s">
        <v>499</v>
      </c>
      <c r="D48" s="93" t="s">
        <v>1168</v>
      </c>
      <c r="E48" s="94">
        <v>1</v>
      </c>
      <c r="F48" s="94"/>
      <c r="G48" s="93" t="s">
        <v>575</v>
      </c>
    </row>
    <row r="49" spans="3:7">
      <c r="C49" s="94" t="s">
        <v>499</v>
      </c>
      <c r="D49" s="93" t="s">
        <v>1157</v>
      </c>
      <c r="E49" s="94">
        <v>1</v>
      </c>
      <c r="F49" s="94"/>
      <c r="G49" s="93" t="s">
        <v>575</v>
      </c>
    </row>
    <row r="50" spans="3:7">
      <c r="C50" s="94" t="s">
        <v>499</v>
      </c>
      <c r="D50" s="93" t="s">
        <v>1170</v>
      </c>
      <c r="E50" s="94">
        <v>1</v>
      </c>
      <c r="F50" s="94"/>
      <c r="G50" s="93" t="s">
        <v>575</v>
      </c>
    </row>
    <row r="51" spans="3:7">
      <c r="C51" s="94" t="s">
        <v>499</v>
      </c>
      <c r="D51" s="93" t="s">
        <v>1165</v>
      </c>
      <c r="E51" s="94">
        <v>1</v>
      </c>
      <c r="F51" s="94"/>
      <c r="G51" s="93" t="s">
        <v>575</v>
      </c>
    </row>
    <row r="52" spans="3:7">
      <c r="C52" s="94" t="s">
        <v>499</v>
      </c>
      <c r="D52" s="93" t="s">
        <v>1170</v>
      </c>
      <c r="E52" s="94">
        <v>1</v>
      </c>
      <c r="F52" s="94"/>
      <c r="G52" s="93" t="s">
        <v>575</v>
      </c>
    </row>
    <row r="53" spans="3:7">
      <c r="C53" s="94" t="s">
        <v>499</v>
      </c>
      <c r="D53" s="93" t="s">
        <v>1172</v>
      </c>
      <c r="E53" s="94">
        <v>1</v>
      </c>
      <c r="F53" s="94"/>
      <c r="G53" s="93" t="s">
        <v>575</v>
      </c>
    </row>
    <row r="54" spans="3:7">
      <c r="C54" s="94" t="s">
        <v>499</v>
      </c>
      <c r="D54" s="93" t="s">
        <v>1172</v>
      </c>
      <c r="E54" s="94">
        <v>1</v>
      </c>
      <c r="F54" s="94"/>
      <c r="G54" s="93" t="s">
        <v>575</v>
      </c>
    </row>
    <row r="55" spans="3:7">
      <c r="C55" s="94" t="s">
        <v>499</v>
      </c>
      <c r="D55" s="93" t="s">
        <v>1162</v>
      </c>
      <c r="E55" s="94">
        <v>1</v>
      </c>
      <c r="F55" s="94"/>
      <c r="G55" s="93" t="s">
        <v>575</v>
      </c>
    </row>
    <row r="56" spans="3:7">
      <c r="C56" s="94" t="s">
        <v>499</v>
      </c>
      <c r="D56" s="93" t="s">
        <v>1168</v>
      </c>
      <c r="E56" s="94">
        <v>1</v>
      </c>
      <c r="F56" s="94"/>
      <c r="G56" s="93" t="s">
        <v>575</v>
      </c>
    </row>
    <row r="57" spans="3:7">
      <c r="C57" s="94" t="s">
        <v>499</v>
      </c>
      <c r="D57" s="93" t="s">
        <v>1159</v>
      </c>
      <c r="E57" s="94">
        <v>1</v>
      </c>
      <c r="F57" s="94"/>
      <c r="G57" s="93" t="s">
        <v>575</v>
      </c>
    </row>
    <row r="58" spans="3:7">
      <c r="C58" s="94" t="s">
        <v>499</v>
      </c>
      <c r="D58" s="93" t="s">
        <v>1174</v>
      </c>
      <c r="E58" s="94">
        <v>1</v>
      </c>
      <c r="F58" s="94"/>
      <c r="G58" s="93" t="s">
        <v>575</v>
      </c>
    </row>
    <row r="59" spans="3:7">
      <c r="C59" s="94" t="s">
        <v>499</v>
      </c>
      <c r="D59" s="93" t="s">
        <v>1174</v>
      </c>
      <c r="E59" s="94">
        <v>1</v>
      </c>
      <c r="F59" s="94"/>
      <c r="G59" s="93" t="s">
        <v>575</v>
      </c>
    </row>
    <row r="60" spans="3:7">
      <c r="C60" s="94" t="s">
        <v>499</v>
      </c>
      <c r="D60" s="93" t="s">
        <v>1175</v>
      </c>
      <c r="E60" s="94">
        <v>1</v>
      </c>
      <c r="F60" s="94"/>
      <c r="G60" s="93" t="s">
        <v>575</v>
      </c>
    </row>
    <row r="61" spans="3:7">
      <c r="C61" s="94" t="s">
        <v>499</v>
      </c>
      <c r="D61" s="93" t="s">
        <v>1175</v>
      </c>
      <c r="E61" s="94">
        <v>1</v>
      </c>
      <c r="F61" s="94"/>
      <c r="G61" s="93" t="s">
        <v>575</v>
      </c>
    </row>
    <row r="62" spans="3:7">
      <c r="C62" s="94" t="s">
        <v>499</v>
      </c>
      <c r="D62" s="93" t="s">
        <v>1178</v>
      </c>
      <c r="E62" s="94">
        <v>1</v>
      </c>
      <c r="F62" s="94"/>
      <c r="G62" s="93" t="s">
        <v>575</v>
      </c>
    </row>
    <row r="63" spans="3:7">
      <c r="C63" s="94" t="s">
        <v>499</v>
      </c>
      <c r="D63" s="93" t="s">
        <v>1178</v>
      </c>
      <c r="E63" s="94">
        <v>1</v>
      </c>
      <c r="F63" s="94"/>
      <c r="G63" s="93" t="s">
        <v>575</v>
      </c>
    </row>
    <row r="64" spans="3:7">
      <c r="C64" s="94" t="s">
        <v>197</v>
      </c>
      <c r="D64" s="93" t="s">
        <v>763</v>
      </c>
      <c r="E64" s="94">
        <v>1</v>
      </c>
      <c r="F64" s="94"/>
      <c r="G64" s="93" t="s">
        <v>575</v>
      </c>
    </row>
    <row r="65" spans="3:7">
      <c r="C65" s="94" t="s">
        <v>197</v>
      </c>
      <c r="D65" s="93" t="s">
        <v>768</v>
      </c>
      <c r="E65" s="94">
        <v>1</v>
      </c>
      <c r="F65" s="94"/>
      <c r="G65" s="93" t="s">
        <v>575</v>
      </c>
    </row>
    <row r="66" spans="3:7">
      <c r="C66" s="94" t="s">
        <v>197</v>
      </c>
      <c r="D66" s="93" t="s">
        <v>765</v>
      </c>
      <c r="E66" s="94">
        <v>1</v>
      </c>
      <c r="F66" s="94"/>
      <c r="G66" s="93" t="s">
        <v>575</v>
      </c>
    </row>
    <row r="67" spans="3:7">
      <c r="C67" s="94" t="s">
        <v>500</v>
      </c>
      <c r="D67" s="93" t="s">
        <v>778</v>
      </c>
      <c r="E67" s="94">
        <v>1</v>
      </c>
      <c r="F67" s="94"/>
      <c r="G67" s="93" t="s">
        <v>575</v>
      </c>
    </row>
    <row r="68" spans="3:7">
      <c r="C68" s="94" t="s">
        <v>500</v>
      </c>
      <c r="D68" s="93" t="s">
        <v>778</v>
      </c>
      <c r="E68" s="94">
        <v>1</v>
      </c>
      <c r="F68" s="94"/>
      <c r="G68" s="93" t="s">
        <v>575</v>
      </c>
    </row>
    <row r="69" spans="3:7">
      <c r="C69" s="94" t="s">
        <v>500</v>
      </c>
      <c r="D69" s="93" t="s">
        <v>776</v>
      </c>
      <c r="E69" s="94">
        <v>1</v>
      </c>
      <c r="F69" s="94"/>
      <c r="G69" s="93" t="s">
        <v>575</v>
      </c>
    </row>
    <row r="70" spans="3:7">
      <c r="C70" s="94" t="s">
        <v>500</v>
      </c>
      <c r="D70" s="93" t="s">
        <v>777</v>
      </c>
      <c r="E70" s="94">
        <v>1</v>
      </c>
      <c r="F70" s="94"/>
      <c r="G70" s="93" t="s">
        <v>575</v>
      </c>
    </row>
    <row r="71" spans="3:7">
      <c r="C71" s="94" t="s">
        <v>500</v>
      </c>
      <c r="D71" s="93" t="s">
        <v>779</v>
      </c>
      <c r="E71" s="94">
        <v>1</v>
      </c>
      <c r="F71" s="94"/>
      <c r="G71" s="93" t="s">
        <v>575</v>
      </c>
    </row>
    <row r="72" spans="3:7">
      <c r="C72" s="94" t="s">
        <v>500</v>
      </c>
      <c r="D72" s="93" t="s">
        <v>779</v>
      </c>
      <c r="E72" s="94">
        <v>1</v>
      </c>
      <c r="F72" s="94"/>
      <c r="G72" s="93" t="s">
        <v>575</v>
      </c>
    </row>
    <row r="73" spans="3:7">
      <c r="C73" s="94" t="s">
        <v>500</v>
      </c>
      <c r="D73" s="93" t="s">
        <v>774</v>
      </c>
      <c r="E73" s="94">
        <v>1</v>
      </c>
      <c r="F73" s="94"/>
      <c r="G73" s="93" t="s">
        <v>575</v>
      </c>
    </row>
    <row r="74" spans="3:7">
      <c r="C74" s="94" t="s">
        <v>500</v>
      </c>
      <c r="D74" s="93" t="s">
        <v>774</v>
      </c>
      <c r="E74" s="94">
        <v>1</v>
      </c>
      <c r="F74" s="94"/>
      <c r="G74" s="93" t="s">
        <v>575</v>
      </c>
    </row>
    <row r="75" spans="3:7">
      <c r="C75" s="94" t="s">
        <v>500</v>
      </c>
      <c r="D75" s="93" t="s">
        <v>771</v>
      </c>
      <c r="E75" s="94">
        <v>1</v>
      </c>
      <c r="F75" s="94"/>
      <c r="G75" s="93" t="s">
        <v>575</v>
      </c>
    </row>
    <row r="76" spans="3:7">
      <c r="C76" s="94" t="s">
        <v>500</v>
      </c>
      <c r="D76" s="93" t="s">
        <v>776</v>
      </c>
      <c r="E76" s="94">
        <v>1</v>
      </c>
      <c r="F76" s="94"/>
      <c r="G76" s="93" t="s">
        <v>575</v>
      </c>
    </row>
    <row r="77" spans="3:7">
      <c r="C77" s="94" t="s">
        <v>500</v>
      </c>
      <c r="D77" s="93" t="s">
        <v>777</v>
      </c>
      <c r="E77" s="94">
        <v>1</v>
      </c>
      <c r="F77" s="94"/>
      <c r="G77" s="93" t="s">
        <v>575</v>
      </c>
    </row>
    <row r="78" spans="3:7">
      <c r="C78" s="94" t="s">
        <v>500</v>
      </c>
      <c r="D78" s="93" t="s">
        <v>772</v>
      </c>
      <c r="E78" s="94">
        <v>1</v>
      </c>
      <c r="F78" s="94"/>
      <c r="G78" s="93" t="s">
        <v>575</v>
      </c>
    </row>
    <row r="79" spans="3:7">
      <c r="C79" s="94" t="s">
        <v>196</v>
      </c>
      <c r="D79" s="93" t="s">
        <v>1188</v>
      </c>
      <c r="E79" s="94">
        <v>1</v>
      </c>
      <c r="F79" s="94"/>
      <c r="G79" s="93" t="s">
        <v>575</v>
      </c>
    </row>
    <row r="80" spans="3:7">
      <c r="C80" s="94" t="s">
        <v>198</v>
      </c>
      <c r="D80" s="93" t="s">
        <v>1190</v>
      </c>
      <c r="E80" s="94">
        <v>1</v>
      </c>
      <c r="F80" s="94"/>
      <c r="G80" s="93" t="s">
        <v>575</v>
      </c>
    </row>
    <row r="81" spans="3:7">
      <c r="C81" s="94" t="s">
        <v>198</v>
      </c>
      <c r="D81" s="93" t="s">
        <v>1191</v>
      </c>
      <c r="E81" s="94">
        <v>1</v>
      </c>
      <c r="F81" s="94"/>
      <c r="G81" s="93" t="s">
        <v>575</v>
      </c>
    </row>
    <row r="82" spans="3:7">
      <c r="C82" s="94" t="s">
        <v>198</v>
      </c>
      <c r="D82" s="93" t="s">
        <v>1193</v>
      </c>
      <c r="E82" s="94">
        <v>1</v>
      </c>
      <c r="F82" s="94"/>
      <c r="G82" s="93" t="s">
        <v>575</v>
      </c>
    </row>
    <row r="83" spans="3:7">
      <c r="C83" s="94" t="s">
        <v>198</v>
      </c>
      <c r="D83" s="93" t="s">
        <v>1194</v>
      </c>
      <c r="E83" s="94">
        <v>1</v>
      </c>
      <c r="F83" s="94"/>
      <c r="G83" s="93" t="s">
        <v>575</v>
      </c>
    </row>
    <row r="84" spans="3:7">
      <c r="C84" s="94" t="s">
        <v>198</v>
      </c>
      <c r="D84" s="93" t="s">
        <v>1195</v>
      </c>
      <c r="E84" s="94">
        <v>1</v>
      </c>
      <c r="F84" s="94"/>
      <c r="G84" s="93" t="s">
        <v>575</v>
      </c>
    </row>
    <row r="85" spans="3:7">
      <c r="C85" s="94" t="s">
        <v>502</v>
      </c>
      <c r="D85" s="93" t="s">
        <v>1196</v>
      </c>
      <c r="E85" s="94">
        <v>1</v>
      </c>
      <c r="F85" s="94"/>
      <c r="G85" s="93" t="s">
        <v>575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O525"/>
  <sheetViews>
    <sheetView topLeftCell="AC121" workbookViewId="0">
      <selection activeCell="AE127" sqref="AE127"/>
    </sheetView>
  </sheetViews>
  <sheetFormatPr defaultRowHeight="17.399999999999999"/>
  <cols>
    <col min="35" max="35" width="9" style="121"/>
  </cols>
  <sheetData>
    <row r="1" spans="1:41">
      <c r="A1" t="s">
        <v>543</v>
      </c>
      <c r="B1" t="s">
        <v>544</v>
      </c>
      <c r="C1" t="s">
        <v>545</v>
      </c>
      <c r="D1" t="s">
        <v>0</v>
      </c>
      <c r="E1" t="s">
        <v>546</v>
      </c>
      <c r="F1" t="s">
        <v>547</v>
      </c>
      <c r="G1" t="s">
        <v>548</v>
      </c>
      <c r="H1" t="s">
        <v>549</v>
      </c>
      <c r="I1" t="s">
        <v>4</v>
      </c>
      <c r="J1" t="s">
        <v>550</v>
      </c>
      <c r="K1" t="s">
        <v>551</v>
      </c>
      <c r="L1" t="s">
        <v>479</v>
      </c>
      <c r="M1" t="s">
        <v>552</v>
      </c>
      <c r="N1" t="s">
        <v>553</v>
      </c>
      <c r="O1" t="s">
        <v>554</v>
      </c>
      <c r="P1" t="s">
        <v>555</v>
      </c>
      <c r="Q1" t="s">
        <v>539</v>
      </c>
      <c r="R1" t="s">
        <v>556</v>
      </c>
      <c r="S1" t="s">
        <v>480</v>
      </c>
      <c r="T1" t="s">
        <v>557</v>
      </c>
      <c r="U1" t="s">
        <v>558</v>
      </c>
      <c r="V1" t="s">
        <v>559</v>
      </c>
      <c r="W1" t="s">
        <v>560</v>
      </c>
      <c r="X1" t="s">
        <v>155</v>
      </c>
      <c r="Y1" t="s">
        <v>561</v>
      </c>
      <c r="Z1" t="s">
        <v>562</v>
      </c>
      <c r="AA1" t="s">
        <v>563</v>
      </c>
      <c r="AB1" t="s">
        <v>564</v>
      </c>
      <c r="AC1" t="s">
        <v>565</v>
      </c>
      <c r="AD1" t="s">
        <v>566</v>
      </c>
      <c r="AE1" t="s">
        <v>567</v>
      </c>
      <c r="AF1" t="s">
        <v>898</v>
      </c>
      <c r="AG1" t="s">
        <v>746</v>
      </c>
      <c r="AH1" t="s">
        <v>899</v>
      </c>
      <c r="AI1" s="121" t="s">
        <v>617</v>
      </c>
      <c r="AJ1" t="s">
        <v>747</v>
      </c>
      <c r="AK1" t="s">
        <v>900</v>
      </c>
      <c r="AL1" t="s">
        <v>897</v>
      </c>
      <c r="AM1" t="s">
        <v>896</v>
      </c>
      <c r="AN1" t="s">
        <v>569</v>
      </c>
      <c r="AO1" t="s">
        <v>1242</v>
      </c>
    </row>
    <row r="2" spans="1:41">
      <c r="A2">
        <v>201903</v>
      </c>
      <c r="B2">
        <v>25</v>
      </c>
      <c r="C2" t="s">
        <v>502</v>
      </c>
      <c r="D2">
        <v>3190457842801</v>
      </c>
      <c r="E2" t="s">
        <v>53</v>
      </c>
      <c r="F2" t="s">
        <v>569</v>
      </c>
      <c r="G2" t="s">
        <v>570</v>
      </c>
      <c r="H2" t="s">
        <v>571</v>
      </c>
      <c r="I2" t="s">
        <v>633</v>
      </c>
      <c r="J2" t="s">
        <v>633</v>
      </c>
      <c r="K2" t="s">
        <v>634</v>
      </c>
      <c r="L2" t="s">
        <v>670</v>
      </c>
      <c r="M2" t="s">
        <v>671</v>
      </c>
      <c r="N2" t="s">
        <v>936</v>
      </c>
      <c r="P2" t="s">
        <v>575</v>
      </c>
      <c r="Q2" t="s">
        <v>620</v>
      </c>
      <c r="R2" t="s">
        <v>952</v>
      </c>
      <c r="S2">
        <v>20181018</v>
      </c>
      <c r="T2" t="s">
        <v>801</v>
      </c>
      <c r="X2">
        <v>5</v>
      </c>
      <c r="Y2">
        <v>78538</v>
      </c>
      <c r="AA2" t="s">
        <v>577</v>
      </c>
      <c r="AB2">
        <v>20190220</v>
      </c>
      <c r="AE2">
        <f>AO2-AI2</f>
        <v>0</v>
      </c>
      <c r="AF2">
        <v>0</v>
      </c>
      <c r="AG2">
        <v>0</v>
      </c>
      <c r="AH2">
        <v>0</v>
      </c>
      <c r="AI2" s="121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>
      <c r="A3">
        <v>201903</v>
      </c>
      <c r="B3">
        <v>25</v>
      </c>
      <c r="C3" t="s">
        <v>502</v>
      </c>
      <c r="D3">
        <v>3190485056251</v>
      </c>
      <c r="E3" t="s">
        <v>53</v>
      </c>
      <c r="F3" t="s">
        <v>569</v>
      </c>
      <c r="G3" t="s">
        <v>570</v>
      </c>
      <c r="H3" t="s">
        <v>571</v>
      </c>
      <c r="I3" t="s">
        <v>633</v>
      </c>
      <c r="J3" t="s">
        <v>633</v>
      </c>
      <c r="K3" t="s">
        <v>634</v>
      </c>
      <c r="L3" t="s">
        <v>672</v>
      </c>
      <c r="M3" t="s">
        <v>673</v>
      </c>
      <c r="N3" t="s">
        <v>934</v>
      </c>
      <c r="P3" t="s">
        <v>575</v>
      </c>
      <c r="Q3" t="s">
        <v>620</v>
      </c>
      <c r="R3" t="s">
        <v>956</v>
      </c>
      <c r="S3">
        <v>20190130</v>
      </c>
      <c r="T3" t="s">
        <v>870</v>
      </c>
      <c r="X3">
        <v>2</v>
      </c>
      <c r="Y3">
        <v>39000</v>
      </c>
      <c r="AA3" t="s">
        <v>577</v>
      </c>
      <c r="AB3">
        <v>20190211</v>
      </c>
      <c r="AE3">
        <f t="shared" ref="AE3:AE66" si="0">AO3-AI3</f>
        <v>0</v>
      </c>
      <c r="AF3">
        <v>0</v>
      </c>
      <c r="AG3">
        <v>0</v>
      </c>
      <c r="AH3">
        <v>0</v>
      </c>
      <c r="AI3" s="121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>
      <c r="A4">
        <v>201903</v>
      </c>
      <c r="B4">
        <v>25</v>
      </c>
      <c r="C4" t="s">
        <v>502</v>
      </c>
      <c r="D4">
        <v>3190477409601</v>
      </c>
      <c r="E4" t="s">
        <v>53</v>
      </c>
      <c r="F4" t="s">
        <v>569</v>
      </c>
      <c r="G4" t="s">
        <v>570</v>
      </c>
      <c r="H4" t="s">
        <v>571</v>
      </c>
      <c r="I4" t="s">
        <v>633</v>
      </c>
      <c r="J4" t="s">
        <v>633</v>
      </c>
      <c r="K4" t="s">
        <v>634</v>
      </c>
      <c r="L4" t="s">
        <v>672</v>
      </c>
      <c r="M4" t="s">
        <v>673</v>
      </c>
      <c r="N4" t="s">
        <v>934</v>
      </c>
      <c r="P4" t="s">
        <v>575</v>
      </c>
      <c r="Q4" t="s">
        <v>620</v>
      </c>
      <c r="R4" t="s">
        <v>968</v>
      </c>
      <c r="S4">
        <v>20181226</v>
      </c>
      <c r="T4" t="s">
        <v>878</v>
      </c>
      <c r="X4">
        <v>3</v>
      </c>
      <c r="Y4">
        <v>54500</v>
      </c>
      <c r="AA4" t="s">
        <v>577</v>
      </c>
      <c r="AB4">
        <v>20190220</v>
      </c>
      <c r="AE4">
        <f t="shared" si="0"/>
        <v>0</v>
      </c>
      <c r="AF4">
        <v>0</v>
      </c>
      <c r="AG4">
        <v>0</v>
      </c>
      <c r="AH4">
        <v>0</v>
      </c>
      <c r="AI4" s="121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>
      <c r="A5">
        <v>201903</v>
      </c>
      <c r="B5">
        <v>25</v>
      </c>
      <c r="C5" t="s">
        <v>502</v>
      </c>
      <c r="D5">
        <v>3190487703061</v>
      </c>
      <c r="E5" t="s">
        <v>53</v>
      </c>
      <c r="F5" t="s">
        <v>662</v>
      </c>
      <c r="G5" t="s">
        <v>570</v>
      </c>
      <c r="H5" t="s">
        <v>571</v>
      </c>
      <c r="I5" t="s">
        <v>633</v>
      </c>
      <c r="L5" t="s">
        <v>641</v>
      </c>
      <c r="M5" t="s">
        <v>642</v>
      </c>
      <c r="N5" t="s">
        <v>921</v>
      </c>
      <c r="P5" t="s">
        <v>663</v>
      </c>
      <c r="Q5" t="s">
        <v>620</v>
      </c>
      <c r="R5" t="s">
        <v>956</v>
      </c>
      <c r="S5">
        <v>20190208</v>
      </c>
      <c r="T5" t="s">
        <v>969</v>
      </c>
      <c r="X5">
        <v>1</v>
      </c>
      <c r="Y5">
        <v>51000</v>
      </c>
      <c r="Z5">
        <v>120233</v>
      </c>
      <c r="AA5" t="s">
        <v>577</v>
      </c>
      <c r="AB5">
        <v>20190208</v>
      </c>
      <c r="AE5">
        <f t="shared" si="0"/>
        <v>258500</v>
      </c>
      <c r="AF5">
        <v>258500</v>
      </c>
      <c r="AG5">
        <v>0</v>
      </c>
      <c r="AH5">
        <v>0</v>
      </c>
      <c r="AI5" s="121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258500</v>
      </c>
    </row>
    <row r="6" spans="1:41">
      <c r="A6">
        <v>201903</v>
      </c>
      <c r="B6">
        <v>25</v>
      </c>
      <c r="C6" t="s">
        <v>502</v>
      </c>
      <c r="D6">
        <v>3190039789081</v>
      </c>
      <c r="E6" t="s">
        <v>53</v>
      </c>
      <c r="F6" t="s">
        <v>569</v>
      </c>
      <c r="G6" t="s">
        <v>570</v>
      </c>
      <c r="H6" t="s">
        <v>571</v>
      </c>
      <c r="I6" t="s">
        <v>578</v>
      </c>
      <c r="J6" t="s">
        <v>578</v>
      </c>
      <c r="K6" t="s">
        <v>579</v>
      </c>
      <c r="L6" t="s">
        <v>597</v>
      </c>
      <c r="M6" t="s">
        <v>598</v>
      </c>
      <c r="N6" t="s">
        <v>913</v>
      </c>
      <c r="P6" t="s">
        <v>575</v>
      </c>
      <c r="Q6" t="s">
        <v>620</v>
      </c>
      <c r="R6" t="s">
        <v>1009</v>
      </c>
      <c r="S6">
        <v>20160428</v>
      </c>
      <c r="T6" t="s">
        <v>850</v>
      </c>
      <c r="X6">
        <v>35</v>
      </c>
      <c r="Y6">
        <v>202000</v>
      </c>
      <c r="AA6" t="s">
        <v>577</v>
      </c>
      <c r="AB6">
        <v>20190220</v>
      </c>
      <c r="AE6">
        <f t="shared" si="0"/>
        <v>0</v>
      </c>
      <c r="AF6">
        <v>0</v>
      </c>
      <c r="AG6">
        <v>0</v>
      </c>
      <c r="AH6">
        <v>0</v>
      </c>
      <c r="AI6" s="121">
        <v>1515</v>
      </c>
      <c r="AJ6">
        <v>0</v>
      </c>
      <c r="AK6">
        <v>0</v>
      </c>
      <c r="AL6">
        <v>0</v>
      </c>
      <c r="AM6">
        <v>0</v>
      </c>
      <c r="AN6">
        <v>0</v>
      </c>
      <c r="AO6">
        <v>1515</v>
      </c>
    </row>
    <row r="7" spans="1:41">
      <c r="A7">
        <v>201903</v>
      </c>
      <c r="B7">
        <v>25</v>
      </c>
      <c r="C7" t="s">
        <v>502</v>
      </c>
      <c r="D7">
        <v>3190076022641</v>
      </c>
      <c r="E7" t="s">
        <v>53</v>
      </c>
      <c r="F7" t="s">
        <v>569</v>
      </c>
      <c r="G7" t="s">
        <v>570</v>
      </c>
      <c r="H7" t="s">
        <v>571</v>
      </c>
      <c r="I7" t="s">
        <v>674</v>
      </c>
      <c r="J7" t="s">
        <v>674</v>
      </c>
      <c r="K7" t="s">
        <v>675</v>
      </c>
      <c r="L7" t="s">
        <v>489</v>
      </c>
      <c r="M7" t="s">
        <v>488</v>
      </c>
      <c r="N7" t="s">
        <v>902</v>
      </c>
      <c r="P7" t="s">
        <v>575</v>
      </c>
      <c r="Q7" t="s">
        <v>620</v>
      </c>
      <c r="R7" t="s">
        <v>1038</v>
      </c>
      <c r="S7">
        <v>20170331</v>
      </c>
      <c r="T7" t="s">
        <v>1005</v>
      </c>
      <c r="X7">
        <v>24</v>
      </c>
      <c r="Y7">
        <v>65000</v>
      </c>
      <c r="AA7" t="s">
        <v>577</v>
      </c>
      <c r="AB7">
        <v>20190220</v>
      </c>
      <c r="AE7">
        <f t="shared" si="0"/>
        <v>0</v>
      </c>
      <c r="AF7">
        <v>0</v>
      </c>
      <c r="AG7">
        <v>0</v>
      </c>
      <c r="AH7">
        <v>0</v>
      </c>
      <c r="AI7" s="121">
        <v>325</v>
      </c>
      <c r="AJ7">
        <v>0</v>
      </c>
      <c r="AK7">
        <v>0</v>
      </c>
      <c r="AL7">
        <v>0</v>
      </c>
      <c r="AM7">
        <v>0</v>
      </c>
      <c r="AN7">
        <v>0</v>
      </c>
      <c r="AO7">
        <v>325</v>
      </c>
    </row>
    <row r="8" spans="1:41">
      <c r="A8">
        <v>201903</v>
      </c>
      <c r="B8">
        <v>25</v>
      </c>
      <c r="C8" t="s">
        <v>502</v>
      </c>
      <c r="D8">
        <v>3190459144921</v>
      </c>
      <c r="E8" t="s">
        <v>53</v>
      </c>
      <c r="F8" t="s">
        <v>569</v>
      </c>
      <c r="G8" t="s">
        <v>570</v>
      </c>
      <c r="H8" t="s">
        <v>571</v>
      </c>
      <c r="I8" t="s">
        <v>633</v>
      </c>
      <c r="J8" t="s">
        <v>633</v>
      </c>
      <c r="K8" t="s">
        <v>634</v>
      </c>
      <c r="L8" t="s">
        <v>670</v>
      </c>
      <c r="M8" t="s">
        <v>671</v>
      </c>
      <c r="N8" t="s">
        <v>936</v>
      </c>
      <c r="P8" t="s">
        <v>575</v>
      </c>
      <c r="Q8" t="s">
        <v>620</v>
      </c>
      <c r="R8" t="s">
        <v>952</v>
      </c>
      <c r="S8">
        <v>20181022</v>
      </c>
      <c r="T8" t="s">
        <v>802</v>
      </c>
      <c r="X8">
        <v>5</v>
      </c>
      <c r="Y8">
        <v>66947</v>
      </c>
      <c r="AA8" t="s">
        <v>577</v>
      </c>
      <c r="AB8">
        <v>20190220</v>
      </c>
      <c r="AE8">
        <f t="shared" si="0"/>
        <v>0</v>
      </c>
      <c r="AF8">
        <v>0</v>
      </c>
      <c r="AG8">
        <v>0</v>
      </c>
      <c r="AH8">
        <v>0</v>
      </c>
      <c r="AI8" s="121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>
      <c r="A9">
        <v>201903</v>
      </c>
      <c r="B9">
        <v>25</v>
      </c>
      <c r="C9" t="s">
        <v>502</v>
      </c>
      <c r="D9">
        <v>3190491370421</v>
      </c>
      <c r="E9" t="s">
        <v>53</v>
      </c>
      <c r="F9" t="s">
        <v>662</v>
      </c>
      <c r="G9" t="s">
        <v>570</v>
      </c>
      <c r="H9" t="s">
        <v>571</v>
      </c>
      <c r="I9" t="s">
        <v>633</v>
      </c>
      <c r="L9" t="s">
        <v>641</v>
      </c>
      <c r="M9" t="s">
        <v>642</v>
      </c>
      <c r="N9" t="s">
        <v>921</v>
      </c>
      <c r="P9" t="s">
        <v>663</v>
      </c>
      <c r="Q9" t="s">
        <v>620</v>
      </c>
      <c r="R9" t="s">
        <v>956</v>
      </c>
      <c r="S9">
        <v>20190215</v>
      </c>
      <c r="T9" t="s">
        <v>865</v>
      </c>
      <c r="X9">
        <v>1</v>
      </c>
      <c r="Y9">
        <v>53000</v>
      </c>
      <c r="Z9">
        <v>124948</v>
      </c>
      <c r="AA9" t="s">
        <v>577</v>
      </c>
      <c r="AB9">
        <v>20190215</v>
      </c>
      <c r="AE9">
        <f t="shared" si="0"/>
        <v>268638</v>
      </c>
      <c r="AF9">
        <v>268638</v>
      </c>
      <c r="AG9">
        <v>0</v>
      </c>
      <c r="AH9">
        <v>0</v>
      </c>
      <c r="AI9" s="121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268638</v>
      </c>
    </row>
    <row r="10" spans="1:41">
      <c r="A10">
        <v>201903</v>
      </c>
      <c r="B10">
        <v>25</v>
      </c>
      <c r="C10" t="s">
        <v>502</v>
      </c>
      <c r="D10">
        <v>3190042378081</v>
      </c>
      <c r="E10" t="s">
        <v>53</v>
      </c>
      <c r="F10" t="s">
        <v>569</v>
      </c>
      <c r="G10" t="s">
        <v>570</v>
      </c>
      <c r="H10" t="s">
        <v>571</v>
      </c>
      <c r="I10" t="s">
        <v>618</v>
      </c>
      <c r="J10" t="s">
        <v>618</v>
      </c>
      <c r="K10" t="s">
        <v>619</v>
      </c>
      <c r="L10" t="s">
        <v>623</v>
      </c>
      <c r="M10" t="s">
        <v>624</v>
      </c>
      <c r="N10" t="s">
        <v>1132</v>
      </c>
      <c r="P10" t="s">
        <v>575</v>
      </c>
      <c r="Q10" t="s">
        <v>699</v>
      </c>
      <c r="R10" t="s">
        <v>1112</v>
      </c>
      <c r="S10">
        <v>20160527</v>
      </c>
      <c r="T10" t="s">
        <v>1133</v>
      </c>
      <c r="X10">
        <v>34</v>
      </c>
      <c r="Y10">
        <v>87000</v>
      </c>
      <c r="AA10" t="s">
        <v>577</v>
      </c>
      <c r="AB10">
        <v>20190207</v>
      </c>
      <c r="AE10">
        <f t="shared" si="0"/>
        <v>0</v>
      </c>
      <c r="AF10">
        <v>0</v>
      </c>
      <c r="AG10">
        <v>0</v>
      </c>
      <c r="AH10">
        <v>0</v>
      </c>
      <c r="AI10" s="121">
        <v>435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435</v>
      </c>
    </row>
    <row r="11" spans="1:41">
      <c r="A11">
        <v>201903</v>
      </c>
      <c r="B11">
        <v>25</v>
      </c>
      <c r="C11" t="s">
        <v>502</v>
      </c>
      <c r="D11">
        <v>3190077664121</v>
      </c>
      <c r="E11" t="s">
        <v>53</v>
      </c>
      <c r="F11" t="s">
        <v>569</v>
      </c>
      <c r="G11" t="s">
        <v>570</v>
      </c>
      <c r="H11" t="s">
        <v>571</v>
      </c>
      <c r="I11" t="s">
        <v>578</v>
      </c>
      <c r="J11" t="s">
        <v>578</v>
      </c>
      <c r="K11" t="s">
        <v>579</v>
      </c>
      <c r="L11" t="s">
        <v>611</v>
      </c>
      <c r="M11" t="s">
        <v>612</v>
      </c>
      <c r="N11" t="s">
        <v>979</v>
      </c>
      <c r="P11" t="s">
        <v>575</v>
      </c>
      <c r="Q11" t="s">
        <v>620</v>
      </c>
      <c r="R11" t="s">
        <v>1022</v>
      </c>
      <c r="S11">
        <v>20170417</v>
      </c>
      <c r="T11" t="s">
        <v>1050</v>
      </c>
      <c r="X11">
        <v>23</v>
      </c>
      <c r="Y11">
        <v>74000</v>
      </c>
      <c r="AA11" t="s">
        <v>577</v>
      </c>
      <c r="AB11">
        <v>20190220</v>
      </c>
      <c r="AE11">
        <f t="shared" si="0"/>
        <v>0</v>
      </c>
      <c r="AF11">
        <v>0</v>
      </c>
      <c r="AG11">
        <v>0</v>
      </c>
      <c r="AH11">
        <v>0</v>
      </c>
      <c r="AI11" s="121">
        <v>370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370</v>
      </c>
    </row>
    <row r="12" spans="1:41">
      <c r="A12">
        <v>201903</v>
      </c>
      <c r="B12">
        <v>25</v>
      </c>
      <c r="C12" t="s">
        <v>502</v>
      </c>
      <c r="D12">
        <v>3190077701741</v>
      </c>
      <c r="E12" t="s">
        <v>53</v>
      </c>
      <c r="F12" t="s">
        <v>569</v>
      </c>
      <c r="G12" t="s">
        <v>570</v>
      </c>
      <c r="H12" t="s">
        <v>571</v>
      </c>
      <c r="I12" t="s">
        <v>578</v>
      </c>
      <c r="J12" t="s">
        <v>578</v>
      </c>
      <c r="K12" t="s">
        <v>579</v>
      </c>
      <c r="L12" t="s">
        <v>611</v>
      </c>
      <c r="M12" t="s">
        <v>612</v>
      </c>
      <c r="N12" t="s">
        <v>979</v>
      </c>
      <c r="P12" t="s">
        <v>575</v>
      </c>
      <c r="Q12" t="s">
        <v>620</v>
      </c>
      <c r="R12" t="s">
        <v>1051</v>
      </c>
      <c r="S12">
        <v>20170414</v>
      </c>
      <c r="T12" t="s">
        <v>840</v>
      </c>
      <c r="X12">
        <v>21</v>
      </c>
      <c r="Y12">
        <v>43988</v>
      </c>
      <c r="AA12" t="s">
        <v>577</v>
      </c>
      <c r="AB12">
        <v>20190228</v>
      </c>
      <c r="AE12">
        <f t="shared" si="0"/>
        <v>0</v>
      </c>
      <c r="AF12">
        <v>0</v>
      </c>
      <c r="AG12">
        <v>0</v>
      </c>
      <c r="AH12">
        <v>0</v>
      </c>
      <c r="AI12" s="121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>
      <c r="A13">
        <v>201903</v>
      </c>
      <c r="B13">
        <v>25</v>
      </c>
      <c r="C13" t="s">
        <v>502</v>
      </c>
      <c r="D13">
        <v>3190460484501</v>
      </c>
      <c r="E13" t="s">
        <v>53</v>
      </c>
      <c r="F13" t="s">
        <v>569</v>
      </c>
      <c r="G13" t="s">
        <v>570</v>
      </c>
      <c r="H13" t="s">
        <v>571</v>
      </c>
      <c r="L13" t="s">
        <v>731</v>
      </c>
      <c r="M13" t="s">
        <v>723</v>
      </c>
      <c r="N13" t="s">
        <v>1205</v>
      </c>
      <c r="P13" t="s">
        <v>575</v>
      </c>
      <c r="Q13" t="s">
        <v>620</v>
      </c>
      <c r="R13" t="s">
        <v>968</v>
      </c>
      <c r="S13">
        <v>20181026</v>
      </c>
      <c r="T13" t="s">
        <v>876</v>
      </c>
      <c r="X13">
        <v>5</v>
      </c>
      <c r="Y13">
        <v>82000</v>
      </c>
      <c r="AA13" t="s">
        <v>577</v>
      </c>
      <c r="AB13">
        <v>20190220</v>
      </c>
      <c r="AE13">
        <f t="shared" si="0"/>
        <v>0</v>
      </c>
      <c r="AF13">
        <v>0</v>
      </c>
      <c r="AG13">
        <v>0</v>
      </c>
      <c r="AH13">
        <v>0</v>
      </c>
      <c r="AI13" s="121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>
      <c r="A14">
        <v>201903</v>
      </c>
      <c r="B14">
        <v>25</v>
      </c>
      <c r="C14" t="s">
        <v>502</v>
      </c>
      <c r="D14">
        <v>3190047825361</v>
      </c>
      <c r="E14" t="s">
        <v>53</v>
      </c>
      <c r="F14" t="s">
        <v>569</v>
      </c>
      <c r="G14" t="s">
        <v>570</v>
      </c>
      <c r="H14" t="s">
        <v>571</v>
      </c>
      <c r="I14" t="s">
        <v>578</v>
      </c>
      <c r="J14" t="s">
        <v>578</v>
      </c>
      <c r="K14" t="s">
        <v>579</v>
      </c>
      <c r="L14" t="s">
        <v>586</v>
      </c>
      <c r="M14" t="s">
        <v>587</v>
      </c>
      <c r="N14" t="s">
        <v>1198</v>
      </c>
      <c r="P14" t="s">
        <v>575</v>
      </c>
      <c r="Q14" t="s">
        <v>620</v>
      </c>
      <c r="R14" t="s">
        <v>1110</v>
      </c>
      <c r="S14">
        <v>20160713</v>
      </c>
      <c r="T14" t="s">
        <v>1111</v>
      </c>
      <c r="X14">
        <v>32</v>
      </c>
      <c r="Y14">
        <v>25000</v>
      </c>
      <c r="AA14" t="s">
        <v>577</v>
      </c>
      <c r="AB14">
        <v>20190211</v>
      </c>
      <c r="AE14">
        <f t="shared" si="0"/>
        <v>0</v>
      </c>
      <c r="AF14">
        <v>0</v>
      </c>
      <c r="AG14">
        <v>0</v>
      </c>
      <c r="AH14">
        <v>0</v>
      </c>
      <c r="AI14" s="121">
        <v>125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125</v>
      </c>
    </row>
    <row r="15" spans="1:41">
      <c r="A15">
        <v>201903</v>
      </c>
      <c r="B15">
        <v>25</v>
      </c>
      <c r="C15" t="s">
        <v>502</v>
      </c>
      <c r="D15">
        <v>3190048753651</v>
      </c>
      <c r="E15" t="s">
        <v>53</v>
      </c>
      <c r="F15" t="s">
        <v>569</v>
      </c>
      <c r="G15" t="s">
        <v>570</v>
      </c>
      <c r="H15" t="s">
        <v>571</v>
      </c>
      <c r="I15" t="s">
        <v>674</v>
      </c>
      <c r="J15" t="s">
        <v>674</v>
      </c>
      <c r="K15" t="s">
        <v>675</v>
      </c>
      <c r="L15" t="s">
        <v>489</v>
      </c>
      <c r="M15" t="s">
        <v>488</v>
      </c>
      <c r="N15" t="s">
        <v>902</v>
      </c>
      <c r="P15" t="s">
        <v>575</v>
      </c>
      <c r="Q15" t="s">
        <v>620</v>
      </c>
      <c r="R15" t="s">
        <v>1019</v>
      </c>
      <c r="S15">
        <v>20160722</v>
      </c>
      <c r="T15" t="s">
        <v>1029</v>
      </c>
      <c r="X15">
        <v>32</v>
      </c>
      <c r="Y15">
        <v>22000</v>
      </c>
      <c r="AA15" t="s">
        <v>577</v>
      </c>
      <c r="AB15">
        <v>20190220</v>
      </c>
      <c r="AE15">
        <f t="shared" si="0"/>
        <v>0</v>
      </c>
      <c r="AF15">
        <v>0</v>
      </c>
      <c r="AG15">
        <v>0</v>
      </c>
      <c r="AH15">
        <v>0</v>
      </c>
      <c r="AI15" s="121">
        <v>110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110</v>
      </c>
    </row>
    <row r="16" spans="1:41">
      <c r="A16">
        <v>201903</v>
      </c>
      <c r="B16">
        <v>25</v>
      </c>
      <c r="C16" t="s">
        <v>502</v>
      </c>
      <c r="D16">
        <v>3190022848761</v>
      </c>
      <c r="E16" t="s">
        <v>53</v>
      </c>
      <c r="F16" t="s">
        <v>569</v>
      </c>
      <c r="G16" t="s">
        <v>570</v>
      </c>
      <c r="H16" t="s">
        <v>571</v>
      </c>
      <c r="I16" t="s">
        <v>618</v>
      </c>
      <c r="J16" t="s">
        <v>618</v>
      </c>
      <c r="K16" t="s">
        <v>619</v>
      </c>
      <c r="L16" t="s">
        <v>697</v>
      </c>
      <c r="M16" t="s">
        <v>698</v>
      </c>
      <c r="N16" t="s">
        <v>942</v>
      </c>
      <c r="P16" t="s">
        <v>575</v>
      </c>
      <c r="Q16" t="s">
        <v>699</v>
      </c>
      <c r="R16" t="s">
        <v>943</v>
      </c>
      <c r="S16">
        <v>20151112</v>
      </c>
      <c r="T16" t="s">
        <v>819</v>
      </c>
      <c r="W16">
        <v>0</v>
      </c>
      <c r="X16">
        <v>40</v>
      </c>
      <c r="Y16">
        <v>20000</v>
      </c>
      <c r="AA16" t="s">
        <v>577</v>
      </c>
      <c r="AB16">
        <v>20190220</v>
      </c>
      <c r="AE16">
        <f t="shared" si="0"/>
        <v>0</v>
      </c>
      <c r="AF16">
        <v>0</v>
      </c>
      <c r="AG16">
        <v>0</v>
      </c>
      <c r="AH16">
        <v>0</v>
      </c>
      <c r="AI16" s="121">
        <v>100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100</v>
      </c>
    </row>
    <row r="17" spans="1:41">
      <c r="A17">
        <v>201903</v>
      </c>
      <c r="B17">
        <v>25</v>
      </c>
      <c r="C17" t="s">
        <v>502</v>
      </c>
      <c r="D17">
        <v>3190049261361</v>
      </c>
      <c r="E17" t="s">
        <v>53</v>
      </c>
      <c r="F17" t="s">
        <v>569</v>
      </c>
      <c r="G17" t="s">
        <v>570</v>
      </c>
      <c r="H17" t="s">
        <v>571</v>
      </c>
      <c r="I17" t="s">
        <v>674</v>
      </c>
      <c r="L17" t="s">
        <v>491</v>
      </c>
      <c r="M17" t="s">
        <v>490</v>
      </c>
      <c r="N17" t="s">
        <v>907</v>
      </c>
      <c r="P17" t="s">
        <v>575</v>
      </c>
      <c r="Q17" t="s">
        <v>620</v>
      </c>
      <c r="R17" t="s">
        <v>1019</v>
      </c>
      <c r="S17">
        <v>20160726</v>
      </c>
      <c r="T17" t="s">
        <v>1216</v>
      </c>
      <c r="X17">
        <v>32</v>
      </c>
      <c r="Y17">
        <v>50000</v>
      </c>
      <c r="AA17" t="s">
        <v>577</v>
      </c>
      <c r="AB17">
        <v>20190225</v>
      </c>
      <c r="AE17">
        <f t="shared" si="0"/>
        <v>0</v>
      </c>
      <c r="AF17">
        <v>0</v>
      </c>
      <c r="AG17">
        <v>0</v>
      </c>
      <c r="AH17">
        <v>0</v>
      </c>
      <c r="AI17" s="121">
        <v>250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250</v>
      </c>
    </row>
    <row r="18" spans="1:41">
      <c r="A18">
        <v>201903</v>
      </c>
      <c r="B18">
        <v>25</v>
      </c>
      <c r="C18" t="s">
        <v>502</v>
      </c>
      <c r="D18">
        <v>3190050884091</v>
      </c>
      <c r="E18" t="s">
        <v>53</v>
      </c>
      <c r="F18" t="s">
        <v>569</v>
      </c>
      <c r="G18" t="s">
        <v>570</v>
      </c>
      <c r="H18" t="s">
        <v>571</v>
      </c>
      <c r="I18" t="s">
        <v>578</v>
      </c>
      <c r="J18" t="s">
        <v>578</v>
      </c>
      <c r="K18" t="s">
        <v>579</v>
      </c>
      <c r="L18" t="s">
        <v>741</v>
      </c>
      <c r="M18" t="s">
        <v>710</v>
      </c>
      <c r="N18" t="s">
        <v>913</v>
      </c>
      <c r="P18" t="s">
        <v>575</v>
      </c>
      <c r="Q18" t="s">
        <v>620</v>
      </c>
      <c r="R18" t="s">
        <v>1019</v>
      </c>
      <c r="S18">
        <v>20160818</v>
      </c>
      <c r="T18" t="s">
        <v>840</v>
      </c>
      <c r="X18">
        <v>31</v>
      </c>
      <c r="Y18">
        <v>31000</v>
      </c>
      <c r="AA18" t="s">
        <v>577</v>
      </c>
      <c r="AB18">
        <v>20190220</v>
      </c>
      <c r="AE18">
        <f t="shared" si="0"/>
        <v>0</v>
      </c>
      <c r="AF18">
        <v>0</v>
      </c>
      <c r="AG18">
        <v>0</v>
      </c>
      <c r="AH18">
        <v>0</v>
      </c>
      <c r="AI18" s="121">
        <v>155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155</v>
      </c>
    </row>
    <row r="19" spans="1:41">
      <c r="A19">
        <v>201903</v>
      </c>
      <c r="B19">
        <v>25</v>
      </c>
      <c r="C19" t="s">
        <v>502</v>
      </c>
      <c r="D19">
        <v>3190092328951</v>
      </c>
      <c r="E19" t="s">
        <v>53</v>
      </c>
      <c r="F19" t="s">
        <v>569</v>
      </c>
      <c r="G19" t="s">
        <v>570</v>
      </c>
      <c r="H19" t="s">
        <v>571</v>
      </c>
      <c r="I19" t="s">
        <v>578</v>
      </c>
      <c r="J19" t="s">
        <v>578</v>
      </c>
      <c r="K19" t="s">
        <v>579</v>
      </c>
      <c r="L19" t="s">
        <v>716</v>
      </c>
      <c r="M19" t="s">
        <v>717</v>
      </c>
      <c r="N19" t="s">
        <v>1232</v>
      </c>
      <c r="P19" t="s">
        <v>575</v>
      </c>
      <c r="Q19" t="s">
        <v>699</v>
      </c>
      <c r="R19" t="s">
        <v>1148</v>
      </c>
      <c r="S19">
        <v>20170728</v>
      </c>
      <c r="T19" t="s">
        <v>822</v>
      </c>
      <c r="X19">
        <v>18</v>
      </c>
      <c r="Y19">
        <v>1000000</v>
      </c>
      <c r="AA19" t="s">
        <v>577</v>
      </c>
      <c r="AB19">
        <v>20190228</v>
      </c>
      <c r="AE19">
        <f t="shared" si="0"/>
        <v>0</v>
      </c>
      <c r="AF19">
        <v>0</v>
      </c>
      <c r="AG19">
        <v>0</v>
      </c>
      <c r="AH19">
        <v>0</v>
      </c>
      <c r="AI19" s="121">
        <v>5000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5000</v>
      </c>
    </row>
    <row r="20" spans="1:41">
      <c r="A20">
        <v>201903</v>
      </c>
      <c r="B20">
        <v>25</v>
      </c>
      <c r="C20" t="s">
        <v>502</v>
      </c>
      <c r="D20">
        <v>3190441476271</v>
      </c>
      <c r="E20" t="s">
        <v>53</v>
      </c>
      <c r="F20" t="s">
        <v>569</v>
      </c>
      <c r="G20" t="s">
        <v>570</v>
      </c>
      <c r="H20" t="s">
        <v>571</v>
      </c>
      <c r="I20" t="s">
        <v>578</v>
      </c>
      <c r="J20" t="s">
        <v>578</v>
      </c>
      <c r="K20" t="s">
        <v>579</v>
      </c>
      <c r="L20" t="s">
        <v>594</v>
      </c>
      <c r="M20" t="s">
        <v>595</v>
      </c>
      <c r="N20" t="s">
        <v>908</v>
      </c>
      <c r="P20" t="s">
        <v>575</v>
      </c>
      <c r="Q20" t="s">
        <v>620</v>
      </c>
      <c r="R20" t="s">
        <v>952</v>
      </c>
      <c r="S20">
        <v>20180810</v>
      </c>
      <c r="T20" t="s">
        <v>790</v>
      </c>
      <c r="X20">
        <v>7</v>
      </c>
      <c r="Y20">
        <v>30274</v>
      </c>
      <c r="AA20" t="s">
        <v>577</v>
      </c>
      <c r="AB20">
        <v>20190220</v>
      </c>
      <c r="AE20">
        <f t="shared" si="0"/>
        <v>25006</v>
      </c>
      <c r="AF20">
        <v>0</v>
      </c>
      <c r="AG20">
        <v>25006</v>
      </c>
      <c r="AH20">
        <v>0</v>
      </c>
      <c r="AI20" s="121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25006</v>
      </c>
    </row>
    <row r="21" spans="1:41">
      <c r="A21">
        <v>201903</v>
      </c>
      <c r="B21">
        <v>25</v>
      </c>
      <c r="C21" t="s">
        <v>502</v>
      </c>
      <c r="D21">
        <v>3190465788671</v>
      </c>
      <c r="E21" t="s">
        <v>53</v>
      </c>
      <c r="F21" t="s">
        <v>569</v>
      </c>
      <c r="G21" t="s">
        <v>570</v>
      </c>
      <c r="H21" t="s">
        <v>571</v>
      </c>
      <c r="I21" t="s">
        <v>633</v>
      </c>
      <c r="J21" t="s">
        <v>633</v>
      </c>
      <c r="K21" t="s">
        <v>634</v>
      </c>
      <c r="L21" t="s">
        <v>637</v>
      </c>
      <c r="M21" t="s">
        <v>638</v>
      </c>
      <c r="N21" t="s">
        <v>972</v>
      </c>
      <c r="P21" t="s">
        <v>575</v>
      </c>
      <c r="Q21" t="s">
        <v>620</v>
      </c>
      <c r="R21" t="s">
        <v>1200</v>
      </c>
      <c r="S21">
        <v>20181126</v>
      </c>
      <c r="T21" t="s">
        <v>1208</v>
      </c>
      <c r="X21">
        <v>4</v>
      </c>
      <c r="Y21">
        <v>40000</v>
      </c>
      <c r="AA21" t="s">
        <v>577</v>
      </c>
      <c r="AB21">
        <v>20190225</v>
      </c>
      <c r="AE21">
        <f t="shared" si="0"/>
        <v>0</v>
      </c>
      <c r="AF21">
        <v>0</v>
      </c>
      <c r="AG21">
        <v>0</v>
      </c>
      <c r="AH21">
        <v>0</v>
      </c>
      <c r="AI21" s="1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</row>
    <row r="22" spans="1:41">
      <c r="A22">
        <v>201903</v>
      </c>
      <c r="B22">
        <v>25</v>
      </c>
      <c r="C22" t="s">
        <v>502</v>
      </c>
      <c r="D22">
        <v>3190094971141</v>
      </c>
      <c r="E22" t="s">
        <v>53</v>
      </c>
      <c r="F22" t="s">
        <v>569</v>
      </c>
      <c r="G22" t="s">
        <v>570</v>
      </c>
      <c r="H22" t="s">
        <v>571</v>
      </c>
      <c r="I22" t="s">
        <v>633</v>
      </c>
      <c r="L22" t="s">
        <v>641</v>
      </c>
      <c r="M22" t="s">
        <v>642</v>
      </c>
      <c r="N22" t="s">
        <v>921</v>
      </c>
      <c r="P22" t="s">
        <v>575</v>
      </c>
      <c r="Q22" t="s">
        <v>620</v>
      </c>
      <c r="R22" t="s">
        <v>1013</v>
      </c>
      <c r="S22">
        <v>20170818</v>
      </c>
      <c r="T22" t="s">
        <v>811</v>
      </c>
      <c r="X22">
        <v>18</v>
      </c>
      <c r="Y22">
        <v>61000</v>
      </c>
      <c r="AA22" t="s">
        <v>577</v>
      </c>
      <c r="AB22">
        <v>20190228</v>
      </c>
      <c r="AE22">
        <f t="shared" si="0"/>
        <v>0</v>
      </c>
      <c r="AF22">
        <v>0</v>
      </c>
      <c r="AG22">
        <v>0</v>
      </c>
      <c r="AH22">
        <v>0</v>
      </c>
      <c r="AI22" s="121">
        <v>457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457</v>
      </c>
    </row>
    <row r="23" spans="1:41">
      <c r="A23">
        <v>201903</v>
      </c>
      <c r="B23">
        <v>25</v>
      </c>
      <c r="C23" t="s">
        <v>502</v>
      </c>
      <c r="D23">
        <v>3190466686551</v>
      </c>
      <c r="E23" t="s">
        <v>53</v>
      </c>
      <c r="F23" t="s">
        <v>569</v>
      </c>
      <c r="G23" t="s">
        <v>570</v>
      </c>
      <c r="H23" t="s">
        <v>571</v>
      </c>
      <c r="I23" t="s">
        <v>633</v>
      </c>
      <c r="L23" t="s">
        <v>641</v>
      </c>
      <c r="M23" t="s">
        <v>642</v>
      </c>
      <c r="N23" t="s">
        <v>921</v>
      </c>
      <c r="P23" t="s">
        <v>575</v>
      </c>
      <c r="Q23" t="s">
        <v>620</v>
      </c>
      <c r="R23" t="s">
        <v>1200</v>
      </c>
      <c r="S23">
        <v>20181116</v>
      </c>
      <c r="T23" t="s">
        <v>982</v>
      </c>
      <c r="X23">
        <v>4</v>
      </c>
      <c r="Y23">
        <v>71000</v>
      </c>
      <c r="AA23" t="s">
        <v>577</v>
      </c>
      <c r="AB23">
        <v>20190220</v>
      </c>
      <c r="AE23">
        <f t="shared" si="0"/>
        <v>0</v>
      </c>
      <c r="AF23">
        <v>0</v>
      </c>
      <c r="AG23">
        <v>0</v>
      </c>
      <c r="AH23">
        <v>0</v>
      </c>
      <c r="AI23" s="121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</row>
    <row r="24" spans="1:41">
      <c r="A24">
        <v>201903</v>
      </c>
      <c r="B24">
        <v>25</v>
      </c>
      <c r="C24" t="s">
        <v>502</v>
      </c>
      <c r="D24">
        <v>3190467318371</v>
      </c>
      <c r="E24" t="s">
        <v>53</v>
      </c>
      <c r="F24" t="s">
        <v>569</v>
      </c>
      <c r="G24" t="s">
        <v>570</v>
      </c>
      <c r="H24" t="s">
        <v>571</v>
      </c>
      <c r="I24" t="s">
        <v>633</v>
      </c>
      <c r="L24" t="s">
        <v>641</v>
      </c>
      <c r="M24" t="s">
        <v>642</v>
      </c>
      <c r="N24" t="s">
        <v>921</v>
      </c>
      <c r="P24" t="s">
        <v>575</v>
      </c>
      <c r="Q24" t="s">
        <v>620</v>
      </c>
      <c r="R24" t="s">
        <v>952</v>
      </c>
      <c r="S24">
        <v>20181116</v>
      </c>
      <c r="T24" t="s">
        <v>824</v>
      </c>
      <c r="X24">
        <v>4</v>
      </c>
      <c r="Y24">
        <v>119188</v>
      </c>
      <c r="AA24" t="s">
        <v>577</v>
      </c>
      <c r="AB24">
        <v>20190220</v>
      </c>
      <c r="AE24">
        <f t="shared" si="0"/>
        <v>0</v>
      </c>
      <c r="AF24">
        <v>0</v>
      </c>
      <c r="AG24">
        <v>0</v>
      </c>
      <c r="AH24">
        <v>0</v>
      </c>
      <c r="AI24" s="121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>
      <c r="A25">
        <v>201903</v>
      </c>
      <c r="B25">
        <v>25</v>
      </c>
      <c r="C25" t="s">
        <v>502</v>
      </c>
      <c r="D25">
        <v>3190023360591</v>
      </c>
      <c r="E25" t="s">
        <v>53</v>
      </c>
      <c r="F25" t="s">
        <v>569</v>
      </c>
      <c r="G25" t="s">
        <v>570</v>
      </c>
      <c r="H25" t="s">
        <v>571</v>
      </c>
      <c r="I25" t="s">
        <v>621</v>
      </c>
      <c r="J25" t="s">
        <v>621</v>
      </c>
      <c r="K25" t="s">
        <v>622</v>
      </c>
      <c r="L25" t="s">
        <v>629</v>
      </c>
      <c r="M25" t="s">
        <v>630</v>
      </c>
      <c r="N25" t="s">
        <v>904</v>
      </c>
      <c r="P25" t="s">
        <v>575</v>
      </c>
      <c r="Q25" t="s">
        <v>620</v>
      </c>
      <c r="R25" t="s">
        <v>901</v>
      </c>
      <c r="S25">
        <v>20151116</v>
      </c>
      <c r="T25" t="s">
        <v>839</v>
      </c>
      <c r="W25">
        <v>0</v>
      </c>
      <c r="X25">
        <v>40</v>
      </c>
      <c r="Y25">
        <v>30000</v>
      </c>
      <c r="AA25" t="s">
        <v>577</v>
      </c>
      <c r="AB25">
        <v>20190228</v>
      </c>
      <c r="AE25">
        <f t="shared" si="0"/>
        <v>0</v>
      </c>
      <c r="AF25">
        <v>0</v>
      </c>
      <c r="AG25">
        <v>0</v>
      </c>
      <c r="AH25">
        <v>0</v>
      </c>
      <c r="AI25" s="121">
        <v>150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150</v>
      </c>
    </row>
    <row r="26" spans="1:41">
      <c r="A26">
        <v>201903</v>
      </c>
      <c r="B26">
        <v>25</v>
      </c>
      <c r="C26" t="s">
        <v>502</v>
      </c>
      <c r="D26">
        <v>3190053654321</v>
      </c>
      <c r="E26" t="s">
        <v>53</v>
      </c>
      <c r="F26" t="s">
        <v>569</v>
      </c>
      <c r="G26" t="s">
        <v>570</v>
      </c>
      <c r="H26" t="s">
        <v>571</v>
      </c>
      <c r="I26" t="s">
        <v>674</v>
      </c>
      <c r="J26" t="s">
        <v>674</v>
      </c>
      <c r="K26" t="s">
        <v>675</v>
      </c>
      <c r="L26" t="s">
        <v>489</v>
      </c>
      <c r="M26" t="s">
        <v>488</v>
      </c>
      <c r="N26" t="s">
        <v>902</v>
      </c>
      <c r="P26" t="s">
        <v>575</v>
      </c>
      <c r="Q26" t="s">
        <v>699</v>
      </c>
      <c r="R26" t="s">
        <v>1012</v>
      </c>
      <c r="S26">
        <v>20160927</v>
      </c>
      <c r="T26" t="s">
        <v>795</v>
      </c>
      <c r="X26">
        <v>30</v>
      </c>
      <c r="Y26">
        <v>70000</v>
      </c>
      <c r="AA26" t="s">
        <v>577</v>
      </c>
      <c r="AB26">
        <v>20190220</v>
      </c>
      <c r="AE26">
        <f t="shared" si="0"/>
        <v>0</v>
      </c>
      <c r="AF26">
        <v>0</v>
      </c>
      <c r="AG26">
        <v>0</v>
      </c>
      <c r="AH26">
        <v>0</v>
      </c>
      <c r="AI26" s="121">
        <v>350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350</v>
      </c>
    </row>
    <row r="27" spans="1:41">
      <c r="A27">
        <v>201903</v>
      </c>
      <c r="B27">
        <v>25</v>
      </c>
      <c r="C27" t="s">
        <v>502</v>
      </c>
      <c r="D27">
        <v>3190099593011</v>
      </c>
      <c r="E27" t="s">
        <v>53</v>
      </c>
      <c r="F27" t="s">
        <v>569</v>
      </c>
      <c r="G27" t="s">
        <v>570</v>
      </c>
      <c r="H27" t="s">
        <v>571</v>
      </c>
      <c r="I27" t="s">
        <v>1139</v>
      </c>
      <c r="J27" t="s">
        <v>706</v>
      </c>
      <c r="K27" t="s">
        <v>707</v>
      </c>
      <c r="L27" t="s">
        <v>708</v>
      </c>
      <c r="M27" t="s">
        <v>709</v>
      </c>
      <c r="N27" t="s">
        <v>1024</v>
      </c>
      <c r="P27" t="s">
        <v>575</v>
      </c>
      <c r="Q27" t="s">
        <v>620</v>
      </c>
      <c r="R27" t="s">
        <v>1013</v>
      </c>
      <c r="S27">
        <v>20170922</v>
      </c>
      <c r="T27" t="s">
        <v>1045</v>
      </c>
      <c r="V27">
        <v>0</v>
      </c>
      <c r="W27">
        <v>0</v>
      </c>
      <c r="X27">
        <v>18</v>
      </c>
      <c r="Y27">
        <v>46500</v>
      </c>
      <c r="AA27" t="s">
        <v>577</v>
      </c>
      <c r="AB27">
        <v>20190220</v>
      </c>
      <c r="AE27">
        <f t="shared" si="0"/>
        <v>0</v>
      </c>
      <c r="AF27">
        <v>0</v>
      </c>
      <c r="AG27">
        <v>0</v>
      </c>
      <c r="AH27">
        <v>0</v>
      </c>
      <c r="AI27" s="121">
        <v>348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348</v>
      </c>
    </row>
    <row r="28" spans="1:41">
      <c r="A28">
        <v>201903</v>
      </c>
      <c r="B28">
        <v>25</v>
      </c>
      <c r="C28" t="s">
        <v>502</v>
      </c>
      <c r="D28">
        <v>3190444331011</v>
      </c>
      <c r="E28" t="s">
        <v>53</v>
      </c>
      <c r="F28" t="s">
        <v>569</v>
      </c>
      <c r="G28" t="s">
        <v>570</v>
      </c>
      <c r="H28" t="s">
        <v>571</v>
      </c>
      <c r="I28" t="s">
        <v>646</v>
      </c>
      <c r="L28" t="s">
        <v>677</v>
      </c>
      <c r="M28" t="s">
        <v>678</v>
      </c>
      <c r="N28" t="s">
        <v>938</v>
      </c>
      <c r="P28" t="s">
        <v>575</v>
      </c>
      <c r="Q28" t="s">
        <v>620</v>
      </c>
      <c r="R28" t="s">
        <v>961</v>
      </c>
      <c r="S28">
        <v>20180827</v>
      </c>
      <c r="T28" t="s">
        <v>753</v>
      </c>
      <c r="V28">
        <v>0</v>
      </c>
      <c r="W28">
        <v>0</v>
      </c>
      <c r="X28">
        <v>7</v>
      </c>
      <c r="Y28">
        <v>24000</v>
      </c>
      <c r="AA28" t="s">
        <v>577</v>
      </c>
      <c r="AB28">
        <v>20190225</v>
      </c>
      <c r="AE28">
        <f t="shared" si="0"/>
        <v>19488</v>
      </c>
      <c r="AF28">
        <v>0</v>
      </c>
      <c r="AG28">
        <v>19488</v>
      </c>
      <c r="AH28">
        <v>0</v>
      </c>
      <c r="AI28" s="121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19488</v>
      </c>
    </row>
    <row r="29" spans="1:41">
      <c r="A29">
        <v>201903</v>
      </c>
      <c r="B29">
        <v>25</v>
      </c>
      <c r="C29" t="s">
        <v>502</v>
      </c>
      <c r="D29">
        <v>3190468434201</v>
      </c>
      <c r="E29" t="s">
        <v>53</v>
      </c>
      <c r="F29" t="s">
        <v>569</v>
      </c>
      <c r="G29" t="s">
        <v>570</v>
      </c>
      <c r="H29" t="s">
        <v>571</v>
      </c>
      <c r="I29" t="s">
        <v>633</v>
      </c>
      <c r="J29" t="s">
        <v>633</v>
      </c>
      <c r="K29" t="s">
        <v>634</v>
      </c>
      <c r="L29" t="s">
        <v>637</v>
      </c>
      <c r="M29" t="s">
        <v>638</v>
      </c>
      <c r="N29" t="s">
        <v>972</v>
      </c>
      <c r="P29" t="s">
        <v>575</v>
      </c>
      <c r="Q29" t="s">
        <v>620</v>
      </c>
      <c r="R29" t="s">
        <v>1200</v>
      </c>
      <c r="S29">
        <v>20181127</v>
      </c>
      <c r="T29" t="s">
        <v>815</v>
      </c>
      <c r="X29">
        <v>4</v>
      </c>
      <c r="Y29">
        <v>38000</v>
      </c>
      <c r="AA29" t="s">
        <v>577</v>
      </c>
      <c r="AB29">
        <v>20190225</v>
      </c>
      <c r="AE29">
        <f t="shared" si="0"/>
        <v>0</v>
      </c>
      <c r="AF29">
        <v>0</v>
      </c>
      <c r="AG29">
        <v>0</v>
      </c>
      <c r="AH29">
        <v>0</v>
      </c>
      <c r="AI29" s="121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>
      <c r="A30">
        <v>201903</v>
      </c>
      <c r="B30">
        <v>25</v>
      </c>
      <c r="C30" t="s">
        <v>502</v>
      </c>
      <c r="D30">
        <v>3190051684031</v>
      </c>
      <c r="E30" t="s">
        <v>53</v>
      </c>
      <c r="F30" t="s">
        <v>569</v>
      </c>
      <c r="G30" t="s">
        <v>570</v>
      </c>
      <c r="H30" t="s">
        <v>571</v>
      </c>
      <c r="I30" t="s">
        <v>578</v>
      </c>
      <c r="J30" t="s">
        <v>578</v>
      </c>
      <c r="K30" t="s">
        <v>579</v>
      </c>
      <c r="L30" t="s">
        <v>611</v>
      </c>
      <c r="M30" t="s">
        <v>612</v>
      </c>
      <c r="N30" t="s">
        <v>979</v>
      </c>
      <c r="P30" t="s">
        <v>575</v>
      </c>
      <c r="Q30" t="s">
        <v>620</v>
      </c>
      <c r="R30" t="s">
        <v>1009</v>
      </c>
      <c r="S30">
        <v>20160830</v>
      </c>
      <c r="T30" t="s">
        <v>1150</v>
      </c>
      <c r="X30">
        <v>30</v>
      </c>
      <c r="Y30">
        <v>36104</v>
      </c>
      <c r="AA30" t="s">
        <v>577</v>
      </c>
      <c r="AB30">
        <v>20190228</v>
      </c>
      <c r="AE30">
        <f t="shared" si="0"/>
        <v>0</v>
      </c>
      <c r="AF30">
        <v>0</v>
      </c>
      <c r="AG30">
        <v>0</v>
      </c>
      <c r="AH30">
        <v>0</v>
      </c>
      <c r="AI30" s="121">
        <v>540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540</v>
      </c>
    </row>
    <row r="31" spans="1:41">
      <c r="A31">
        <v>201903</v>
      </c>
      <c r="B31">
        <v>25</v>
      </c>
      <c r="C31" t="s">
        <v>502</v>
      </c>
      <c r="D31">
        <v>3190025624591</v>
      </c>
      <c r="E31" t="s">
        <v>53</v>
      </c>
      <c r="F31" t="s">
        <v>569</v>
      </c>
      <c r="G31" t="s">
        <v>570</v>
      </c>
      <c r="H31" t="s">
        <v>571</v>
      </c>
      <c r="I31" t="s">
        <v>674</v>
      </c>
      <c r="J31" t="s">
        <v>674</v>
      </c>
      <c r="K31" t="s">
        <v>675</v>
      </c>
      <c r="L31" t="s">
        <v>489</v>
      </c>
      <c r="M31" t="s">
        <v>488</v>
      </c>
      <c r="N31" t="s">
        <v>902</v>
      </c>
      <c r="P31" t="s">
        <v>575</v>
      </c>
      <c r="Q31" t="s">
        <v>620</v>
      </c>
      <c r="R31" t="s">
        <v>901</v>
      </c>
      <c r="S31">
        <v>20151214</v>
      </c>
      <c r="T31" t="s">
        <v>916</v>
      </c>
      <c r="W31">
        <v>0</v>
      </c>
      <c r="X31">
        <v>39</v>
      </c>
      <c r="Y31">
        <v>211000</v>
      </c>
      <c r="AA31" t="s">
        <v>577</v>
      </c>
      <c r="AB31">
        <v>20190208</v>
      </c>
      <c r="AE31">
        <f t="shared" si="0"/>
        <v>0</v>
      </c>
      <c r="AF31">
        <v>0</v>
      </c>
      <c r="AG31">
        <v>0</v>
      </c>
      <c r="AH31">
        <v>0</v>
      </c>
      <c r="AI31" s="121">
        <v>1055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1055</v>
      </c>
    </row>
    <row r="32" spans="1:41">
      <c r="A32">
        <v>201903</v>
      </c>
      <c r="B32">
        <v>25</v>
      </c>
      <c r="C32" t="s">
        <v>502</v>
      </c>
      <c r="D32">
        <v>3190026838701</v>
      </c>
      <c r="E32" t="s">
        <v>53</v>
      </c>
      <c r="F32" t="s">
        <v>569</v>
      </c>
      <c r="G32" t="s">
        <v>570</v>
      </c>
      <c r="H32" t="s">
        <v>571</v>
      </c>
      <c r="I32" t="s">
        <v>618</v>
      </c>
      <c r="J32" t="s">
        <v>618</v>
      </c>
      <c r="K32" t="s">
        <v>619</v>
      </c>
      <c r="L32" t="s">
        <v>639</v>
      </c>
      <c r="M32" t="s">
        <v>640</v>
      </c>
      <c r="N32" t="s">
        <v>925</v>
      </c>
      <c r="P32" t="s">
        <v>575</v>
      </c>
      <c r="Q32" t="s">
        <v>620</v>
      </c>
      <c r="R32" t="s">
        <v>917</v>
      </c>
      <c r="S32">
        <v>20151228</v>
      </c>
      <c r="T32" t="s">
        <v>926</v>
      </c>
      <c r="W32">
        <v>0</v>
      </c>
      <c r="X32">
        <v>39</v>
      </c>
      <c r="Y32">
        <v>53000</v>
      </c>
      <c r="AA32" t="s">
        <v>577</v>
      </c>
      <c r="AB32">
        <v>20190215</v>
      </c>
      <c r="AE32">
        <f t="shared" si="0"/>
        <v>0</v>
      </c>
      <c r="AF32">
        <v>0</v>
      </c>
      <c r="AG32">
        <v>0</v>
      </c>
      <c r="AH32">
        <v>0</v>
      </c>
      <c r="AI32" s="121">
        <v>265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265</v>
      </c>
    </row>
    <row r="33" spans="1:41">
      <c r="A33">
        <v>201903</v>
      </c>
      <c r="B33">
        <v>25</v>
      </c>
      <c r="C33" t="s">
        <v>502</v>
      </c>
      <c r="D33">
        <v>3190059944431</v>
      </c>
      <c r="E33" t="s">
        <v>53</v>
      </c>
      <c r="F33" t="s">
        <v>569</v>
      </c>
      <c r="G33" t="s">
        <v>570</v>
      </c>
      <c r="H33" t="s">
        <v>571</v>
      </c>
      <c r="I33" t="s">
        <v>633</v>
      </c>
      <c r="L33" t="s">
        <v>641</v>
      </c>
      <c r="M33" t="s">
        <v>642</v>
      </c>
      <c r="N33" t="s">
        <v>921</v>
      </c>
      <c r="P33" t="s">
        <v>575</v>
      </c>
      <c r="Q33" t="s">
        <v>620</v>
      </c>
      <c r="R33" t="s">
        <v>1009</v>
      </c>
      <c r="S33">
        <v>20161219</v>
      </c>
      <c r="T33" t="s">
        <v>841</v>
      </c>
      <c r="X33">
        <v>27</v>
      </c>
      <c r="Y33">
        <v>120000</v>
      </c>
      <c r="AA33" t="s">
        <v>577</v>
      </c>
      <c r="AB33">
        <v>20190219</v>
      </c>
      <c r="AE33">
        <f t="shared" si="0"/>
        <v>0</v>
      </c>
      <c r="AF33">
        <v>0</v>
      </c>
      <c r="AG33">
        <v>0</v>
      </c>
      <c r="AH33">
        <v>0</v>
      </c>
      <c r="AI33" s="121">
        <v>900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900</v>
      </c>
    </row>
    <row r="34" spans="1:41">
      <c r="A34">
        <v>201903</v>
      </c>
      <c r="B34">
        <v>25</v>
      </c>
      <c r="C34" t="s">
        <v>502</v>
      </c>
      <c r="D34">
        <v>3190470074551</v>
      </c>
      <c r="E34" t="s">
        <v>53</v>
      </c>
      <c r="F34" t="s">
        <v>569</v>
      </c>
      <c r="G34" t="s">
        <v>570</v>
      </c>
      <c r="H34" t="s">
        <v>571</v>
      </c>
      <c r="I34" t="s">
        <v>633</v>
      </c>
      <c r="J34" t="s">
        <v>633</v>
      </c>
      <c r="K34" t="s">
        <v>634</v>
      </c>
      <c r="L34" t="s">
        <v>672</v>
      </c>
      <c r="M34" t="s">
        <v>673</v>
      </c>
      <c r="N34" t="s">
        <v>934</v>
      </c>
      <c r="P34" t="s">
        <v>575</v>
      </c>
      <c r="Q34" t="s">
        <v>620</v>
      </c>
      <c r="R34" t="s">
        <v>1200</v>
      </c>
      <c r="S34">
        <v>20181127</v>
      </c>
      <c r="T34" t="s">
        <v>878</v>
      </c>
      <c r="X34">
        <v>4</v>
      </c>
      <c r="Y34">
        <v>32000</v>
      </c>
      <c r="AA34" t="s">
        <v>577</v>
      </c>
      <c r="AB34">
        <v>20190220</v>
      </c>
      <c r="AE34">
        <f t="shared" si="0"/>
        <v>0</v>
      </c>
      <c r="AF34">
        <v>0</v>
      </c>
      <c r="AG34">
        <v>0</v>
      </c>
      <c r="AH34">
        <v>0</v>
      </c>
      <c r="AI34" s="121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>
      <c r="A35">
        <v>201903</v>
      </c>
      <c r="B35">
        <v>25</v>
      </c>
      <c r="C35" t="s">
        <v>502</v>
      </c>
      <c r="D35">
        <v>3190074539111</v>
      </c>
      <c r="E35" t="s">
        <v>53</v>
      </c>
      <c r="F35" t="s">
        <v>569</v>
      </c>
      <c r="G35" t="s">
        <v>570</v>
      </c>
      <c r="H35" t="s">
        <v>571</v>
      </c>
      <c r="I35" t="s">
        <v>578</v>
      </c>
      <c r="J35" t="s">
        <v>578</v>
      </c>
      <c r="K35" t="s">
        <v>579</v>
      </c>
      <c r="L35" t="s">
        <v>580</v>
      </c>
      <c r="M35" t="s">
        <v>581</v>
      </c>
      <c r="N35" t="s">
        <v>915</v>
      </c>
      <c r="P35" t="s">
        <v>575</v>
      </c>
      <c r="Q35" t="s">
        <v>620</v>
      </c>
      <c r="R35" t="s">
        <v>1038</v>
      </c>
      <c r="S35">
        <v>20170328</v>
      </c>
      <c r="T35" t="s">
        <v>986</v>
      </c>
      <c r="X35">
        <v>24</v>
      </c>
      <c r="Y35">
        <v>66000</v>
      </c>
      <c r="AA35" t="s">
        <v>577</v>
      </c>
      <c r="AB35">
        <v>20190220</v>
      </c>
      <c r="AE35">
        <f t="shared" si="0"/>
        <v>0</v>
      </c>
      <c r="AF35">
        <v>0</v>
      </c>
      <c r="AG35">
        <v>0</v>
      </c>
      <c r="AH35">
        <v>0</v>
      </c>
      <c r="AI35" s="121">
        <v>330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330</v>
      </c>
    </row>
    <row r="36" spans="1:41">
      <c r="A36">
        <v>201903</v>
      </c>
      <c r="B36">
        <v>25</v>
      </c>
      <c r="C36" t="s">
        <v>502</v>
      </c>
      <c r="D36">
        <v>3190061883911</v>
      </c>
      <c r="E36" t="s">
        <v>53</v>
      </c>
      <c r="F36" t="s">
        <v>569</v>
      </c>
      <c r="G36" t="s">
        <v>570</v>
      </c>
      <c r="H36" t="s">
        <v>571</v>
      </c>
      <c r="I36" t="s">
        <v>578</v>
      </c>
      <c r="J36" t="s">
        <v>578</v>
      </c>
      <c r="K36" t="s">
        <v>579</v>
      </c>
      <c r="L36" t="s">
        <v>594</v>
      </c>
      <c r="M36" t="s">
        <v>595</v>
      </c>
      <c r="N36" t="s">
        <v>908</v>
      </c>
      <c r="P36" t="s">
        <v>575</v>
      </c>
      <c r="Q36" t="s">
        <v>620</v>
      </c>
      <c r="R36" t="s">
        <v>1011</v>
      </c>
      <c r="S36">
        <v>20170109</v>
      </c>
      <c r="T36" t="s">
        <v>1004</v>
      </c>
      <c r="X36">
        <v>26</v>
      </c>
      <c r="Y36">
        <v>111700</v>
      </c>
      <c r="AA36" t="s">
        <v>577</v>
      </c>
      <c r="AB36">
        <v>20190228</v>
      </c>
      <c r="AE36">
        <f t="shared" si="0"/>
        <v>0</v>
      </c>
      <c r="AF36">
        <v>0</v>
      </c>
      <c r="AG36">
        <v>0</v>
      </c>
      <c r="AH36">
        <v>0</v>
      </c>
      <c r="AI36" s="121">
        <v>837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837</v>
      </c>
    </row>
    <row r="37" spans="1:41">
      <c r="A37">
        <v>201903</v>
      </c>
      <c r="B37">
        <v>25</v>
      </c>
      <c r="C37" t="s">
        <v>502</v>
      </c>
      <c r="D37">
        <v>3190105590901</v>
      </c>
      <c r="E37" t="s">
        <v>53</v>
      </c>
      <c r="F37" t="s">
        <v>569</v>
      </c>
      <c r="G37" t="s">
        <v>570</v>
      </c>
      <c r="H37" t="s">
        <v>571</v>
      </c>
      <c r="I37" t="s">
        <v>1139</v>
      </c>
      <c r="J37" t="s">
        <v>706</v>
      </c>
      <c r="K37" t="s">
        <v>707</v>
      </c>
      <c r="L37" t="s">
        <v>708</v>
      </c>
      <c r="M37" t="s">
        <v>709</v>
      </c>
      <c r="N37" t="s">
        <v>1024</v>
      </c>
      <c r="P37" t="s">
        <v>575</v>
      </c>
      <c r="Q37" t="s">
        <v>620</v>
      </c>
      <c r="R37" t="s">
        <v>1013</v>
      </c>
      <c r="S37">
        <v>20171107</v>
      </c>
      <c r="T37" t="s">
        <v>1233</v>
      </c>
      <c r="V37">
        <v>0</v>
      </c>
      <c r="W37">
        <v>0</v>
      </c>
      <c r="X37">
        <v>15</v>
      </c>
      <c r="Y37">
        <v>70078</v>
      </c>
      <c r="AA37" t="s">
        <v>577</v>
      </c>
      <c r="AB37">
        <v>20190228</v>
      </c>
      <c r="AE37">
        <f t="shared" si="0"/>
        <v>0</v>
      </c>
      <c r="AF37">
        <v>0</v>
      </c>
      <c r="AG37">
        <v>0</v>
      </c>
      <c r="AH37">
        <v>0</v>
      </c>
      <c r="AI37" s="121">
        <v>1050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1050</v>
      </c>
    </row>
    <row r="38" spans="1:41">
      <c r="A38">
        <v>201903</v>
      </c>
      <c r="B38">
        <v>25</v>
      </c>
      <c r="C38" t="s">
        <v>502</v>
      </c>
      <c r="D38">
        <v>3190063457911</v>
      </c>
      <c r="E38" t="s">
        <v>53</v>
      </c>
      <c r="F38" t="s">
        <v>569</v>
      </c>
      <c r="G38" t="s">
        <v>570</v>
      </c>
      <c r="H38" t="s">
        <v>571</v>
      </c>
      <c r="I38" t="s">
        <v>691</v>
      </c>
      <c r="J38" t="s">
        <v>692</v>
      </c>
      <c r="K38" t="s">
        <v>700</v>
      </c>
      <c r="L38" t="s">
        <v>705</v>
      </c>
      <c r="M38" t="s">
        <v>687</v>
      </c>
      <c r="N38" t="s">
        <v>1227</v>
      </c>
      <c r="P38" t="s">
        <v>575</v>
      </c>
      <c r="Q38" t="s">
        <v>620</v>
      </c>
      <c r="R38" t="s">
        <v>1011</v>
      </c>
      <c r="S38">
        <v>20170120</v>
      </c>
      <c r="T38" t="s">
        <v>822</v>
      </c>
      <c r="X38">
        <v>24</v>
      </c>
      <c r="Y38">
        <v>234000</v>
      </c>
      <c r="AA38" t="s">
        <v>577</v>
      </c>
      <c r="AB38">
        <v>20190228</v>
      </c>
      <c r="AE38">
        <f t="shared" si="0"/>
        <v>0</v>
      </c>
      <c r="AF38">
        <v>0</v>
      </c>
      <c r="AG38">
        <v>0</v>
      </c>
      <c r="AH38">
        <v>0</v>
      </c>
      <c r="AI38" s="121">
        <v>1755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1755</v>
      </c>
    </row>
    <row r="39" spans="1:41">
      <c r="A39">
        <v>201903</v>
      </c>
      <c r="B39">
        <v>25</v>
      </c>
      <c r="C39" t="s">
        <v>502</v>
      </c>
      <c r="D39">
        <v>3190389833871</v>
      </c>
      <c r="E39" t="s">
        <v>53</v>
      </c>
      <c r="F39" t="s">
        <v>569</v>
      </c>
      <c r="G39" t="s">
        <v>570</v>
      </c>
      <c r="H39" t="s">
        <v>571</v>
      </c>
      <c r="I39" t="s">
        <v>674</v>
      </c>
      <c r="L39" t="s">
        <v>491</v>
      </c>
      <c r="M39" t="s">
        <v>490</v>
      </c>
      <c r="N39" t="s">
        <v>907</v>
      </c>
      <c r="P39" t="s">
        <v>575</v>
      </c>
      <c r="Q39" t="s">
        <v>620</v>
      </c>
      <c r="R39" t="s">
        <v>1014</v>
      </c>
      <c r="S39">
        <v>20171116</v>
      </c>
      <c r="T39" t="s">
        <v>822</v>
      </c>
      <c r="X39">
        <v>16</v>
      </c>
      <c r="Y39">
        <v>75500</v>
      </c>
      <c r="AA39" t="s">
        <v>577</v>
      </c>
      <c r="AB39">
        <v>20190220</v>
      </c>
      <c r="AE39">
        <f t="shared" si="0"/>
        <v>0</v>
      </c>
      <c r="AF39">
        <v>0</v>
      </c>
      <c r="AG39">
        <v>0</v>
      </c>
      <c r="AH39">
        <v>0</v>
      </c>
      <c r="AI39" s="121">
        <v>377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377</v>
      </c>
    </row>
    <row r="40" spans="1:41">
      <c r="A40">
        <v>201903</v>
      </c>
      <c r="B40">
        <v>25</v>
      </c>
      <c r="C40" t="s">
        <v>502</v>
      </c>
      <c r="D40">
        <v>3190449110431</v>
      </c>
      <c r="E40" t="s">
        <v>53</v>
      </c>
      <c r="F40" t="s">
        <v>569</v>
      </c>
      <c r="G40" t="s">
        <v>570</v>
      </c>
      <c r="H40" t="s">
        <v>571</v>
      </c>
      <c r="I40" t="s">
        <v>633</v>
      </c>
      <c r="J40" t="s">
        <v>633</v>
      </c>
      <c r="K40" t="s">
        <v>634</v>
      </c>
      <c r="L40" t="s">
        <v>670</v>
      </c>
      <c r="M40" t="s">
        <v>671</v>
      </c>
      <c r="N40" t="s">
        <v>936</v>
      </c>
      <c r="P40" t="s">
        <v>575</v>
      </c>
      <c r="Q40" t="s">
        <v>620</v>
      </c>
      <c r="R40" t="s">
        <v>952</v>
      </c>
      <c r="S40">
        <v>20180914</v>
      </c>
      <c r="T40" t="s">
        <v>798</v>
      </c>
      <c r="X40">
        <v>6</v>
      </c>
      <c r="Y40">
        <v>63395</v>
      </c>
      <c r="AA40" t="s">
        <v>577</v>
      </c>
      <c r="AB40">
        <v>20190215</v>
      </c>
      <c r="AE40">
        <f t="shared" si="0"/>
        <v>0</v>
      </c>
      <c r="AF40">
        <v>0</v>
      </c>
      <c r="AG40">
        <v>0</v>
      </c>
      <c r="AH40">
        <v>0</v>
      </c>
      <c r="AI40" s="121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</row>
    <row r="41" spans="1:41">
      <c r="A41">
        <v>201903</v>
      </c>
      <c r="B41">
        <v>25</v>
      </c>
      <c r="C41" t="s">
        <v>502</v>
      </c>
      <c r="D41">
        <v>3190472533691</v>
      </c>
      <c r="E41" t="s">
        <v>53</v>
      </c>
      <c r="F41" t="s">
        <v>569</v>
      </c>
      <c r="G41" t="s">
        <v>570</v>
      </c>
      <c r="H41" t="s">
        <v>571</v>
      </c>
      <c r="I41" t="s">
        <v>691</v>
      </c>
      <c r="J41" t="s">
        <v>692</v>
      </c>
      <c r="L41" t="s">
        <v>693</v>
      </c>
      <c r="M41" t="s">
        <v>694</v>
      </c>
      <c r="N41" t="s">
        <v>949</v>
      </c>
      <c r="P41" t="s">
        <v>575</v>
      </c>
      <c r="Q41" t="s">
        <v>620</v>
      </c>
      <c r="R41" t="s">
        <v>1200</v>
      </c>
      <c r="S41">
        <v>20181206</v>
      </c>
      <c r="T41" t="s">
        <v>975</v>
      </c>
      <c r="X41">
        <v>3</v>
      </c>
      <c r="Y41">
        <v>55500</v>
      </c>
      <c r="AA41" t="s">
        <v>577</v>
      </c>
      <c r="AB41">
        <v>20190225</v>
      </c>
      <c r="AE41">
        <f t="shared" si="0"/>
        <v>0</v>
      </c>
      <c r="AF41">
        <v>0</v>
      </c>
      <c r="AG41">
        <v>0</v>
      </c>
      <c r="AH41">
        <v>0</v>
      </c>
      <c r="AI41" s="12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</row>
    <row r="42" spans="1:41">
      <c r="A42">
        <v>201903</v>
      </c>
      <c r="B42">
        <v>25</v>
      </c>
      <c r="C42" t="s">
        <v>502</v>
      </c>
      <c r="D42">
        <v>3190105590901</v>
      </c>
      <c r="E42" t="s">
        <v>53</v>
      </c>
      <c r="F42" t="s">
        <v>569</v>
      </c>
      <c r="G42" t="s">
        <v>570</v>
      </c>
      <c r="H42" t="s">
        <v>571</v>
      </c>
      <c r="I42" t="s">
        <v>1139</v>
      </c>
      <c r="J42" t="s">
        <v>706</v>
      </c>
      <c r="K42" t="s">
        <v>707</v>
      </c>
      <c r="L42" t="s">
        <v>708</v>
      </c>
      <c r="M42" t="s">
        <v>709</v>
      </c>
      <c r="N42" t="s">
        <v>1024</v>
      </c>
      <c r="P42" t="s">
        <v>575</v>
      </c>
      <c r="Q42" t="s">
        <v>620</v>
      </c>
      <c r="R42" t="s">
        <v>1013</v>
      </c>
      <c r="S42">
        <v>20171107</v>
      </c>
      <c r="T42" t="s">
        <v>1233</v>
      </c>
      <c r="V42">
        <v>0</v>
      </c>
      <c r="W42">
        <v>0</v>
      </c>
      <c r="X42">
        <v>14</v>
      </c>
      <c r="Y42">
        <v>70078</v>
      </c>
      <c r="AA42" t="s">
        <v>577</v>
      </c>
      <c r="AB42">
        <v>20190228</v>
      </c>
      <c r="AE42">
        <f t="shared" si="0"/>
        <v>0</v>
      </c>
      <c r="AF42">
        <v>0</v>
      </c>
      <c r="AG42">
        <v>0</v>
      </c>
      <c r="AH42">
        <v>0</v>
      </c>
      <c r="AI42" s="121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</row>
    <row r="43" spans="1:41">
      <c r="A43">
        <v>201903</v>
      </c>
      <c r="B43">
        <v>25</v>
      </c>
      <c r="C43" t="s">
        <v>502</v>
      </c>
      <c r="D43">
        <v>3190031440081</v>
      </c>
      <c r="E43" t="s">
        <v>53</v>
      </c>
      <c r="F43" t="s">
        <v>569</v>
      </c>
      <c r="G43" t="s">
        <v>570</v>
      </c>
      <c r="H43" t="s">
        <v>571</v>
      </c>
      <c r="I43" t="s">
        <v>578</v>
      </c>
      <c r="J43" t="s">
        <v>578</v>
      </c>
      <c r="K43" t="s">
        <v>579</v>
      </c>
      <c r="L43" t="s">
        <v>594</v>
      </c>
      <c r="M43" t="s">
        <v>595</v>
      </c>
      <c r="N43" t="s">
        <v>908</v>
      </c>
      <c r="P43" t="s">
        <v>575</v>
      </c>
      <c r="Q43" t="s">
        <v>620</v>
      </c>
      <c r="R43" t="s">
        <v>917</v>
      </c>
      <c r="S43">
        <v>20160217</v>
      </c>
      <c r="T43" t="s">
        <v>947</v>
      </c>
      <c r="X43">
        <v>37</v>
      </c>
      <c r="Y43">
        <v>48000</v>
      </c>
      <c r="AA43" t="s">
        <v>577</v>
      </c>
      <c r="AB43">
        <v>20190220</v>
      </c>
      <c r="AE43">
        <f t="shared" si="0"/>
        <v>0</v>
      </c>
      <c r="AF43">
        <v>0</v>
      </c>
      <c r="AG43">
        <v>0</v>
      </c>
      <c r="AH43">
        <v>0</v>
      </c>
      <c r="AI43" s="121">
        <v>240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240</v>
      </c>
    </row>
    <row r="44" spans="1:41">
      <c r="A44">
        <v>201903</v>
      </c>
      <c r="B44">
        <v>25</v>
      </c>
      <c r="C44" t="s">
        <v>502</v>
      </c>
      <c r="D44">
        <v>3190392458011</v>
      </c>
      <c r="E44" t="s">
        <v>53</v>
      </c>
      <c r="F44" t="s">
        <v>569</v>
      </c>
      <c r="G44" t="s">
        <v>570</v>
      </c>
      <c r="H44" t="s">
        <v>571</v>
      </c>
      <c r="I44" t="s">
        <v>578</v>
      </c>
      <c r="J44" t="s">
        <v>578</v>
      </c>
      <c r="K44" t="s">
        <v>579</v>
      </c>
      <c r="L44" t="s">
        <v>594</v>
      </c>
      <c r="M44" t="s">
        <v>595</v>
      </c>
      <c r="N44" t="s">
        <v>908</v>
      </c>
      <c r="P44" t="s">
        <v>575</v>
      </c>
      <c r="Q44" t="s">
        <v>620</v>
      </c>
      <c r="R44" t="s">
        <v>1023</v>
      </c>
      <c r="S44">
        <v>20171129</v>
      </c>
      <c r="T44" t="s">
        <v>854</v>
      </c>
      <c r="X44">
        <v>16</v>
      </c>
      <c r="Y44">
        <v>30000</v>
      </c>
      <c r="AA44" t="s">
        <v>577</v>
      </c>
      <c r="AB44">
        <v>20190225</v>
      </c>
      <c r="AE44">
        <f t="shared" si="0"/>
        <v>0</v>
      </c>
      <c r="AF44">
        <v>0</v>
      </c>
      <c r="AG44">
        <v>0</v>
      </c>
      <c r="AH44">
        <v>0</v>
      </c>
      <c r="AI44" s="121">
        <v>150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150</v>
      </c>
    </row>
    <row r="45" spans="1:41">
      <c r="A45">
        <v>201903</v>
      </c>
      <c r="B45">
        <v>25</v>
      </c>
      <c r="C45" t="s">
        <v>502</v>
      </c>
      <c r="D45">
        <v>3190450317701</v>
      </c>
      <c r="E45" t="s">
        <v>53</v>
      </c>
      <c r="F45" t="s">
        <v>569</v>
      </c>
      <c r="G45" t="s">
        <v>570</v>
      </c>
      <c r="H45" t="s">
        <v>571</v>
      </c>
      <c r="I45" t="s">
        <v>646</v>
      </c>
      <c r="L45" t="s">
        <v>677</v>
      </c>
      <c r="M45" t="s">
        <v>678</v>
      </c>
      <c r="N45" t="s">
        <v>938</v>
      </c>
      <c r="P45" t="s">
        <v>575</v>
      </c>
      <c r="Q45" t="s">
        <v>620</v>
      </c>
      <c r="R45" t="s">
        <v>996</v>
      </c>
      <c r="S45">
        <v>20180914</v>
      </c>
      <c r="T45" t="s">
        <v>990</v>
      </c>
      <c r="X45">
        <v>6</v>
      </c>
      <c r="Y45">
        <v>23000</v>
      </c>
      <c r="AA45" t="s">
        <v>577</v>
      </c>
      <c r="AB45">
        <v>20190225</v>
      </c>
      <c r="AE45">
        <f t="shared" si="0"/>
        <v>0</v>
      </c>
      <c r="AF45">
        <v>0</v>
      </c>
      <c r="AG45">
        <v>0</v>
      </c>
      <c r="AH45">
        <v>0</v>
      </c>
      <c r="AI45" s="121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</row>
    <row r="46" spans="1:41">
      <c r="A46">
        <v>201903</v>
      </c>
      <c r="B46">
        <v>25</v>
      </c>
      <c r="C46" t="s">
        <v>502</v>
      </c>
      <c r="D46">
        <v>3190474989151</v>
      </c>
      <c r="E46" t="s">
        <v>53</v>
      </c>
      <c r="F46" t="s">
        <v>569</v>
      </c>
      <c r="G46" t="s">
        <v>570</v>
      </c>
      <c r="H46" t="s">
        <v>571</v>
      </c>
      <c r="I46" t="s">
        <v>633</v>
      </c>
      <c r="L46" t="s">
        <v>641</v>
      </c>
      <c r="M46" t="s">
        <v>642</v>
      </c>
      <c r="N46" t="s">
        <v>921</v>
      </c>
      <c r="P46" t="s">
        <v>575</v>
      </c>
      <c r="Q46" t="s">
        <v>699</v>
      </c>
      <c r="R46" t="s">
        <v>974</v>
      </c>
      <c r="S46">
        <v>20181214</v>
      </c>
      <c r="T46" t="s">
        <v>745</v>
      </c>
      <c r="X46">
        <v>3</v>
      </c>
      <c r="Y46">
        <v>15000</v>
      </c>
      <c r="AA46" t="s">
        <v>577</v>
      </c>
      <c r="AB46">
        <v>20190220</v>
      </c>
      <c r="AE46">
        <f t="shared" si="0"/>
        <v>0</v>
      </c>
      <c r="AF46">
        <v>0</v>
      </c>
      <c r="AG46">
        <v>0</v>
      </c>
      <c r="AH46">
        <v>0</v>
      </c>
      <c r="AI46" s="121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</row>
    <row r="47" spans="1:41">
      <c r="A47">
        <v>201903</v>
      </c>
      <c r="B47">
        <v>25</v>
      </c>
      <c r="C47" t="s">
        <v>502</v>
      </c>
      <c r="D47">
        <v>3190402770171</v>
      </c>
      <c r="E47" t="s">
        <v>53</v>
      </c>
      <c r="F47" t="s">
        <v>569</v>
      </c>
      <c r="G47" t="s">
        <v>570</v>
      </c>
      <c r="H47" t="s">
        <v>571</v>
      </c>
      <c r="I47" t="s">
        <v>674</v>
      </c>
      <c r="L47" t="s">
        <v>491</v>
      </c>
      <c r="M47" t="s">
        <v>490</v>
      </c>
      <c r="N47" t="s">
        <v>907</v>
      </c>
      <c r="P47" t="s">
        <v>575</v>
      </c>
      <c r="Q47" t="s">
        <v>620</v>
      </c>
      <c r="R47" t="s">
        <v>1013</v>
      </c>
      <c r="S47">
        <v>20180124</v>
      </c>
      <c r="T47" t="s">
        <v>789</v>
      </c>
      <c r="X47">
        <v>14</v>
      </c>
      <c r="Y47">
        <v>30000</v>
      </c>
      <c r="AA47" t="s">
        <v>577</v>
      </c>
      <c r="AB47">
        <v>20190220</v>
      </c>
      <c r="AE47">
        <f t="shared" si="0"/>
        <v>0</v>
      </c>
      <c r="AF47">
        <v>0</v>
      </c>
      <c r="AG47">
        <v>0</v>
      </c>
      <c r="AH47">
        <v>0</v>
      </c>
      <c r="AI47" s="121">
        <v>225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225</v>
      </c>
    </row>
    <row r="48" spans="1:41">
      <c r="A48">
        <v>201903</v>
      </c>
      <c r="B48">
        <v>25</v>
      </c>
      <c r="C48" t="s">
        <v>502</v>
      </c>
      <c r="D48">
        <v>3190032763121</v>
      </c>
      <c r="E48" t="s">
        <v>53</v>
      </c>
      <c r="F48" t="s">
        <v>569</v>
      </c>
      <c r="G48" t="s">
        <v>570</v>
      </c>
      <c r="H48" t="s">
        <v>571</v>
      </c>
      <c r="I48" t="s">
        <v>578</v>
      </c>
      <c r="J48" t="s">
        <v>578</v>
      </c>
      <c r="K48" t="s">
        <v>579</v>
      </c>
      <c r="L48" t="s">
        <v>594</v>
      </c>
      <c r="M48" t="s">
        <v>595</v>
      </c>
      <c r="N48" t="s">
        <v>908</v>
      </c>
      <c r="P48" t="s">
        <v>575</v>
      </c>
      <c r="Q48" t="s">
        <v>620</v>
      </c>
      <c r="R48" t="s">
        <v>905</v>
      </c>
      <c r="S48">
        <v>20160229</v>
      </c>
      <c r="T48" t="s">
        <v>790</v>
      </c>
      <c r="X48">
        <v>37</v>
      </c>
      <c r="Y48">
        <v>88000</v>
      </c>
      <c r="AA48" t="s">
        <v>577</v>
      </c>
      <c r="AB48">
        <v>20190220</v>
      </c>
      <c r="AE48">
        <f t="shared" si="0"/>
        <v>0</v>
      </c>
      <c r="AF48">
        <v>0</v>
      </c>
      <c r="AG48">
        <v>0</v>
      </c>
      <c r="AH48">
        <v>0</v>
      </c>
      <c r="AI48" s="121">
        <v>440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440</v>
      </c>
    </row>
    <row r="49" spans="1:41">
      <c r="A49">
        <v>201903</v>
      </c>
      <c r="B49">
        <v>25</v>
      </c>
      <c r="C49" t="s">
        <v>502</v>
      </c>
      <c r="D49">
        <v>3190069613051</v>
      </c>
      <c r="E49" t="s">
        <v>53</v>
      </c>
      <c r="F49" t="s">
        <v>569</v>
      </c>
      <c r="G49" t="s">
        <v>570</v>
      </c>
      <c r="H49" t="s">
        <v>571</v>
      </c>
      <c r="I49" t="s">
        <v>578</v>
      </c>
      <c r="J49" t="s">
        <v>578</v>
      </c>
      <c r="K49" t="s">
        <v>579</v>
      </c>
      <c r="L49" t="s">
        <v>613</v>
      </c>
      <c r="M49" t="s">
        <v>614</v>
      </c>
      <c r="N49" t="s">
        <v>927</v>
      </c>
      <c r="P49" t="s">
        <v>575</v>
      </c>
      <c r="Q49" t="s">
        <v>620</v>
      </c>
      <c r="R49" t="s">
        <v>1019</v>
      </c>
      <c r="S49">
        <v>20170308</v>
      </c>
      <c r="T49" t="s">
        <v>1084</v>
      </c>
      <c r="X49">
        <v>24</v>
      </c>
      <c r="Y49">
        <v>54000</v>
      </c>
      <c r="AA49" t="s">
        <v>577</v>
      </c>
      <c r="AB49">
        <v>20190215</v>
      </c>
      <c r="AE49">
        <f t="shared" si="0"/>
        <v>0</v>
      </c>
      <c r="AF49">
        <v>0</v>
      </c>
      <c r="AG49">
        <v>0</v>
      </c>
      <c r="AH49">
        <v>0</v>
      </c>
      <c r="AI49" s="121">
        <v>270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270</v>
      </c>
    </row>
    <row r="50" spans="1:41">
      <c r="A50">
        <v>201903</v>
      </c>
      <c r="B50">
        <v>25</v>
      </c>
      <c r="C50" t="s">
        <v>502</v>
      </c>
      <c r="D50">
        <v>3190394782491</v>
      </c>
      <c r="E50" t="s">
        <v>53</v>
      </c>
      <c r="F50" t="s">
        <v>569</v>
      </c>
      <c r="G50" t="s">
        <v>570</v>
      </c>
      <c r="H50" t="s">
        <v>571</v>
      </c>
      <c r="I50" t="s">
        <v>578</v>
      </c>
      <c r="J50" t="s">
        <v>578</v>
      </c>
      <c r="K50" t="s">
        <v>579</v>
      </c>
      <c r="L50" t="s">
        <v>594</v>
      </c>
      <c r="M50" t="s">
        <v>595</v>
      </c>
      <c r="N50" t="s">
        <v>908</v>
      </c>
      <c r="P50" t="s">
        <v>575</v>
      </c>
      <c r="Q50" t="s">
        <v>620</v>
      </c>
      <c r="R50" t="s">
        <v>1014</v>
      </c>
      <c r="S50">
        <v>20171211</v>
      </c>
      <c r="T50" t="s">
        <v>1079</v>
      </c>
      <c r="X50">
        <v>15</v>
      </c>
      <c r="Y50">
        <v>34649</v>
      </c>
      <c r="AA50" t="s">
        <v>577</v>
      </c>
      <c r="AB50">
        <v>20190215</v>
      </c>
      <c r="AE50">
        <f t="shared" si="0"/>
        <v>0</v>
      </c>
      <c r="AF50">
        <v>0</v>
      </c>
      <c r="AG50">
        <v>0</v>
      </c>
      <c r="AH50">
        <v>0</v>
      </c>
      <c r="AI50" s="121">
        <v>173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173</v>
      </c>
    </row>
    <row r="51" spans="1:41">
      <c r="A51">
        <v>201903</v>
      </c>
      <c r="B51">
        <v>25</v>
      </c>
      <c r="C51" t="s">
        <v>502</v>
      </c>
      <c r="D51">
        <v>3190397062141</v>
      </c>
      <c r="E51" t="s">
        <v>53</v>
      </c>
      <c r="F51" t="s">
        <v>569</v>
      </c>
      <c r="G51" t="s">
        <v>570</v>
      </c>
      <c r="H51" t="s">
        <v>571</v>
      </c>
      <c r="I51" t="s">
        <v>621</v>
      </c>
      <c r="J51" t="s">
        <v>621</v>
      </c>
      <c r="K51" t="s">
        <v>622</v>
      </c>
      <c r="L51" t="s">
        <v>664</v>
      </c>
      <c r="M51" t="s">
        <v>665</v>
      </c>
      <c r="N51" t="s">
        <v>939</v>
      </c>
      <c r="P51" t="s">
        <v>575</v>
      </c>
      <c r="Q51" t="s">
        <v>620</v>
      </c>
      <c r="R51" t="s">
        <v>1013</v>
      </c>
      <c r="S51">
        <v>20171227</v>
      </c>
      <c r="T51" t="s">
        <v>1117</v>
      </c>
      <c r="X51">
        <v>15</v>
      </c>
      <c r="Y51">
        <v>30000</v>
      </c>
      <c r="AA51" t="s">
        <v>577</v>
      </c>
      <c r="AB51">
        <v>20190225</v>
      </c>
      <c r="AE51">
        <f t="shared" si="0"/>
        <v>0</v>
      </c>
      <c r="AF51">
        <v>0</v>
      </c>
      <c r="AG51">
        <v>0</v>
      </c>
      <c r="AH51">
        <v>0</v>
      </c>
      <c r="AI51" s="121">
        <v>225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225</v>
      </c>
    </row>
    <row r="52" spans="1:41">
      <c r="A52">
        <v>201903</v>
      </c>
      <c r="B52">
        <v>25</v>
      </c>
      <c r="C52" t="s">
        <v>502</v>
      </c>
      <c r="D52">
        <v>3190452157601</v>
      </c>
      <c r="E52" t="s">
        <v>53</v>
      </c>
      <c r="F52" t="s">
        <v>569</v>
      </c>
      <c r="G52" t="s">
        <v>570</v>
      </c>
      <c r="H52" t="s">
        <v>571</v>
      </c>
      <c r="I52" t="s">
        <v>621</v>
      </c>
      <c r="J52" t="s">
        <v>621</v>
      </c>
      <c r="K52" t="s">
        <v>622</v>
      </c>
      <c r="L52" t="s">
        <v>664</v>
      </c>
      <c r="M52" t="s">
        <v>665</v>
      </c>
      <c r="N52" t="s">
        <v>939</v>
      </c>
      <c r="P52" t="s">
        <v>575</v>
      </c>
      <c r="Q52" t="s">
        <v>620</v>
      </c>
      <c r="R52" t="s">
        <v>952</v>
      </c>
      <c r="S52">
        <v>20180921</v>
      </c>
      <c r="T52" t="s">
        <v>794</v>
      </c>
      <c r="X52">
        <v>5</v>
      </c>
      <c r="Y52">
        <v>51099</v>
      </c>
      <c r="AA52" t="s">
        <v>577</v>
      </c>
      <c r="AB52">
        <v>20190227</v>
      </c>
      <c r="AE52">
        <f t="shared" si="0"/>
        <v>0</v>
      </c>
      <c r="AF52">
        <v>0</v>
      </c>
      <c r="AG52">
        <v>0</v>
      </c>
      <c r="AH52">
        <v>0</v>
      </c>
      <c r="AI52" s="121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</row>
    <row r="53" spans="1:41">
      <c r="A53">
        <v>201903</v>
      </c>
      <c r="B53">
        <v>25</v>
      </c>
      <c r="C53" t="s">
        <v>502</v>
      </c>
      <c r="D53">
        <v>3190443858421</v>
      </c>
      <c r="E53" t="s">
        <v>53</v>
      </c>
      <c r="F53" t="s">
        <v>569</v>
      </c>
      <c r="G53" t="s">
        <v>570</v>
      </c>
      <c r="H53" t="s">
        <v>571</v>
      </c>
      <c r="I53" t="s">
        <v>674</v>
      </c>
      <c r="L53" t="s">
        <v>491</v>
      </c>
      <c r="M53" t="s">
        <v>490</v>
      </c>
      <c r="N53" t="s">
        <v>907</v>
      </c>
      <c r="P53" t="s">
        <v>575</v>
      </c>
      <c r="Q53" t="s">
        <v>620</v>
      </c>
      <c r="R53" t="s">
        <v>952</v>
      </c>
      <c r="S53">
        <v>20180823</v>
      </c>
      <c r="T53" t="s">
        <v>801</v>
      </c>
      <c r="X53">
        <v>7</v>
      </c>
      <c r="Y53">
        <v>28023</v>
      </c>
      <c r="AA53" t="s">
        <v>577</v>
      </c>
      <c r="AB53">
        <v>20190225</v>
      </c>
      <c r="AE53">
        <f t="shared" si="0"/>
        <v>23146</v>
      </c>
      <c r="AF53">
        <v>0</v>
      </c>
      <c r="AG53">
        <v>23146</v>
      </c>
      <c r="AH53">
        <v>0</v>
      </c>
      <c r="AI53" s="121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23146</v>
      </c>
    </row>
    <row r="54" spans="1:41">
      <c r="A54">
        <v>201903</v>
      </c>
      <c r="B54">
        <v>25</v>
      </c>
      <c r="C54" t="s">
        <v>502</v>
      </c>
      <c r="D54">
        <v>3190034346591</v>
      </c>
      <c r="E54" t="s">
        <v>53</v>
      </c>
      <c r="F54" t="s">
        <v>569</v>
      </c>
      <c r="G54" t="s">
        <v>570</v>
      </c>
      <c r="H54" t="s">
        <v>571</v>
      </c>
      <c r="I54" t="s">
        <v>621</v>
      </c>
      <c r="J54" t="s">
        <v>621</v>
      </c>
      <c r="K54" t="s">
        <v>622</v>
      </c>
      <c r="L54" t="s">
        <v>625</v>
      </c>
      <c r="M54" t="s">
        <v>626</v>
      </c>
      <c r="N54" t="s">
        <v>929</v>
      </c>
      <c r="P54" t="s">
        <v>575</v>
      </c>
      <c r="Q54" t="s">
        <v>620</v>
      </c>
      <c r="R54" t="s">
        <v>905</v>
      </c>
      <c r="S54">
        <v>20160322</v>
      </c>
      <c r="T54" t="s">
        <v>781</v>
      </c>
      <c r="X54">
        <v>36</v>
      </c>
      <c r="Y54">
        <v>33803</v>
      </c>
      <c r="AA54" t="s">
        <v>577</v>
      </c>
      <c r="AB54">
        <v>20190225</v>
      </c>
      <c r="AE54">
        <f t="shared" si="0"/>
        <v>0</v>
      </c>
      <c r="AF54">
        <v>0</v>
      </c>
      <c r="AG54">
        <v>0</v>
      </c>
      <c r="AH54">
        <v>0</v>
      </c>
      <c r="AI54" s="121">
        <v>169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169</v>
      </c>
    </row>
    <row r="55" spans="1:41">
      <c r="A55">
        <v>201903</v>
      </c>
      <c r="B55">
        <v>25</v>
      </c>
      <c r="C55" t="s">
        <v>502</v>
      </c>
      <c r="D55">
        <v>3190070773401</v>
      </c>
      <c r="E55" t="s">
        <v>53</v>
      </c>
      <c r="F55" t="s">
        <v>569</v>
      </c>
      <c r="G55" t="s">
        <v>570</v>
      </c>
      <c r="H55" t="s">
        <v>571</v>
      </c>
      <c r="I55" t="s">
        <v>578</v>
      </c>
      <c r="J55" t="s">
        <v>578</v>
      </c>
      <c r="K55" t="s">
        <v>579</v>
      </c>
      <c r="L55" t="s">
        <v>741</v>
      </c>
      <c r="M55" t="s">
        <v>710</v>
      </c>
      <c r="N55" t="s">
        <v>913</v>
      </c>
      <c r="P55" t="s">
        <v>575</v>
      </c>
      <c r="Q55" t="s">
        <v>620</v>
      </c>
      <c r="R55" t="s">
        <v>1011</v>
      </c>
      <c r="S55">
        <v>20170310</v>
      </c>
      <c r="T55" t="s">
        <v>1102</v>
      </c>
      <c r="X55">
        <v>24</v>
      </c>
      <c r="Y55">
        <v>64000</v>
      </c>
      <c r="AA55" t="s">
        <v>577</v>
      </c>
      <c r="AB55">
        <v>20190215</v>
      </c>
      <c r="AE55">
        <f t="shared" si="0"/>
        <v>0</v>
      </c>
      <c r="AF55">
        <v>0</v>
      </c>
      <c r="AG55">
        <v>0</v>
      </c>
      <c r="AH55">
        <v>0</v>
      </c>
      <c r="AI55" s="121">
        <v>480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480</v>
      </c>
    </row>
    <row r="56" spans="1:41">
      <c r="A56">
        <v>201903</v>
      </c>
      <c r="B56">
        <v>25</v>
      </c>
      <c r="C56" t="s">
        <v>502</v>
      </c>
      <c r="D56">
        <v>3190453699561</v>
      </c>
      <c r="E56" t="s">
        <v>53</v>
      </c>
      <c r="F56" t="s">
        <v>569</v>
      </c>
      <c r="G56" t="s">
        <v>570</v>
      </c>
      <c r="H56" t="s">
        <v>571</v>
      </c>
      <c r="I56" t="s">
        <v>1140</v>
      </c>
      <c r="L56" t="s">
        <v>647</v>
      </c>
      <c r="M56" t="s">
        <v>648</v>
      </c>
      <c r="N56" t="s">
        <v>960</v>
      </c>
      <c r="P56" t="s">
        <v>575</v>
      </c>
      <c r="Q56" t="s">
        <v>620</v>
      </c>
      <c r="R56" t="s">
        <v>961</v>
      </c>
      <c r="S56">
        <v>20181002</v>
      </c>
      <c r="T56" t="s">
        <v>965</v>
      </c>
      <c r="V56">
        <v>0</v>
      </c>
      <c r="W56">
        <v>0</v>
      </c>
      <c r="X56">
        <v>5</v>
      </c>
      <c r="Y56">
        <v>28000</v>
      </c>
      <c r="AA56" t="s">
        <v>577</v>
      </c>
      <c r="AB56">
        <v>20190215</v>
      </c>
      <c r="AE56">
        <f t="shared" si="0"/>
        <v>0</v>
      </c>
      <c r="AF56">
        <v>0</v>
      </c>
      <c r="AG56">
        <v>0</v>
      </c>
      <c r="AH56">
        <v>0</v>
      </c>
      <c r="AI56" s="121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</row>
    <row r="57" spans="1:41">
      <c r="A57">
        <v>201903</v>
      </c>
      <c r="B57">
        <v>25</v>
      </c>
      <c r="C57" t="s">
        <v>502</v>
      </c>
      <c r="D57">
        <v>3190477418261</v>
      </c>
      <c r="E57" t="s">
        <v>53</v>
      </c>
      <c r="F57" t="s">
        <v>569</v>
      </c>
      <c r="G57" t="s">
        <v>570</v>
      </c>
      <c r="H57" t="s">
        <v>571</v>
      </c>
      <c r="I57" t="s">
        <v>633</v>
      </c>
      <c r="J57" t="s">
        <v>633</v>
      </c>
      <c r="K57" t="s">
        <v>634</v>
      </c>
      <c r="L57" t="s">
        <v>651</v>
      </c>
      <c r="M57" t="s">
        <v>652</v>
      </c>
      <c r="N57" t="s">
        <v>946</v>
      </c>
      <c r="P57" t="s">
        <v>575</v>
      </c>
      <c r="Q57" t="s">
        <v>620</v>
      </c>
      <c r="R57" t="s">
        <v>968</v>
      </c>
      <c r="S57">
        <v>20181227</v>
      </c>
      <c r="T57" t="s">
        <v>834</v>
      </c>
      <c r="X57">
        <v>3</v>
      </c>
      <c r="Y57">
        <v>40000</v>
      </c>
      <c r="AA57" t="s">
        <v>577</v>
      </c>
      <c r="AB57">
        <v>20190208</v>
      </c>
      <c r="AE57">
        <f t="shared" si="0"/>
        <v>0</v>
      </c>
      <c r="AF57">
        <v>0</v>
      </c>
      <c r="AG57">
        <v>0</v>
      </c>
      <c r="AH57">
        <v>0</v>
      </c>
      <c r="AI57" s="121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</row>
    <row r="58" spans="1:41">
      <c r="A58">
        <v>201903</v>
      </c>
      <c r="B58">
        <v>25</v>
      </c>
      <c r="C58" t="s">
        <v>502</v>
      </c>
      <c r="D58">
        <v>3190035282841</v>
      </c>
      <c r="E58" t="s">
        <v>53</v>
      </c>
      <c r="F58" t="s">
        <v>569</v>
      </c>
      <c r="G58" t="s">
        <v>570</v>
      </c>
      <c r="H58" t="s">
        <v>571</v>
      </c>
      <c r="I58" t="s">
        <v>578</v>
      </c>
      <c r="J58" t="s">
        <v>578</v>
      </c>
      <c r="K58" t="s">
        <v>579</v>
      </c>
      <c r="L58" t="s">
        <v>586</v>
      </c>
      <c r="M58" t="s">
        <v>587</v>
      </c>
      <c r="N58" t="s">
        <v>1198</v>
      </c>
      <c r="P58" t="s">
        <v>575</v>
      </c>
      <c r="Q58" t="s">
        <v>620</v>
      </c>
      <c r="R58" t="s">
        <v>905</v>
      </c>
      <c r="S58">
        <v>20160322</v>
      </c>
      <c r="T58" t="s">
        <v>862</v>
      </c>
      <c r="X58">
        <v>36</v>
      </c>
      <c r="Y58">
        <v>45000</v>
      </c>
      <c r="AA58" t="s">
        <v>577</v>
      </c>
      <c r="AB58">
        <v>20190225</v>
      </c>
      <c r="AE58">
        <f t="shared" si="0"/>
        <v>0</v>
      </c>
      <c r="AF58">
        <v>0</v>
      </c>
      <c r="AG58">
        <v>0</v>
      </c>
      <c r="AH58">
        <v>0</v>
      </c>
      <c r="AI58" s="121">
        <v>225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225</v>
      </c>
    </row>
    <row r="59" spans="1:41">
      <c r="A59">
        <v>201903</v>
      </c>
      <c r="B59">
        <v>25</v>
      </c>
      <c r="C59" t="s">
        <v>502</v>
      </c>
      <c r="D59">
        <v>3190072124911</v>
      </c>
      <c r="E59" t="s">
        <v>53</v>
      </c>
      <c r="F59" t="s">
        <v>569</v>
      </c>
      <c r="G59" t="s">
        <v>570</v>
      </c>
      <c r="H59" t="s">
        <v>571</v>
      </c>
      <c r="I59" t="s">
        <v>578</v>
      </c>
      <c r="J59" t="s">
        <v>578</v>
      </c>
      <c r="K59" t="s">
        <v>579</v>
      </c>
      <c r="L59" t="s">
        <v>615</v>
      </c>
      <c r="M59" t="s">
        <v>616</v>
      </c>
      <c r="N59" t="s">
        <v>919</v>
      </c>
      <c r="P59" t="s">
        <v>575</v>
      </c>
      <c r="Q59" t="s">
        <v>620</v>
      </c>
      <c r="R59" t="s">
        <v>1019</v>
      </c>
      <c r="S59">
        <v>20170327</v>
      </c>
      <c r="T59" t="s">
        <v>838</v>
      </c>
      <c r="X59">
        <v>24</v>
      </c>
      <c r="Y59">
        <v>21000</v>
      </c>
      <c r="AA59" t="s">
        <v>577</v>
      </c>
      <c r="AB59">
        <v>20190215</v>
      </c>
      <c r="AE59">
        <f t="shared" si="0"/>
        <v>0</v>
      </c>
      <c r="AF59">
        <v>0</v>
      </c>
      <c r="AG59">
        <v>0</v>
      </c>
      <c r="AH59">
        <v>0</v>
      </c>
      <c r="AI59" s="121">
        <v>105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105</v>
      </c>
    </row>
    <row r="60" spans="1:41">
      <c r="A60">
        <v>201903</v>
      </c>
      <c r="B60">
        <v>25</v>
      </c>
      <c r="C60" t="s">
        <v>502</v>
      </c>
      <c r="D60">
        <v>3190073081881</v>
      </c>
      <c r="E60" t="s">
        <v>53</v>
      </c>
      <c r="F60" t="s">
        <v>569</v>
      </c>
      <c r="G60" t="s">
        <v>570</v>
      </c>
      <c r="H60" t="s">
        <v>571</v>
      </c>
      <c r="I60" t="s">
        <v>674</v>
      </c>
      <c r="J60" t="s">
        <v>674</v>
      </c>
      <c r="K60" t="s">
        <v>675</v>
      </c>
      <c r="L60" t="s">
        <v>489</v>
      </c>
      <c r="M60" t="s">
        <v>488</v>
      </c>
      <c r="N60" t="s">
        <v>902</v>
      </c>
      <c r="P60" t="s">
        <v>575</v>
      </c>
      <c r="Q60" t="s">
        <v>620</v>
      </c>
      <c r="R60" t="s">
        <v>1011</v>
      </c>
      <c r="S60">
        <v>20170322</v>
      </c>
      <c r="T60" t="s">
        <v>801</v>
      </c>
      <c r="X60">
        <v>24</v>
      </c>
      <c r="Y60">
        <v>41360</v>
      </c>
      <c r="AA60" t="s">
        <v>577</v>
      </c>
      <c r="AB60">
        <v>20190225</v>
      </c>
      <c r="AE60">
        <f t="shared" si="0"/>
        <v>0</v>
      </c>
      <c r="AF60">
        <v>0</v>
      </c>
      <c r="AG60">
        <v>0</v>
      </c>
      <c r="AH60">
        <v>0</v>
      </c>
      <c r="AI60" s="121">
        <v>310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310</v>
      </c>
    </row>
    <row r="61" spans="1:41">
      <c r="A61">
        <v>201903</v>
      </c>
      <c r="B61">
        <v>25</v>
      </c>
      <c r="C61" t="s">
        <v>502</v>
      </c>
      <c r="D61">
        <v>3190401172411</v>
      </c>
      <c r="E61" t="s">
        <v>53</v>
      </c>
      <c r="F61" t="s">
        <v>569</v>
      </c>
      <c r="G61" t="s">
        <v>570</v>
      </c>
      <c r="H61" t="s">
        <v>571</v>
      </c>
      <c r="I61" t="s">
        <v>633</v>
      </c>
      <c r="L61" t="s">
        <v>641</v>
      </c>
      <c r="M61" t="s">
        <v>642</v>
      </c>
      <c r="N61" t="s">
        <v>921</v>
      </c>
      <c r="P61" t="s">
        <v>575</v>
      </c>
      <c r="Q61" t="s">
        <v>620</v>
      </c>
      <c r="R61" t="s">
        <v>1013</v>
      </c>
      <c r="S61">
        <v>20180115</v>
      </c>
      <c r="T61" t="s">
        <v>1066</v>
      </c>
      <c r="X61">
        <v>12</v>
      </c>
      <c r="Y61">
        <v>55000</v>
      </c>
      <c r="AA61" t="s">
        <v>577</v>
      </c>
      <c r="AB61">
        <v>20190228</v>
      </c>
      <c r="AE61">
        <f t="shared" si="0"/>
        <v>0</v>
      </c>
      <c r="AF61">
        <v>0</v>
      </c>
      <c r="AG61">
        <v>0</v>
      </c>
      <c r="AH61">
        <v>0</v>
      </c>
      <c r="AI61" s="12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</row>
    <row r="62" spans="1:41">
      <c r="A62">
        <v>201903</v>
      </c>
      <c r="B62">
        <v>25</v>
      </c>
      <c r="C62" t="s">
        <v>502</v>
      </c>
      <c r="D62">
        <v>3190401760621</v>
      </c>
      <c r="E62" t="s">
        <v>53</v>
      </c>
      <c r="F62" t="s">
        <v>569</v>
      </c>
      <c r="G62" t="s">
        <v>570</v>
      </c>
      <c r="H62" t="s">
        <v>571</v>
      </c>
      <c r="I62" t="s">
        <v>578</v>
      </c>
      <c r="J62" t="s">
        <v>578</v>
      </c>
      <c r="K62" t="s">
        <v>579</v>
      </c>
      <c r="L62" t="s">
        <v>741</v>
      </c>
      <c r="M62" t="s">
        <v>710</v>
      </c>
      <c r="N62" t="s">
        <v>913</v>
      </c>
      <c r="P62" t="s">
        <v>575</v>
      </c>
      <c r="Q62" t="s">
        <v>620</v>
      </c>
      <c r="R62" t="s">
        <v>1014</v>
      </c>
      <c r="S62">
        <v>20180122</v>
      </c>
      <c r="T62" t="s">
        <v>805</v>
      </c>
      <c r="X62">
        <v>14</v>
      </c>
      <c r="Y62">
        <v>54000</v>
      </c>
      <c r="AA62" t="s">
        <v>577</v>
      </c>
      <c r="AB62">
        <v>20190225</v>
      </c>
      <c r="AE62">
        <f t="shared" si="0"/>
        <v>0</v>
      </c>
      <c r="AF62">
        <v>0</v>
      </c>
      <c r="AG62">
        <v>0</v>
      </c>
      <c r="AH62">
        <v>0</v>
      </c>
      <c r="AI62" s="121">
        <v>270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270</v>
      </c>
    </row>
    <row r="63" spans="1:41">
      <c r="A63">
        <v>201903</v>
      </c>
      <c r="B63">
        <v>25</v>
      </c>
      <c r="C63" t="s">
        <v>502</v>
      </c>
      <c r="D63">
        <v>3190479742461</v>
      </c>
      <c r="E63" t="s">
        <v>53</v>
      </c>
      <c r="F63" t="s">
        <v>569</v>
      </c>
      <c r="G63" t="s">
        <v>570</v>
      </c>
      <c r="H63" t="s">
        <v>571</v>
      </c>
      <c r="I63" t="s">
        <v>633</v>
      </c>
      <c r="J63" t="s">
        <v>633</v>
      </c>
      <c r="K63" t="s">
        <v>634</v>
      </c>
      <c r="L63" t="s">
        <v>651</v>
      </c>
      <c r="M63" t="s">
        <v>652</v>
      </c>
      <c r="N63" t="s">
        <v>946</v>
      </c>
      <c r="P63" t="s">
        <v>575</v>
      </c>
      <c r="Q63" t="s">
        <v>620</v>
      </c>
      <c r="R63" t="s">
        <v>957</v>
      </c>
      <c r="S63">
        <v>20190109</v>
      </c>
      <c r="T63" t="s">
        <v>783</v>
      </c>
      <c r="X63">
        <v>2</v>
      </c>
      <c r="Y63">
        <v>75036</v>
      </c>
      <c r="AA63" t="s">
        <v>577</v>
      </c>
      <c r="AB63">
        <v>20190225</v>
      </c>
      <c r="AE63">
        <f t="shared" si="0"/>
        <v>0</v>
      </c>
      <c r="AF63">
        <v>0</v>
      </c>
      <c r="AG63">
        <v>0</v>
      </c>
      <c r="AH63">
        <v>0</v>
      </c>
      <c r="AI63" s="121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</row>
    <row r="64" spans="1:41">
      <c r="A64">
        <v>201903</v>
      </c>
      <c r="B64">
        <v>25</v>
      </c>
      <c r="C64" t="s">
        <v>502</v>
      </c>
      <c r="D64">
        <v>3190403877431</v>
      </c>
      <c r="E64" t="s">
        <v>53</v>
      </c>
      <c r="F64" t="s">
        <v>569</v>
      </c>
      <c r="G64" t="s">
        <v>570</v>
      </c>
      <c r="H64" t="s">
        <v>571</v>
      </c>
      <c r="I64" t="s">
        <v>578</v>
      </c>
      <c r="J64" t="s">
        <v>578</v>
      </c>
      <c r="K64" t="s">
        <v>579</v>
      </c>
      <c r="L64" t="s">
        <v>594</v>
      </c>
      <c r="M64" t="s">
        <v>595</v>
      </c>
      <c r="N64" t="s">
        <v>908</v>
      </c>
      <c r="P64" t="s">
        <v>575</v>
      </c>
      <c r="Q64" t="s">
        <v>699</v>
      </c>
      <c r="R64" t="s">
        <v>1089</v>
      </c>
      <c r="S64">
        <v>20180126</v>
      </c>
      <c r="T64" t="s">
        <v>1090</v>
      </c>
      <c r="X64">
        <v>14</v>
      </c>
      <c r="Y64">
        <v>50000</v>
      </c>
      <c r="AA64" t="s">
        <v>577</v>
      </c>
      <c r="AB64">
        <v>20190228</v>
      </c>
      <c r="AE64">
        <f t="shared" si="0"/>
        <v>0</v>
      </c>
      <c r="AF64">
        <v>0</v>
      </c>
      <c r="AG64">
        <v>0</v>
      </c>
      <c r="AH64">
        <v>0</v>
      </c>
      <c r="AI64" s="121">
        <v>250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250</v>
      </c>
    </row>
    <row r="65" spans="1:41">
      <c r="A65">
        <v>201903</v>
      </c>
      <c r="B65">
        <v>25</v>
      </c>
      <c r="C65" t="s">
        <v>502</v>
      </c>
      <c r="D65">
        <v>3190404755891</v>
      </c>
      <c r="E65" t="s">
        <v>53</v>
      </c>
      <c r="F65" t="s">
        <v>569</v>
      </c>
      <c r="G65" t="s">
        <v>570</v>
      </c>
      <c r="H65" t="s">
        <v>571</v>
      </c>
      <c r="I65" t="s">
        <v>646</v>
      </c>
      <c r="J65" t="s">
        <v>1137</v>
      </c>
      <c r="L65" t="s">
        <v>668</v>
      </c>
      <c r="M65" t="s">
        <v>669</v>
      </c>
      <c r="N65" t="s">
        <v>994</v>
      </c>
      <c r="P65" t="s">
        <v>575</v>
      </c>
      <c r="Q65" t="s">
        <v>699</v>
      </c>
      <c r="R65" t="s">
        <v>1122</v>
      </c>
      <c r="S65">
        <v>20180131</v>
      </c>
      <c r="T65" t="s">
        <v>1123</v>
      </c>
      <c r="X65">
        <v>14</v>
      </c>
      <c r="Y65">
        <v>54700</v>
      </c>
      <c r="AA65" t="s">
        <v>577</v>
      </c>
      <c r="AB65">
        <v>20190211</v>
      </c>
      <c r="AE65">
        <f t="shared" si="0"/>
        <v>0</v>
      </c>
      <c r="AF65">
        <v>0</v>
      </c>
      <c r="AG65">
        <v>0</v>
      </c>
      <c r="AH65">
        <v>0</v>
      </c>
      <c r="AI65" s="121">
        <v>273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273</v>
      </c>
    </row>
    <row r="66" spans="1:41">
      <c r="A66">
        <v>201903</v>
      </c>
      <c r="B66">
        <v>25</v>
      </c>
      <c r="C66" t="s">
        <v>502</v>
      </c>
      <c r="D66">
        <v>3190456489151</v>
      </c>
      <c r="E66" t="s">
        <v>53</v>
      </c>
      <c r="F66" t="s">
        <v>569</v>
      </c>
      <c r="G66" t="s">
        <v>570</v>
      </c>
      <c r="H66" t="s">
        <v>571</v>
      </c>
      <c r="I66" t="s">
        <v>728</v>
      </c>
      <c r="J66" t="s">
        <v>728</v>
      </c>
      <c r="K66" t="s">
        <v>1141</v>
      </c>
      <c r="L66" t="s">
        <v>732</v>
      </c>
      <c r="M66" t="s">
        <v>733</v>
      </c>
      <c r="N66" t="s">
        <v>1207</v>
      </c>
      <c r="P66" t="s">
        <v>575</v>
      </c>
      <c r="Q66" t="s">
        <v>540</v>
      </c>
      <c r="R66" t="s">
        <v>955</v>
      </c>
      <c r="S66">
        <v>20181017</v>
      </c>
      <c r="T66" t="s">
        <v>826</v>
      </c>
      <c r="X66">
        <v>5</v>
      </c>
      <c r="Y66">
        <v>15716</v>
      </c>
      <c r="AA66" t="s">
        <v>577</v>
      </c>
      <c r="AB66">
        <v>20190211</v>
      </c>
      <c r="AE66">
        <f t="shared" si="0"/>
        <v>0</v>
      </c>
      <c r="AF66">
        <v>0</v>
      </c>
      <c r="AG66">
        <v>0</v>
      </c>
      <c r="AH66">
        <v>0</v>
      </c>
      <c r="AI66" s="121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</row>
    <row r="67" spans="1:41">
      <c r="A67">
        <v>201903</v>
      </c>
      <c r="B67">
        <v>25</v>
      </c>
      <c r="C67" t="s">
        <v>502</v>
      </c>
      <c r="D67">
        <v>3190467587811</v>
      </c>
      <c r="E67" t="s">
        <v>53</v>
      </c>
      <c r="F67" t="s">
        <v>569</v>
      </c>
      <c r="G67" t="s">
        <v>570</v>
      </c>
      <c r="H67" t="s">
        <v>571</v>
      </c>
      <c r="I67" t="s">
        <v>1140</v>
      </c>
      <c r="L67" t="s">
        <v>647</v>
      </c>
      <c r="M67" t="s">
        <v>648</v>
      </c>
      <c r="N67" t="s">
        <v>960</v>
      </c>
      <c r="P67" t="s">
        <v>575</v>
      </c>
      <c r="Q67" t="s">
        <v>620</v>
      </c>
      <c r="R67" t="s">
        <v>1200</v>
      </c>
      <c r="S67">
        <v>20181126</v>
      </c>
      <c r="T67" t="s">
        <v>991</v>
      </c>
      <c r="V67">
        <v>0</v>
      </c>
      <c r="W67">
        <v>0</v>
      </c>
      <c r="X67">
        <v>4</v>
      </c>
      <c r="Y67">
        <v>59200</v>
      </c>
      <c r="AA67" t="s">
        <v>577</v>
      </c>
      <c r="AB67">
        <v>20190220</v>
      </c>
      <c r="AE67">
        <f t="shared" ref="AE67:AE130" si="1">AO67-AI67</f>
        <v>0</v>
      </c>
      <c r="AF67">
        <v>0</v>
      </c>
      <c r="AG67">
        <v>0</v>
      </c>
      <c r="AH67">
        <v>0</v>
      </c>
      <c r="AI67" s="121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</row>
    <row r="68" spans="1:41">
      <c r="A68">
        <v>201903</v>
      </c>
      <c r="B68">
        <v>25</v>
      </c>
      <c r="C68" t="s">
        <v>502</v>
      </c>
      <c r="D68">
        <v>3190083393911</v>
      </c>
      <c r="E68" t="s">
        <v>53</v>
      </c>
      <c r="F68" t="s">
        <v>569</v>
      </c>
      <c r="G68" t="s">
        <v>570</v>
      </c>
      <c r="H68" t="s">
        <v>571</v>
      </c>
      <c r="I68" t="s">
        <v>646</v>
      </c>
      <c r="L68" t="s">
        <v>677</v>
      </c>
      <c r="M68" t="s">
        <v>678</v>
      </c>
      <c r="N68" t="s">
        <v>938</v>
      </c>
      <c r="P68" t="s">
        <v>575</v>
      </c>
      <c r="Q68" t="s">
        <v>620</v>
      </c>
      <c r="R68" t="s">
        <v>1013</v>
      </c>
      <c r="S68">
        <v>20170607</v>
      </c>
      <c r="T68" t="s">
        <v>833</v>
      </c>
      <c r="V68">
        <v>0</v>
      </c>
      <c r="W68">
        <v>0</v>
      </c>
      <c r="X68">
        <v>21</v>
      </c>
      <c r="Y68">
        <v>60320</v>
      </c>
      <c r="AA68" t="s">
        <v>577</v>
      </c>
      <c r="AB68">
        <v>20190211</v>
      </c>
      <c r="AE68">
        <f t="shared" si="1"/>
        <v>0</v>
      </c>
      <c r="AF68">
        <v>0</v>
      </c>
      <c r="AG68">
        <v>0</v>
      </c>
      <c r="AH68">
        <v>0</v>
      </c>
      <c r="AI68" s="121">
        <v>452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452</v>
      </c>
    </row>
    <row r="69" spans="1:41">
      <c r="A69">
        <v>201903</v>
      </c>
      <c r="B69">
        <v>25</v>
      </c>
      <c r="C69" t="s">
        <v>502</v>
      </c>
      <c r="D69">
        <v>3190084355961</v>
      </c>
      <c r="E69" t="s">
        <v>53</v>
      </c>
      <c r="F69" t="s">
        <v>569</v>
      </c>
      <c r="G69" t="s">
        <v>570</v>
      </c>
      <c r="H69" t="s">
        <v>571</v>
      </c>
      <c r="I69" t="s">
        <v>674</v>
      </c>
      <c r="L69" t="s">
        <v>491</v>
      </c>
      <c r="M69" t="s">
        <v>490</v>
      </c>
      <c r="N69" t="s">
        <v>907</v>
      </c>
      <c r="P69" t="s">
        <v>575</v>
      </c>
      <c r="Q69" t="s">
        <v>620</v>
      </c>
      <c r="R69" t="s">
        <v>1013</v>
      </c>
      <c r="S69">
        <v>20170609</v>
      </c>
      <c r="T69" t="s">
        <v>1116</v>
      </c>
      <c r="X69">
        <v>21</v>
      </c>
      <c r="Y69">
        <v>43000</v>
      </c>
      <c r="AA69" t="s">
        <v>577</v>
      </c>
      <c r="AB69">
        <v>20190228</v>
      </c>
      <c r="AE69">
        <f t="shared" si="1"/>
        <v>0</v>
      </c>
      <c r="AF69">
        <v>0</v>
      </c>
      <c r="AG69">
        <v>0</v>
      </c>
      <c r="AH69">
        <v>0</v>
      </c>
      <c r="AI69" s="121">
        <v>322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322</v>
      </c>
    </row>
    <row r="70" spans="1:41">
      <c r="A70">
        <v>201903</v>
      </c>
      <c r="B70">
        <v>25</v>
      </c>
      <c r="C70" t="s">
        <v>502</v>
      </c>
      <c r="D70">
        <v>3190408113891</v>
      </c>
      <c r="E70" t="s">
        <v>53</v>
      </c>
      <c r="F70" t="s">
        <v>569</v>
      </c>
      <c r="G70" t="s">
        <v>570</v>
      </c>
      <c r="H70" t="s">
        <v>571</v>
      </c>
      <c r="I70" t="s">
        <v>578</v>
      </c>
      <c r="J70" t="s">
        <v>578</v>
      </c>
      <c r="K70" t="s">
        <v>579</v>
      </c>
      <c r="L70" t="s">
        <v>611</v>
      </c>
      <c r="M70" t="s">
        <v>612</v>
      </c>
      <c r="N70" t="s">
        <v>979</v>
      </c>
      <c r="P70" t="s">
        <v>575</v>
      </c>
      <c r="Q70" t="s">
        <v>620</v>
      </c>
      <c r="R70" t="s">
        <v>1014</v>
      </c>
      <c r="S70">
        <v>20180221</v>
      </c>
      <c r="T70" t="s">
        <v>822</v>
      </c>
      <c r="X70">
        <v>13</v>
      </c>
      <c r="Y70">
        <v>72000</v>
      </c>
      <c r="AA70" t="s">
        <v>577</v>
      </c>
      <c r="AB70">
        <v>20190228</v>
      </c>
      <c r="AE70">
        <f t="shared" si="1"/>
        <v>0</v>
      </c>
      <c r="AF70">
        <v>0</v>
      </c>
      <c r="AG70">
        <v>0</v>
      </c>
      <c r="AH70">
        <v>0</v>
      </c>
      <c r="AI70" s="121">
        <v>360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360</v>
      </c>
    </row>
    <row r="71" spans="1:41">
      <c r="A71">
        <v>201903</v>
      </c>
      <c r="B71">
        <v>25</v>
      </c>
      <c r="C71" t="s">
        <v>502</v>
      </c>
      <c r="D71">
        <v>3190410819581</v>
      </c>
      <c r="E71" t="s">
        <v>53</v>
      </c>
      <c r="F71" t="s">
        <v>569</v>
      </c>
      <c r="G71" t="s">
        <v>570</v>
      </c>
      <c r="H71" t="s">
        <v>571</v>
      </c>
      <c r="I71" t="s">
        <v>578</v>
      </c>
      <c r="J71" t="s">
        <v>578</v>
      </c>
      <c r="K71" t="s">
        <v>579</v>
      </c>
      <c r="L71" t="s">
        <v>597</v>
      </c>
      <c r="M71" t="s">
        <v>598</v>
      </c>
      <c r="N71" t="s">
        <v>913</v>
      </c>
      <c r="P71" t="s">
        <v>575</v>
      </c>
      <c r="Q71" t="s">
        <v>620</v>
      </c>
      <c r="R71" t="s">
        <v>1013</v>
      </c>
      <c r="S71">
        <v>20180307</v>
      </c>
      <c r="T71" t="s">
        <v>977</v>
      </c>
      <c r="X71">
        <v>12</v>
      </c>
      <c r="Y71">
        <v>78000</v>
      </c>
      <c r="AA71" t="s">
        <v>577</v>
      </c>
      <c r="AB71">
        <v>20190225</v>
      </c>
      <c r="AE71">
        <f t="shared" si="1"/>
        <v>65793</v>
      </c>
      <c r="AF71">
        <v>0</v>
      </c>
      <c r="AG71">
        <v>65793</v>
      </c>
      <c r="AH71">
        <v>0</v>
      </c>
      <c r="AI71" s="12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65793</v>
      </c>
    </row>
    <row r="72" spans="1:41">
      <c r="A72">
        <v>201903</v>
      </c>
      <c r="B72">
        <v>25</v>
      </c>
      <c r="C72" t="s">
        <v>502</v>
      </c>
      <c r="D72">
        <v>3190410948731</v>
      </c>
      <c r="E72" t="s">
        <v>53</v>
      </c>
      <c r="F72" t="s">
        <v>569</v>
      </c>
      <c r="G72" t="s">
        <v>570</v>
      </c>
      <c r="H72" t="s">
        <v>571</v>
      </c>
      <c r="I72" t="s">
        <v>578</v>
      </c>
      <c r="J72" t="s">
        <v>578</v>
      </c>
      <c r="K72" t="s">
        <v>579</v>
      </c>
      <c r="L72" t="s">
        <v>716</v>
      </c>
      <c r="M72" t="s">
        <v>717</v>
      </c>
      <c r="N72" t="s">
        <v>1232</v>
      </c>
      <c r="P72" t="s">
        <v>575</v>
      </c>
      <c r="Q72" t="s">
        <v>620</v>
      </c>
      <c r="R72" t="s">
        <v>1014</v>
      </c>
      <c r="S72">
        <v>20180309</v>
      </c>
      <c r="T72" t="s">
        <v>918</v>
      </c>
      <c r="X72">
        <v>12</v>
      </c>
      <c r="Y72">
        <v>54000</v>
      </c>
      <c r="AA72" t="s">
        <v>577</v>
      </c>
      <c r="AB72">
        <v>20190225</v>
      </c>
      <c r="AE72">
        <f t="shared" si="1"/>
        <v>37039</v>
      </c>
      <c r="AF72">
        <v>0</v>
      </c>
      <c r="AG72">
        <v>37039</v>
      </c>
      <c r="AH72">
        <v>0</v>
      </c>
      <c r="AI72" s="121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37039</v>
      </c>
    </row>
    <row r="73" spans="1:41">
      <c r="A73">
        <v>201903</v>
      </c>
      <c r="B73">
        <v>25</v>
      </c>
      <c r="C73" t="s">
        <v>502</v>
      </c>
      <c r="D73">
        <v>3190411171091</v>
      </c>
      <c r="E73" t="s">
        <v>53</v>
      </c>
      <c r="F73" t="s">
        <v>569</v>
      </c>
      <c r="G73" t="s">
        <v>570</v>
      </c>
      <c r="H73" t="s">
        <v>571</v>
      </c>
      <c r="I73" t="s">
        <v>578</v>
      </c>
      <c r="J73" t="s">
        <v>578</v>
      </c>
      <c r="K73" t="s">
        <v>579</v>
      </c>
      <c r="L73" t="s">
        <v>586</v>
      </c>
      <c r="M73" t="s">
        <v>587</v>
      </c>
      <c r="N73" t="s">
        <v>1198</v>
      </c>
      <c r="P73" t="s">
        <v>575</v>
      </c>
      <c r="Q73" t="s">
        <v>620</v>
      </c>
      <c r="R73" t="s">
        <v>1013</v>
      </c>
      <c r="S73">
        <v>20180309</v>
      </c>
      <c r="T73" t="s">
        <v>857</v>
      </c>
      <c r="X73">
        <v>12</v>
      </c>
      <c r="Y73">
        <v>50000</v>
      </c>
      <c r="AA73" t="s">
        <v>577</v>
      </c>
      <c r="AB73">
        <v>20190225</v>
      </c>
      <c r="AE73">
        <f t="shared" si="1"/>
        <v>42175</v>
      </c>
      <c r="AF73">
        <v>0</v>
      </c>
      <c r="AG73">
        <v>42175</v>
      </c>
      <c r="AH73">
        <v>0</v>
      </c>
      <c r="AI73" s="121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42175</v>
      </c>
    </row>
    <row r="74" spans="1:41">
      <c r="A74">
        <v>201903</v>
      </c>
      <c r="B74">
        <v>25</v>
      </c>
      <c r="C74" t="s">
        <v>502</v>
      </c>
      <c r="D74">
        <v>3190411572741</v>
      </c>
      <c r="E74" t="s">
        <v>53</v>
      </c>
      <c r="F74" t="s">
        <v>569</v>
      </c>
      <c r="G74" t="s">
        <v>570</v>
      </c>
      <c r="H74" t="s">
        <v>571</v>
      </c>
      <c r="I74" t="s">
        <v>578</v>
      </c>
      <c r="J74" t="s">
        <v>578</v>
      </c>
      <c r="K74" t="s">
        <v>579</v>
      </c>
      <c r="L74" t="s">
        <v>716</v>
      </c>
      <c r="M74" t="s">
        <v>717</v>
      </c>
      <c r="N74" t="s">
        <v>1232</v>
      </c>
      <c r="P74" t="s">
        <v>575</v>
      </c>
      <c r="Q74" t="s">
        <v>620</v>
      </c>
      <c r="R74" t="s">
        <v>1014</v>
      </c>
      <c r="S74">
        <v>20180309</v>
      </c>
      <c r="T74" t="s">
        <v>844</v>
      </c>
      <c r="X74">
        <v>12</v>
      </c>
      <c r="Y74">
        <v>52000</v>
      </c>
      <c r="AA74" t="s">
        <v>577</v>
      </c>
      <c r="AB74">
        <v>20190215</v>
      </c>
      <c r="AE74">
        <f t="shared" si="1"/>
        <v>35661</v>
      </c>
      <c r="AF74">
        <v>0</v>
      </c>
      <c r="AG74">
        <v>35661</v>
      </c>
      <c r="AH74">
        <v>0</v>
      </c>
      <c r="AI74" s="121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35661</v>
      </c>
    </row>
    <row r="75" spans="1:41">
      <c r="A75">
        <v>201903</v>
      </c>
      <c r="B75">
        <v>25</v>
      </c>
      <c r="C75" t="s">
        <v>502</v>
      </c>
      <c r="D75">
        <v>3190412165911</v>
      </c>
      <c r="E75" t="s">
        <v>53</v>
      </c>
      <c r="F75" t="s">
        <v>569</v>
      </c>
      <c r="G75" t="s">
        <v>570</v>
      </c>
      <c r="H75" t="s">
        <v>571</v>
      </c>
      <c r="I75" t="s">
        <v>633</v>
      </c>
      <c r="L75" t="s">
        <v>641</v>
      </c>
      <c r="M75" t="s">
        <v>642</v>
      </c>
      <c r="N75" t="s">
        <v>921</v>
      </c>
      <c r="P75" t="s">
        <v>575</v>
      </c>
      <c r="Q75" t="s">
        <v>620</v>
      </c>
      <c r="R75" t="s">
        <v>1013</v>
      </c>
      <c r="S75">
        <v>20180316</v>
      </c>
      <c r="T75" t="s">
        <v>809</v>
      </c>
      <c r="X75">
        <v>11</v>
      </c>
      <c r="Y75">
        <v>53000</v>
      </c>
      <c r="AA75" t="s">
        <v>577</v>
      </c>
      <c r="AB75">
        <v>20190228</v>
      </c>
      <c r="AE75">
        <f t="shared" si="1"/>
        <v>35972</v>
      </c>
      <c r="AF75">
        <v>0</v>
      </c>
      <c r="AG75">
        <v>35972</v>
      </c>
      <c r="AH75">
        <v>0</v>
      </c>
      <c r="AI75" s="121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35972</v>
      </c>
    </row>
    <row r="76" spans="1:41">
      <c r="A76">
        <v>201903</v>
      </c>
      <c r="B76">
        <v>25</v>
      </c>
      <c r="C76" t="s">
        <v>502</v>
      </c>
      <c r="D76">
        <v>3190412189911</v>
      </c>
      <c r="E76" t="s">
        <v>53</v>
      </c>
      <c r="F76" t="s">
        <v>569</v>
      </c>
      <c r="G76" t="s">
        <v>570</v>
      </c>
      <c r="H76" t="s">
        <v>571</v>
      </c>
      <c r="I76" t="s">
        <v>578</v>
      </c>
      <c r="J76" t="s">
        <v>578</v>
      </c>
      <c r="K76" t="s">
        <v>579</v>
      </c>
      <c r="L76" t="s">
        <v>594</v>
      </c>
      <c r="M76" t="s">
        <v>595</v>
      </c>
      <c r="N76" t="s">
        <v>908</v>
      </c>
      <c r="P76" t="s">
        <v>575</v>
      </c>
      <c r="Q76" t="s">
        <v>620</v>
      </c>
      <c r="R76" t="s">
        <v>1014</v>
      </c>
      <c r="S76">
        <v>20180315</v>
      </c>
      <c r="T76" t="s">
        <v>804</v>
      </c>
      <c r="X76">
        <v>12</v>
      </c>
      <c r="Y76">
        <v>54000</v>
      </c>
      <c r="AA76" t="s">
        <v>577</v>
      </c>
      <c r="AB76">
        <v>20190228</v>
      </c>
      <c r="AE76">
        <f t="shared" si="1"/>
        <v>37039</v>
      </c>
      <c r="AF76">
        <v>0</v>
      </c>
      <c r="AG76">
        <v>37039</v>
      </c>
      <c r="AH76">
        <v>0</v>
      </c>
      <c r="AI76" s="121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37039</v>
      </c>
    </row>
    <row r="77" spans="1:41">
      <c r="A77">
        <v>201903</v>
      </c>
      <c r="B77">
        <v>25</v>
      </c>
      <c r="C77" t="s">
        <v>502</v>
      </c>
      <c r="D77">
        <v>3190412581111</v>
      </c>
      <c r="E77" t="s">
        <v>53</v>
      </c>
      <c r="F77" t="s">
        <v>569</v>
      </c>
      <c r="G77" t="s">
        <v>570</v>
      </c>
      <c r="H77" t="s">
        <v>571</v>
      </c>
      <c r="I77" t="s">
        <v>674</v>
      </c>
      <c r="J77" t="s">
        <v>674</v>
      </c>
      <c r="K77" t="s">
        <v>675</v>
      </c>
      <c r="L77" t="s">
        <v>489</v>
      </c>
      <c r="M77" t="s">
        <v>488</v>
      </c>
      <c r="N77" t="s">
        <v>902</v>
      </c>
      <c r="P77" t="s">
        <v>575</v>
      </c>
      <c r="Q77" t="s">
        <v>620</v>
      </c>
      <c r="R77" t="s">
        <v>1013</v>
      </c>
      <c r="S77">
        <v>20180314</v>
      </c>
      <c r="T77" t="s">
        <v>1080</v>
      </c>
      <c r="X77">
        <v>10</v>
      </c>
      <c r="Y77">
        <v>61000</v>
      </c>
      <c r="AA77" t="s">
        <v>577</v>
      </c>
      <c r="AB77">
        <v>20190228</v>
      </c>
      <c r="AE77">
        <f t="shared" si="1"/>
        <v>51453</v>
      </c>
      <c r="AF77">
        <v>0</v>
      </c>
      <c r="AG77">
        <v>51453</v>
      </c>
      <c r="AH77">
        <v>0</v>
      </c>
      <c r="AI77" s="121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51453</v>
      </c>
    </row>
    <row r="78" spans="1:41">
      <c r="A78">
        <v>201903</v>
      </c>
      <c r="B78">
        <v>25</v>
      </c>
      <c r="C78" t="s">
        <v>502</v>
      </c>
      <c r="D78">
        <v>3190412583371</v>
      </c>
      <c r="E78" t="s">
        <v>53</v>
      </c>
      <c r="F78" t="s">
        <v>569</v>
      </c>
      <c r="G78" t="s">
        <v>570</v>
      </c>
      <c r="H78" t="s">
        <v>571</v>
      </c>
      <c r="I78" t="s">
        <v>674</v>
      </c>
      <c r="J78" t="s">
        <v>674</v>
      </c>
      <c r="K78" t="s">
        <v>675</v>
      </c>
      <c r="L78" t="s">
        <v>489</v>
      </c>
      <c r="M78" t="s">
        <v>488</v>
      </c>
      <c r="N78" t="s">
        <v>902</v>
      </c>
      <c r="P78" t="s">
        <v>575</v>
      </c>
      <c r="Q78" t="s">
        <v>620</v>
      </c>
      <c r="R78" t="s">
        <v>1013</v>
      </c>
      <c r="S78">
        <v>20180314</v>
      </c>
      <c r="T78" t="s">
        <v>1081</v>
      </c>
      <c r="X78">
        <v>10</v>
      </c>
      <c r="Y78">
        <v>44000</v>
      </c>
      <c r="AA78" t="s">
        <v>577</v>
      </c>
      <c r="AB78">
        <v>20190228</v>
      </c>
      <c r="AE78">
        <f t="shared" si="1"/>
        <v>37114</v>
      </c>
      <c r="AF78">
        <v>0</v>
      </c>
      <c r="AG78">
        <v>37114</v>
      </c>
      <c r="AH78">
        <v>0</v>
      </c>
      <c r="AI78" s="121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37114</v>
      </c>
    </row>
    <row r="79" spans="1:41">
      <c r="A79">
        <v>201903</v>
      </c>
      <c r="B79">
        <v>25</v>
      </c>
      <c r="C79" t="s">
        <v>502</v>
      </c>
      <c r="D79">
        <v>3190412632451</v>
      </c>
      <c r="E79" t="s">
        <v>53</v>
      </c>
      <c r="F79" t="s">
        <v>569</v>
      </c>
      <c r="G79" t="s">
        <v>570</v>
      </c>
      <c r="H79" t="s">
        <v>571</v>
      </c>
      <c r="I79" t="s">
        <v>578</v>
      </c>
      <c r="J79" t="s">
        <v>578</v>
      </c>
      <c r="K79" t="s">
        <v>579</v>
      </c>
      <c r="L79" t="s">
        <v>716</v>
      </c>
      <c r="M79" t="s">
        <v>717</v>
      </c>
      <c r="N79" t="s">
        <v>1232</v>
      </c>
      <c r="P79" t="s">
        <v>575</v>
      </c>
      <c r="Q79" t="s">
        <v>620</v>
      </c>
      <c r="R79" t="s">
        <v>1014</v>
      </c>
      <c r="S79">
        <v>20180316</v>
      </c>
      <c r="T79" t="s">
        <v>844</v>
      </c>
      <c r="X79">
        <v>12</v>
      </c>
      <c r="Y79">
        <v>60000</v>
      </c>
      <c r="AA79" t="s">
        <v>577</v>
      </c>
      <c r="AB79">
        <v>20190225</v>
      </c>
      <c r="AE79">
        <f t="shared" si="1"/>
        <v>41254</v>
      </c>
      <c r="AF79">
        <v>0</v>
      </c>
      <c r="AG79">
        <v>41254</v>
      </c>
      <c r="AH79">
        <v>0</v>
      </c>
      <c r="AI79" s="121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41254</v>
      </c>
    </row>
    <row r="80" spans="1:41">
      <c r="A80">
        <v>201903</v>
      </c>
      <c r="B80">
        <v>25</v>
      </c>
      <c r="C80" t="s">
        <v>502</v>
      </c>
      <c r="D80">
        <v>3190413923991</v>
      </c>
      <c r="E80" t="s">
        <v>53</v>
      </c>
      <c r="F80" t="s">
        <v>569</v>
      </c>
      <c r="G80" t="s">
        <v>570</v>
      </c>
      <c r="H80" t="s">
        <v>571</v>
      </c>
      <c r="I80" t="s">
        <v>633</v>
      </c>
      <c r="L80" t="s">
        <v>641</v>
      </c>
      <c r="M80" t="s">
        <v>642</v>
      </c>
      <c r="N80" t="s">
        <v>921</v>
      </c>
      <c r="P80" t="s">
        <v>575</v>
      </c>
      <c r="Q80" t="s">
        <v>620</v>
      </c>
      <c r="R80" t="s">
        <v>1013</v>
      </c>
      <c r="S80">
        <v>20180323</v>
      </c>
      <c r="T80" t="s">
        <v>823</v>
      </c>
      <c r="X80">
        <v>12</v>
      </c>
      <c r="Y80">
        <v>50000</v>
      </c>
      <c r="AA80" t="s">
        <v>577</v>
      </c>
      <c r="AB80">
        <v>20190220</v>
      </c>
      <c r="AE80">
        <f t="shared" si="1"/>
        <v>42175</v>
      </c>
      <c r="AF80">
        <v>0</v>
      </c>
      <c r="AG80">
        <v>42175</v>
      </c>
      <c r="AH80">
        <v>0</v>
      </c>
      <c r="AI80" s="121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42175</v>
      </c>
    </row>
    <row r="81" spans="1:41">
      <c r="A81">
        <v>201903</v>
      </c>
      <c r="B81">
        <v>25</v>
      </c>
      <c r="C81" t="s">
        <v>502</v>
      </c>
      <c r="D81">
        <v>3190414667971</v>
      </c>
      <c r="E81" t="s">
        <v>53</v>
      </c>
      <c r="F81" t="s">
        <v>569</v>
      </c>
      <c r="G81" t="s">
        <v>570</v>
      </c>
      <c r="H81" t="s">
        <v>571</v>
      </c>
      <c r="I81" t="s">
        <v>646</v>
      </c>
      <c r="L81" t="s">
        <v>677</v>
      </c>
      <c r="M81" t="s">
        <v>678</v>
      </c>
      <c r="N81" t="s">
        <v>938</v>
      </c>
      <c r="P81" t="s">
        <v>575</v>
      </c>
      <c r="Q81" t="s">
        <v>620</v>
      </c>
      <c r="R81" t="s">
        <v>1134</v>
      </c>
      <c r="S81">
        <v>20180323</v>
      </c>
      <c r="T81" t="s">
        <v>1214</v>
      </c>
      <c r="X81">
        <v>12</v>
      </c>
      <c r="Y81">
        <v>20000</v>
      </c>
      <c r="AA81" t="s">
        <v>577</v>
      </c>
      <c r="AB81">
        <v>20190220</v>
      </c>
      <c r="AE81">
        <f t="shared" si="1"/>
        <v>16100</v>
      </c>
      <c r="AF81">
        <v>0</v>
      </c>
      <c r="AG81">
        <v>16100</v>
      </c>
      <c r="AH81">
        <v>0</v>
      </c>
      <c r="AI81" s="12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16100</v>
      </c>
    </row>
    <row r="82" spans="1:41">
      <c r="A82">
        <v>201903</v>
      </c>
      <c r="B82">
        <v>25</v>
      </c>
      <c r="C82" t="s">
        <v>502</v>
      </c>
      <c r="D82">
        <v>3190415704631</v>
      </c>
      <c r="E82" t="s">
        <v>53</v>
      </c>
      <c r="F82" t="s">
        <v>569</v>
      </c>
      <c r="G82" t="s">
        <v>570</v>
      </c>
      <c r="H82" t="s">
        <v>571</v>
      </c>
      <c r="I82" t="s">
        <v>646</v>
      </c>
      <c r="L82" t="s">
        <v>677</v>
      </c>
      <c r="M82" t="s">
        <v>678</v>
      </c>
      <c r="N82" t="s">
        <v>938</v>
      </c>
      <c r="P82" t="s">
        <v>575</v>
      </c>
      <c r="Q82" t="s">
        <v>620</v>
      </c>
      <c r="R82" t="s">
        <v>1134</v>
      </c>
      <c r="S82">
        <v>20180328</v>
      </c>
      <c r="T82" t="s">
        <v>977</v>
      </c>
      <c r="X82">
        <v>12</v>
      </c>
      <c r="Y82">
        <v>22540</v>
      </c>
      <c r="AA82" t="s">
        <v>577</v>
      </c>
      <c r="AB82">
        <v>20190215</v>
      </c>
      <c r="AE82">
        <f t="shared" si="1"/>
        <v>18144</v>
      </c>
      <c r="AF82">
        <v>0</v>
      </c>
      <c r="AG82">
        <v>18144</v>
      </c>
      <c r="AH82">
        <v>0</v>
      </c>
      <c r="AI82" s="121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18144</v>
      </c>
    </row>
    <row r="83" spans="1:41">
      <c r="A83">
        <v>201903</v>
      </c>
      <c r="B83">
        <v>25</v>
      </c>
      <c r="C83" t="s">
        <v>502</v>
      </c>
      <c r="D83">
        <v>3190012872211</v>
      </c>
      <c r="E83" t="s">
        <v>53</v>
      </c>
      <c r="F83" t="s">
        <v>569</v>
      </c>
      <c r="G83" t="s">
        <v>570</v>
      </c>
      <c r="H83" t="s">
        <v>571</v>
      </c>
      <c r="I83" t="s">
        <v>578</v>
      </c>
      <c r="L83" t="s">
        <v>572</v>
      </c>
      <c r="M83" t="s">
        <v>573</v>
      </c>
      <c r="N83" t="s">
        <v>910</v>
      </c>
      <c r="P83" t="s">
        <v>575</v>
      </c>
      <c r="Q83" t="s">
        <v>711</v>
      </c>
      <c r="R83" t="s">
        <v>911</v>
      </c>
      <c r="S83">
        <v>20150518</v>
      </c>
      <c r="T83" t="s">
        <v>912</v>
      </c>
      <c r="W83">
        <v>0</v>
      </c>
      <c r="X83">
        <v>46</v>
      </c>
      <c r="Y83">
        <v>100000</v>
      </c>
      <c r="AA83" t="s">
        <v>577</v>
      </c>
      <c r="AB83">
        <v>20190207</v>
      </c>
      <c r="AE83">
        <f t="shared" si="1"/>
        <v>0</v>
      </c>
      <c r="AF83">
        <v>0</v>
      </c>
      <c r="AG83">
        <v>0</v>
      </c>
      <c r="AH83">
        <v>0</v>
      </c>
      <c r="AI83" s="121">
        <v>150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150</v>
      </c>
    </row>
    <row r="84" spans="1:41">
      <c r="A84">
        <v>201903</v>
      </c>
      <c r="B84">
        <v>25</v>
      </c>
      <c r="C84" t="s">
        <v>502</v>
      </c>
      <c r="D84">
        <v>3190020766941</v>
      </c>
      <c r="E84" t="s">
        <v>53</v>
      </c>
      <c r="F84" t="s">
        <v>569</v>
      </c>
      <c r="G84" t="s">
        <v>570</v>
      </c>
      <c r="H84" t="s">
        <v>571</v>
      </c>
      <c r="I84" t="s">
        <v>674</v>
      </c>
      <c r="J84" t="s">
        <v>674</v>
      </c>
      <c r="K84" t="s">
        <v>675</v>
      </c>
      <c r="L84" t="s">
        <v>485</v>
      </c>
      <c r="M84" t="s">
        <v>484</v>
      </c>
      <c r="N84" t="s">
        <v>914</v>
      </c>
      <c r="P84" t="s">
        <v>575</v>
      </c>
      <c r="Q84" t="s">
        <v>620</v>
      </c>
      <c r="R84" t="s">
        <v>901</v>
      </c>
      <c r="S84">
        <v>20151019</v>
      </c>
      <c r="T84" t="s">
        <v>484</v>
      </c>
      <c r="W84">
        <v>0</v>
      </c>
      <c r="X84">
        <v>41</v>
      </c>
      <c r="Y84">
        <v>50000</v>
      </c>
      <c r="AA84" t="s">
        <v>577</v>
      </c>
      <c r="AB84">
        <v>20190220</v>
      </c>
      <c r="AE84">
        <f t="shared" si="1"/>
        <v>0</v>
      </c>
      <c r="AF84">
        <v>0</v>
      </c>
      <c r="AG84">
        <v>0</v>
      </c>
      <c r="AH84">
        <v>0</v>
      </c>
      <c r="AI84" s="121">
        <v>250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250</v>
      </c>
    </row>
    <row r="85" spans="1:41">
      <c r="A85">
        <v>201903</v>
      </c>
      <c r="B85">
        <v>25</v>
      </c>
      <c r="C85" t="s">
        <v>502</v>
      </c>
      <c r="D85">
        <v>3190020767991</v>
      </c>
      <c r="E85" t="s">
        <v>53</v>
      </c>
      <c r="F85" t="s">
        <v>569</v>
      </c>
      <c r="G85" t="s">
        <v>570</v>
      </c>
      <c r="H85" t="s">
        <v>571</v>
      </c>
      <c r="I85" t="s">
        <v>578</v>
      </c>
      <c r="J85" t="s">
        <v>578</v>
      </c>
      <c r="K85" t="s">
        <v>579</v>
      </c>
      <c r="L85" t="s">
        <v>580</v>
      </c>
      <c r="M85" t="s">
        <v>581</v>
      </c>
      <c r="N85" t="s">
        <v>915</v>
      </c>
      <c r="P85" t="s">
        <v>575</v>
      </c>
      <c r="Q85" t="s">
        <v>620</v>
      </c>
      <c r="R85" t="s">
        <v>901</v>
      </c>
      <c r="S85">
        <v>20151029</v>
      </c>
      <c r="T85" t="s">
        <v>737</v>
      </c>
      <c r="W85">
        <v>0</v>
      </c>
      <c r="X85">
        <v>41</v>
      </c>
      <c r="Y85">
        <v>44500</v>
      </c>
      <c r="AA85" t="s">
        <v>577</v>
      </c>
      <c r="AB85">
        <v>20190220</v>
      </c>
      <c r="AE85">
        <f t="shared" si="1"/>
        <v>0</v>
      </c>
      <c r="AF85">
        <v>0</v>
      </c>
      <c r="AG85">
        <v>0</v>
      </c>
      <c r="AH85">
        <v>0</v>
      </c>
      <c r="AI85" s="121">
        <v>222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222</v>
      </c>
    </row>
    <row r="86" spans="1:41">
      <c r="A86">
        <v>201903</v>
      </c>
      <c r="B86">
        <v>25</v>
      </c>
      <c r="C86" t="s">
        <v>502</v>
      </c>
      <c r="D86">
        <v>3190086439811</v>
      </c>
      <c r="E86" t="s">
        <v>53</v>
      </c>
      <c r="F86" t="s">
        <v>569</v>
      </c>
      <c r="G86" t="s">
        <v>570</v>
      </c>
      <c r="H86" t="s">
        <v>571</v>
      </c>
      <c r="I86" t="s">
        <v>578</v>
      </c>
      <c r="J86" t="s">
        <v>578</v>
      </c>
      <c r="K86" t="s">
        <v>579</v>
      </c>
      <c r="L86" t="s">
        <v>594</v>
      </c>
      <c r="M86" t="s">
        <v>595</v>
      </c>
      <c r="N86" t="s">
        <v>908</v>
      </c>
      <c r="P86" t="s">
        <v>575</v>
      </c>
      <c r="Q86" t="s">
        <v>620</v>
      </c>
      <c r="R86" t="s">
        <v>1022</v>
      </c>
      <c r="S86">
        <v>20170630</v>
      </c>
      <c r="T86" t="s">
        <v>839</v>
      </c>
      <c r="X86">
        <v>21</v>
      </c>
      <c r="Y86">
        <v>50000</v>
      </c>
      <c r="AA86" t="s">
        <v>577</v>
      </c>
      <c r="AB86">
        <v>20190220</v>
      </c>
      <c r="AE86">
        <f t="shared" si="1"/>
        <v>0</v>
      </c>
      <c r="AF86">
        <v>0</v>
      </c>
      <c r="AG86">
        <v>0</v>
      </c>
      <c r="AH86">
        <v>0</v>
      </c>
      <c r="AI86" s="121">
        <v>250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250</v>
      </c>
    </row>
    <row r="87" spans="1:41">
      <c r="A87">
        <v>201903</v>
      </c>
      <c r="B87">
        <v>25</v>
      </c>
      <c r="C87" t="s">
        <v>502</v>
      </c>
      <c r="D87">
        <v>3190087537681</v>
      </c>
      <c r="E87" t="s">
        <v>53</v>
      </c>
      <c r="F87" t="s">
        <v>569</v>
      </c>
      <c r="G87" t="s">
        <v>570</v>
      </c>
      <c r="H87" t="s">
        <v>571</v>
      </c>
      <c r="I87" t="s">
        <v>578</v>
      </c>
      <c r="J87" t="s">
        <v>578</v>
      </c>
      <c r="K87" t="s">
        <v>579</v>
      </c>
      <c r="L87" t="s">
        <v>594</v>
      </c>
      <c r="M87" t="s">
        <v>595</v>
      </c>
      <c r="N87" t="s">
        <v>908</v>
      </c>
      <c r="P87" t="s">
        <v>575</v>
      </c>
      <c r="Q87" t="s">
        <v>620</v>
      </c>
      <c r="R87" t="s">
        <v>1022</v>
      </c>
      <c r="S87">
        <v>20170630</v>
      </c>
      <c r="T87" t="s">
        <v>839</v>
      </c>
      <c r="X87">
        <v>21</v>
      </c>
      <c r="Y87">
        <v>43000</v>
      </c>
      <c r="AA87" t="s">
        <v>577</v>
      </c>
      <c r="AB87">
        <v>20190220</v>
      </c>
      <c r="AE87">
        <f t="shared" si="1"/>
        <v>0</v>
      </c>
      <c r="AF87">
        <v>0</v>
      </c>
      <c r="AG87">
        <v>0</v>
      </c>
      <c r="AH87">
        <v>0</v>
      </c>
      <c r="AI87" s="121">
        <v>215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215</v>
      </c>
    </row>
    <row r="88" spans="1:41">
      <c r="A88">
        <v>201903</v>
      </c>
      <c r="B88">
        <v>25</v>
      </c>
      <c r="C88" t="s">
        <v>502</v>
      </c>
      <c r="D88">
        <v>3190088057951</v>
      </c>
      <c r="E88" t="s">
        <v>53</v>
      </c>
      <c r="F88" t="s">
        <v>569</v>
      </c>
      <c r="G88" t="s">
        <v>570</v>
      </c>
      <c r="H88" t="s">
        <v>571</v>
      </c>
      <c r="I88" t="s">
        <v>578</v>
      </c>
      <c r="J88" t="s">
        <v>578</v>
      </c>
      <c r="K88" t="s">
        <v>579</v>
      </c>
      <c r="L88" t="s">
        <v>586</v>
      </c>
      <c r="M88" t="s">
        <v>587</v>
      </c>
      <c r="N88" t="s">
        <v>1198</v>
      </c>
      <c r="P88" t="s">
        <v>575</v>
      </c>
      <c r="Q88" t="s">
        <v>620</v>
      </c>
      <c r="R88" t="s">
        <v>1134</v>
      </c>
      <c r="S88">
        <v>20170707</v>
      </c>
      <c r="T88" t="s">
        <v>792</v>
      </c>
      <c r="X88">
        <v>20</v>
      </c>
      <c r="Y88">
        <v>20000</v>
      </c>
      <c r="AA88" t="s">
        <v>577</v>
      </c>
      <c r="AB88">
        <v>20190220</v>
      </c>
      <c r="AE88">
        <f t="shared" si="1"/>
        <v>0</v>
      </c>
      <c r="AF88">
        <v>0</v>
      </c>
      <c r="AG88">
        <v>0</v>
      </c>
      <c r="AH88">
        <v>0</v>
      </c>
      <c r="AI88" s="121">
        <v>100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100</v>
      </c>
    </row>
    <row r="89" spans="1:41">
      <c r="A89">
        <v>201903</v>
      </c>
      <c r="B89">
        <v>25</v>
      </c>
      <c r="C89" t="s">
        <v>502</v>
      </c>
      <c r="D89">
        <v>3190088418761</v>
      </c>
      <c r="E89" t="s">
        <v>53</v>
      </c>
      <c r="F89" t="s">
        <v>569</v>
      </c>
      <c r="G89" t="s">
        <v>570</v>
      </c>
      <c r="H89" t="s">
        <v>571</v>
      </c>
      <c r="I89" t="s">
        <v>1139</v>
      </c>
      <c r="J89" t="s">
        <v>706</v>
      </c>
      <c r="K89" t="s">
        <v>707</v>
      </c>
      <c r="L89" t="s">
        <v>708</v>
      </c>
      <c r="M89" t="s">
        <v>709</v>
      </c>
      <c r="N89" t="s">
        <v>1024</v>
      </c>
      <c r="P89" t="s">
        <v>575</v>
      </c>
      <c r="Q89" t="s">
        <v>620</v>
      </c>
      <c r="R89" t="s">
        <v>1013</v>
      </c>
      <c r="S89">
        <v>20170705</v>
      </c>
      <c r="T89" t="s">
        <v>872</v>
      </c>
      <c r="X89">
        <v>20</v>
      </c>
      <c r="Y89">
        <v>171000</v>
      </c>
      <c r="AA89" t="s">
        <v>577</v>
      </c>
      <c r="AB89">
        <v>20190225</v>
      </c>
      <c r="AE89">
        <f t="shared" si="1"/>
        <v>0</v>
      </c>
      <c r="AF89">
        <v>0</v>
      </c>
      <c r="AG89">
        <v>0</v>
      </c>
      <c r="AH89">
        <v>0</v>
      </c>
      <c r="AI89" s="121">
        <v>1282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1282</v>
      </c>
    </row>
    <row r="90" spans="1:41">
      <c r="A90">
        <v>201903</v>
      </c>
      <c r="B90">
        <v>25</v>
      </c>
      <c r="C90" t="s">
        <v>502</v>
      </c>
      <c r="D90">
        <v>3190089691161</v>
      </c>
      <c r="E90" t="s">
        <v>53</v>
      </c>
      <c r="F90" t="s">
        <v>569</v>
      </c>
      <c r="G90" t="s">
        <v>570</v>
      </c>
      <c r="H90" t="s">
        <v>571</v>
      </c>
      <c r="I90" t="s">
        <v>674</v>
      </c>
      <c r="L90" t="s">
        <v>491</v>
      </c>
      <c r="M90" t="s">
        <v>490</v>
      </c>
      <c r="N90" t="s">
        <v>907</v>
      </c>
      <c r="P90" t="s">
        <v>575</v>
      </c>
      <c r="Q90" t="s">
        <v>620</v>
      </c>
      <c r="R90" t="s">
        <v>1013</v>
      </c>
      <c r="S90">
        <v>20170714</v>
      </c>
      <c r="T90" t="s">
        <v>822</v>
      </c>
      <c r="X90">
        <v>20</v>
      </c>
      <c r="Y90">
        <v>78000</v>
      </c>
      <c r="AA90" t="s">
        <v>577</v>
      </c>
      <c r="AB90">
        <v>20190220</v>
      </c>
      <c r="AE90">
        <f t="shared" si="1"/>
        <v>0</v>
      </c>
      <c r="AF90">
        <v>0</v>
      </c>
      <c r="AG90">
        <v>0</v>
      </c>
      <c r="AH90">
        <v>0</v>
      </c>
      <c r="AI90" s="121">
        <v>585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585</v>
      </c>
    </row>
    <row r="91" spans="1:41">
      <c r="A91">
        <v>201903</v>
      </c>
      <c r="B91">
        <v>25</v>
      </c>
      <c r="C91" t="s">
        <v>502</v>
      </c>
      <c r="D91">
        <v>3190090085391</v>
      </c>
      <c r="E91" t="s">
        <v>53</v>
      </c>
      <c r="F91" t="s">
        <v>569</v>
      </c>
      <c r="G91" t="s">
        <v>570</v>
      </c>
      <c r="H91" t="s">
        <v>571</v>
      </c>
      <c r="I91" t="s">
        <v>578</v>
      </c>
      <c r="J91" t="s">
        <v>578</v>
      </c>
      <c r="K91" t="s">
        <v>579</v>
      </c>
      <c r="L91" t="s">
        <v>611</v>
      </c>
      <c r="M91" t="s">
        <v>612</v>
      </c>
      <c r="N91" t="s">
        <v>979</v>
      </c>
      <c r="P91" t="s">
        <v>575</v>
      </c>
      <c r="Q91" t="s">
        <v>620</v>
      </c>
      <c r="R91" t="s">
        <v>1052</v>
      </c>
      <c r="S91">
        <v>20170720</v>
      </c>
      <c r="T91" t="s">
        <v>794</v>
      </c>
      <c r="X91">
        <v>20</v>
      </c>
      <c r="Y91">
        <v>43000</v>
      </c>
      <c r="AA91" t="s">
        <v>577</v>
      </c>
      <c r="AB91">
        <v>20190220</v>
      </c>
      <c r="AE91">
        <f t="shared" si="1"/>
        <v>0</v>
      </c>
      <c r="AF91">
        <v>0</v>
      </c>
      <c r="AG91">
        <v>0</v>
      </c>
      <c r="AH91">
        <v>0</v>
      </c>
      <c r="AI91" s="121">
        <v>215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215</v>
      </c>
    </row>
    <row r="92" spans="1:41">
      <c r="A92">
        <v>201903</v>
      </c>
      <c r="B92">
        <v>25</v>
      </c>
      <c r="C92" t="s">
        <v>502</v>
      </c>
      <c r="D92">
        <v>3190091699901</v>
      </c>
      <c r="E92" t="s">
        <v>53</v>
      </c>
      <c r="F92" t="s">
        <v>569</v>
      </c>
      <c r="G92" t="s">
        <v>570</v>
      </c>
      <c r="H92" t="s">
        <v>571</v>
      </c>
      <c r="I92" t="s">
        <v>578</v>
      </c>
      <c r="J92" t="s">
        <v>578</v>
      </c>
      <c r="K92" t="s">
        <v>579</v>
      </c>
      <c r="L92" t="s">
        <v>594</v>
      </c>
      <c r="M92" t="s">
        <v>595</v>
      </c>
      <c r="N92" t="s">
        <v>908</v>
      </c>
      <c r="P92" t="s">
        <v>575</v>
      </c>
      <c r="Q92" t="s">
        <v>620</v>
      </c>
      <c r="R92" t="s">
        <v>1013</v>
      </c>
      <c r="S92">
        <v>20170728</v>
      </c>
      <c r="T92" t="s">
        <v>1057</v>
      </c>
      <c r="X92">
        <v>20</v>
      </c>
      <c r="Y92">
        <v>107000</v>
      </c>
      <c r="AA92" t="s">
        <v>577</v>
      </c>
      <c r="AB92">
        <v>20190208</v>
      </c>
      <c r="AE92">
        <f t="shared" si="1"/>
        <v>0</v>
      </c>
      <c r="AF92">
        <v>0</v>
      </c>
      <c r="AG92">
        <v>0</v>
      </c>
      <c r="AH92">
        <v>0</v>
      </c>
      <c r="AI92" s="121">
        <v>802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802</v>
      </c>
    </row>
    <row r="93" spans="1:41">
      <c r="A93">
        <v>201903</v>
      </c>
      <c r="B93">
        <v>25</v>
      </c>
      <c r="C93" t="s">
        <v>502</v>
      </c>
      <c r="D93">
        <v>3190092334271</v>
      </c>
      <c r="E93" t="s">
        <v>53</v>
      </c>
      <c r="F93" t="s">
        <v>569</v>
      </c>
      <c r="G93" t="s">
        <v>570</v>
      </c>
      <c r="H93" t="s">
        <v>571</v>
      </c>
      <c r="I93" t="s">
        <v>578</v>
      </c>
      <c r="J93" t="s">
        <v>578</v>
      </c>
      <c r="K93" t="s">
        <v>579</v>
      </c>
      <c r="L93" t="s">
        <v>716</v>
      </c>
      <c r="M93" t="s">
        <v>717</v>
      </c>
      <c r="N93" t="s">
        <v>1232</v>
      </c>
      <c r="P93" t="s">
        <v>575</v>
      </c>
      <c r="Q93" t="s">
        <v>699</v>
      </c>
      <c r="R93" t="s">
        <v>1148</v>
      </c>
      <c r="S93">
        <v>20170728</v>
      </c>
      <c r="T93" t="s">
        <v>822</v>
      </c>
      <c r="X93">
        <v>18</v>
      </c>
      <c r="Y93">
        <v>1000000</v>
      </c>
      <c r="AA93" t="s">
        <v>577</v>
      </c>
      <c r="AB93">
        <v>20190228</v>
      </c>
      <c r="AE93">
        <f t="shared" si="1"/>
        <v>0</v>
      </c>
      <c r="AF93">
        <v>0</v>
      </c>
      <c r="AG93">
        <v>0</v>
      </c>
      <c r="AH93">
        <v>0</v>
      </c>
      <c r="AI93" s="121">
        <v>5000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5000</v>
      </c>
    </row>
    <row r="94" spans="1:41">
      <c r="A94">
        <v>201903</v>
      </c>
      <c r="B94">
        <v>25</v>
      </c>
      <c r="C94" t="s">
        <v>502</v>
      </c>
      <c r="D94">
        <v>3190092340901</v>
      </c>
      <c r="E94" t="s">
        <v>53</v>
      </c>
      <c r="F94" t="s">
        <v>569</v>
      </c>
      <c r="G94" t="s">
        <v>570</v>
      </c>
      <c r="H94" t="s">
        <v>571</v>
      </c>
      <c r="I94" t="s">
        <v>578</v>
      </c>
      <c r="J94" t="s">
        <v>578</v>
      </c>
      <c r="K94" t="s">
        <v>579</v>
      </c>
      <c r="L94" t="s">
        <v>594</v>
      </c>
      <c r="M94" t="s">
        <v>595</v>
      </c>
      <c r="N94" t="s">
        <v>908</v>
      </c>
      <c r="P94" t="s">
        <v>575</v>
      </c>
      <c r="Q94" t="s">
        <v>620</v>
      </c>
      <c r="R94" t="s">
        <v>1013</v>
      </c>
      <c r="S94">
        <v>20170731</v>
      </c>
      <c r="T94" t="s">
        <v>1064</v>
      </c>
      <c r="X94">
        <v>20</v>
      </c>
      <c r="Y94">
        <v>45000</v>
      </c>
      <c r="AA94" t="s">
        <v>577</v>
      </c>
      <c r="AB94">
        <v>20190208</v>
      </c>
      <c r="AE94">
        <f t="shared" si="1"/>
        <v>0</v>
      </c>
      <c r="AF94">
        <v>0</v>
      </c>
      <c r="AG94">
        <v>0</v>
      </c>
      <c r="AH94">
        <v>0</v>
      </c>
      <c r="AI94" s="121">
        <v>337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337</v>
      </c>
    </row>
    <row r="95" spans="1:41">
      <c r="A95">
        <v>201903</v>
      </c>
      <c r="B95">
        <v>25</v>
      </c>
      <c r="C95" t="s">
        <v>502</v>
      </c>
      <c r="D95">
        <v>3190094405301</v>
      </c>
      <c r="E95" t="s">
        <v>53</v>
      </c>
      <c r="F95" t="s">
        <v>569</v>
      </c>
      <c r="G95" t="s">
        <v>570</v>
      </c>
      <c r="H95" t="s">
        <v>571</v>
      </c>
      <c r="I95" t="s">
        <v>674</v>
      </c>
      <c r="J95" t="s">
        <v>674</v>
      </c>
      <c r="K95" t="s">
        <v>675</v>
      </c>
      <c r="L95" t="s">
        <v>489</v>
      </c>
      <c r="M95" t="s">
        <v>488</v>
      </c>
      <c r="N95" t="s">
        <v>902</v>
      </c>
      <c r="P95" t="s">
        <v>575</v>
      </c>
      <c r="Q95" t="s">
        <v>620</v>
      </c>
      <c r="R95" t="s">
        <v>1014</v>
      </c>
      <c r="S95">
        <v>20170814</v>
      </c>
      <c r="T95" t="s">
        <v>869</v>
      </c>
      <c r="X95">
        <v>19</v>
      </c>
      <c r="Y95">
        <v>46000</v>
      </c>
      <c r="AA95" t="s">
        <v>577</v>
      </c>
      <c r="AB95">
        <v>20190225</v>
      </c>
      <c r="AE95">
        <f t="shared" si="1"/>
        <v>0</v>
      </c>
      <c r="AF95">
        <v>0</v>
      </c>
      <c r="AG95">
        <v>0</v>
      </c>
      <c r="AH95">
        <v>0</v>
      </c>
      <c r="AI95" s="121">
        <v>230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230</v>
      </c>
    </row>
    <row r="96" spans="1:41">
      <c r="A96">
        <v>201903</v>
      </c>
      <c r="B96">
        <v>25</v>
      </c>
      <c r="C96" t="s">
        <v>502</v>
      </c>
      <c r="D96">
        <v>3190094607761</v>
      </c>
      <c r="E96" t="s">
        <v>53</v>
      </c>
      <c r="F96" t="s">
        <v>569</v>
      </c>
      <c r="G96" t="s">
        <v>570</v>
      </c>
      <c r="H96" t="s">
        <v>571</v>
      </c>
      <c r="I96" t="s">
        <v>633</v>
      </c>
      <c r="L96" t="s">
        <v>641</v>
      </c>
      <c r="M96" t="s">
        <v>642</v>
      </c>
      <c r="N96" t="s">
        <v>921</v>
      </c>
      <c r="P96" t="s">
        <v>575</v>
      </c>
      <c r="Q96" t="s">
        <v>620</v>
      </c>
      <c r="R96" t="s">
        <v>1013</v>
      </c>
      <c r="S96">
        <v>20170816</v>
      </c>
      <c r="T96" t="s">
        <v>796</v>
      </c>
      <c r="X96">
        <v>19</v>
      </c>
      <c r="Y96">
        <v>76000</v>
      </c>
      <c r="AA96" t="s">
        <v>577</v>
      </c>
      <c r="AB96">
        <v>20190225</v>
      </c>
      <c r="AE96">
        <f t="shared" si="1"/>
        <v>0</v>
      </c>
      <c r="AF96">
        <v>0</v>
      </c>
      <c r="AG96">
        <v>0</v>
      </c>
      <c r="AH96">
        <v>0</v>
      </c>
      <c r="AI96" s="121">
        <v>570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570</v>
      </c>
    </row>
    <row r="97" spans="1:41">
      <c r="A97">
        <v>201903</v>
      </c>
      <c r="B97">
        <v>25</v>
      </c>
      <c r="C97" t="s">
        <v>502</v>
      </c>
      <c r="D97">
        <v>3190094921481</v>
      </c>
      <c r="E97" t="s">
        <v>53</v>
      </c>
      <c r="F97" t="s">
        <v>569</v>
      </c>
      <c r="G97" t="s">
        <v>570</v>
      </c>
      <c r="H97" t="s">
        <v>571</v>
      </c>
      <c r="I97" t="s">
        <v>674</v>
      </c>
      <c r="J97" t="s">
        <v>674</v>
      </c>
      <c r="K97" t="s">
        <v>675</v>
      </c>
      <c r="L97" t="s">
        <v>487</v>
      </c>
      <c r="M97" t="s">
        <v>486</v>
      </c>
      <c r="N97" t="s">
        <v>937</v>
      </c>
      <c r="P97" t="s">
        <v>575</v>
      </c>
      <c r="Q97" t="s">
        <v>620</v>
      </c>
      <c r="R97" t="s">
        <v>1013</v>
      </c>
      <c r="S97">
        <v>20170822</v>
      </c>
      <c r="T97" t="s">
        <v>1088</v>
      </c>
      <c r="X97">
        <v>19</v>
      </c>
      <c r="Y97">
        <v>65322</v>
      </c>
      <c r="AA97" t="s">
        <v>577</v>
      </c>
      <c r="AB97">
        <v>20190208</v>
      </c>
      <c r="AE97">
        <f t="shared" si="1"/>
        <v>0</v>
      </c>
      <c r="AF97">
        <v>0</v>
      </c>
      <c r="AG97">
        <v>0</v>
      </c>
      <c r="AH97">
        <v>0</v>
      </c>
      <c r="AI97" s="121">
        <v>489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489</v>
      </c>
    </row>
    <row r="98" spans="1:41">
      <c r="A98">
        <v>201903</v>
      </c>
      <c r="B98">
        <v>25</v>
      </c>
      <c r="C98" t="s">
        <v>502</v>
      </c>
      <c r="D98">
        <v>3190096015211</v>
      </c>
      <c r="E98" t="s">
        <v>53</v>
      </c>
      <c r="F98" t="s">
        <v>569</v>
      </c>
      <c r="G98" t="s">
        <v>570</v>
      </c>
      <c r="H98" t="s">
        <v>571</v>
      </c>
      <c r="I98" t="s">
        <v>674</v>
      </c>
      <c r="L98" t="s">
        <v>491</v>
      </c>
      <c r="M98" t="s">
        <v>490</v>
      </c>
      <c r="N98" t="s">
        <v>907</v>
      </c>
      <c r="P98" t="s">
        <v>575</v>
      </c>
      <c r="Q98" t="s">
        <v>620</v>
      </c>
      <c r="R98" t="s">
        <v>1013</v>
      </c>
      <c r="S98">
        <v>20170825</v>
      </c>
      <c r="T98" t="s">
        <v>867</v>
      </c>
      <c r="X98">
        <v>19</v>
      </c>
      <c r="Y98">
        <v>30000</v>
      </c>
      <c r="AA98" t="s">
        <v>577</v>
      </c>
      <c r="AB98">
        <v>20190215</v>
      </c>
      <c r="AE98">
        <f t="shared" si="1"/>
        <v>0</v>
      </c>
      <c r="AF98">
        <v>0</v>
      </c>
      <c r="AG98">
        <v>0</v>
      </c>
      <c r="AH98">
        <v>0</v>
      </c>
      <c r="AI98" s="121">
        <v>225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225</v>
      </c>
    </row>
    <row r="99" spans="1:41">
      <c r="A99">
        <v>201903</v>
      </c>
      <c r="B99">
        <v>25</v>
      </c>
      <c r="C99" t="s">
        <v>502</v>
      </c>
      <c r="D99">
        <v>3190096030291</v>
      </c>
      <c r="E99" t="s">
        <v>53</v>
      </c>
      <c r="F99" t="s">
        <v>569</v>
      </c>
      <c r="G99" t="s">
        <v>570</v>
      </c>
      <c r="H99" t="s">
        <v>571</v>
      </c>
      <c r="I99" t="s">
        <v>674</v>
      </c>
      <c r="J99" t="s">
        <v>674</v>
      </c>
      <c r="K99" t="s">
        <v>675</v>
      </c>
      <c r="L99" t="s">
        <v>489</v>
      </c>
      <c r="M99" t="s">
        <v>488</v>
      </c>
      <c r="N99" t="s">
        <v>902</v>
      </c>
      <c r="P99" t="s">
        <v>575</v>
      </c>
      <c r="Q99" t="s">
        <v>620</v>
      </c>
      <c r="R99" t="s">
        <v>1014</v>
      </c>
      <c r="S99">
        <v>20170825</v>
      </c>
      <c r="T99" t="s">
        <v>803</v>
      </c>
      <c r="X99">
        <v>19</v>
      </c>
      <c r="Y99">
        <v>40000</v>
      </c>
      <c r="AA99" t="s">
        <v>577</v>
      </c>
      <c r="AB99">
        <v>20190225</v>
      </c>
      <c r="AE99">
        <f t="shared" si="1"/>
        <v>0</v>
      </c>
      <c r="AF99">
        <v>0</v>
      </c>
      <c r="AG99">
        <v>0</v>
      </c>
      <c r="AH99">
        <v>0</v>
      </c>
      <c r="AI99" s="121">
        <v>200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200</v>
      </c>
    </row>
    <row r="100" spans="1:41">
      <c r="A100">
        <v>201903</v>
      </c>
      <c r="B100">
        <v>25</v>
      </c>
      <c r="C100" t="s">
        <v>502</v>
      </c>
      <c r="D100">
        <v>3190096642351</v>
      </c>
      <c r="E100" t="s">
        <v>53</v>
      </c>
      <c r="F100" t="s">
        <v>569</v>
      </c>
      <c r="G100" t="s">
        <v>570</v>
      </c>
      <c r="H100" t="s">
        <v>571</v>
      </c>
      <c r="I100" t="s">
        <v>674</v>
      </c>
      <c r="J100" t="s">
        <v>674</v>
      </c>
      <c r="K100" t="s">
        <v>675</v>
      </c>
      <c r="L100" t="s">
        <v>489</v>
      </c>
      <c r="M100" t="s">
        <v>488</v>
      </c>
      <c r="N100" t="s">
        <v>902</v>
      </c>
      <c r="P100" t="s">
        <v>575</v>
      </c>
      <c r="Q100" t="s">
        <v>620</v>
      </c>
      <c r="R100" t="s">
        <v>1014</v>
      </c>
      <c r="S100">
        <v>20170830</v>
      </c>
      <c r="T100" t="s">
        <v>1083</v>
      </c>
      <c r="X100">
        <v>19</v>
      </c>
      <c r="Y100">
        <v>40000</v>
      </c>
      <c r="AA100" t="s">
        <v>577</v>
      </c>
      <c r="AB100">
        <v>20190220</v>
      </c>
      <c r="AE100">
        <f t="shared" si="1"/>
        <v>0</v>
      </c>
      <c r="AF100">
        <v>0</v>
      </c>
      <c r="AG100">
        <v>0</v>
      </c>
      <c r="AH100">
        <v>0</v>
      </c>
      <c r="AI100" s="121">
        <v>200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200</v>
      </c>
    </row>
    <row r="101" spans="1:41">
      <c r="A101">
        <v>201903</v>
      </c>
      <c r="B101">
        <v>25</v>
      </c>
      <c r="C101" t="s">
        <v>502</v>
      </c>
      <c r="D101">
        <v>3190096840731</v>
      </c>
      <c r="E101" t="s">
        <v>53</v>
      </c>
      <c r="F101" t="s">
        <v>569</v>
      </c>
      <c r="G101" t="s">
        <v>570</v>
      </c>
      <c r="H101" t="s">
        <v>571</v>
      </c>
      <c r="I101" t="s">
        <v>578</v>
      </c>
      <c r="J101" t="s">
        <v>578</v>
      </c>
      <c r="K101" t="s">
        <v>579</v>
      </c>
      <c r="L101" t="s">
        <v>594</v>
      </c>
      <c r="M101" t="s">
        <v>595</v>
      </c>
      <c r="N101" t="s">
        <v>908</v>
      </c>
      <c r="P101" t="s">
        <v>575</v>
      </c>
      <c r="Q101" t="s">
        <v>620</v>
      </c>
      <c r="R101" t="s">
        <v>1013</v>
      </c>
      <c r="S101">
        <v>20170831</v>
      </c>
      <c r="T101" t="s">
        <v>804</v>
      </c>
      <c r="X101">
        <v>19</v>
      </c>
      <c r="Y101">
        <v>30000</v>
      </c>
      <c r="AA101" t="s">
        <v>577</v>
      </c>
      <c r="AB101">
        <v>20190211</v>
      </c>
      <c r="AE101">
        <f t="shared" si="1"/>
        <v>0</v>
      </c>
      <c r="AF101">
        <v>0</v>
      </c>
      <c r="AG101">
        <v>0</v>
      </c>
      <c r="AH101">
        <v>0</v>
      </c>
      <c r="AI101" s="121">
        <v>225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225</v>
      </c>
    </row>
    <row r="102" spans="1:41">
      <c r="A102">
        <v>201903</v>
      </c>
      <c r="B102">
        <v>25</v>
      </c>
      <c r="C102" t="s">
        <v>502</v>
      </c>
      <c r="D102">
        <v>3190096933811</v>
      </c>
      <c r="E102" t="s">
        <v>53</v>
      </c>
      <c r="F102" t="s">
        <v>569</v>
      </c>
      <c r="G102" t="s">
        <v>570</v>
      </c>
      <c r="H102" t="s">
        <v>571</v>
      </c>
      <c r="I102" t="s">
        <v>578</v>
      </c>
      <c r="J102" t="s">
        <v>578</v>
      </c>
      <c r="K102" t="s">
        <v>579</v>
      </c>
      <c r="L102" t="s">
        <v>716</v>
      </c>
      <c r="M102" t="s">
        <v>717</v>
      </c>
      <c r="N102" t="s">
        <v>1232</v>
      </c>
      <c r="P102" t="s">
        <v>575</v>
      </c>
      <c r="Q102" t="s">
        <v>699</v>
      </c>
      <c r="R102" t="s">
        <v>1148</v>
      </c>
      <c r="S102">
        <v>20170831</v>
      </c>
      <c r="T102" t="s">
        <v>791</v>
      </c>
      <c r="X102">
        <v>19</v>
      </c>
      <c r="Y102">
        <v>1000000</v>
      </c>
      <c r="AA102" t="s">
        <v>577</v>
      </c>
      <c r="AB102">
        <v>20190228</v>
      </c>
      <c r="AE102">
        <f t="shared" si="1"/>
        <v>0</v>
      </c>
      <c r="AF102">
        <v>0</v>
      </c>
      <c r="AG102">
        <v>0</v>
      </c>
      <c r="AH102">
        <v>0</v>
      </c>
      <c r="AI102" s="121">
        <v>5000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5000</v>
      </c>
    </row>
    <row r="103" spans="1:41">
      <c r="A103">
        <v>201903</v>
      </c>
      <c r="B103">
        <v>25</v>
      </c>
      <c r="C103" t="s">
        <v>502</v>
      </c>
      <c r="D103">
        <v>3190097018351</v>
      </c>
      <c r="E103" t="s">
        <v>53</v>
      </c>
      <c r="F103" t="s">
        <v>569</v>
      </c>
      <c r="G103" t="s">
        <v>570</v>
      </c>
      <c r="H103" t="s">
        <v>571</v>
      </c>
      <c r="I103" t="s">
        <v>578</v>
      </c>
      <c r="J103" t="s">
        <v>578</v>
      </c>
      <c r="K103" t="s">
        <v>579</v>
      </c>
      <c r="L103" t="s">
        <v>615</v>
      </c>
      <c r="M103" t="s">
        <v>616</v>
      </c>
      <c r="N103" t="s">
        <v>919</v>
      </c>
      <c r="P103" t="s">
        <v>575</v>
      </c>
      <c r="Q103" t="s">
        <v>620</v>
      </c>
      <c r="R103" t="s">
        <v>1014</v>
      </c>
      <c r="S103">
        <v>20170908</v>
      </c>
      <c r="T103" t="s">
        <v>1015</v>
      </c>
      <c r="X103">
        <v>17</v>
      </c>
      <c r="Y103">
        <v>82000</v>
      </c>
      <c r="AA103" t="s">
        <v>577</v>
      </c>
      <c r="AB103">
        <v>20190228</v>
      </c>
      <c r="AE103">
        <f t="shared" si="1"/>
        <v>0</v>
      </c>
      <c r="AF103">
        <v>0</v>
      </c>
      <c r="AG103">
        <v>0</v>
      </c>
      <c r="AH103">
        <v>0</v>
      </c>
      <c r="AI103" s="121">
        <v>410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410</v>
      </c>
    </row>
    <row r="104" spans="1:41">
      <c r="A104">
        <v>201903</v>
      </c>
      <c r="B104">
        <v>25</v>
      </c>
      <c r="C104" t="s">
        <v>502</v>
      </c>
      <c r="D104">
        <v>3190100930341</v>
      </c>
      <c r="E104" t="s">
        <v>53</v>
      </c>
      <c r="F104" t="s">
        <v>569</v>
      </c>
      <c r="G104" t="s">
        <v>570</v>
      </c>
      <c r="H104" t="s">
        <v>571</v>
      </c>
      <c r="I104" t="s">
        <v>633</v>
      </c>
      <c r="L104" t="s">
        <v>641</v>
      </c>
      <c r="M104" t="s">
        <v>642</v>
      </c>
      <c r="N104" t="s">
        <v>921</v>
      </c>
      <c r="P104" t="s">
        <v>575</v>
      </c>
      <c r="Q104" t="s">
        <v>620</v>
      </c>
      <c r="R104" t="s">
        <v>1013</v>
      </c>
      <c r="S104">
        <v>20170929</v>
      </c>
      <c r="T104" t="s">
        <v>696</v>
      </c>
      <c r="V104">
        <v>0</v>
      </c>
      <c r="W104">
        <v>0</v>
      </c>
      <c r="X104">
        <v>18</v>
      </c>
      <c r="Y104">
        <v>66000</v>
      </c>
      <c r="AA104" t="s">
        <v>577</v>
      </c>
      <c r="AB104">
        <v>20190220</v>
      </c>
      <c r="AE104">
        <f t="shared" si="1"/>
        <v>0</v>
      </c>
      <c r="AF104">
        <v>0</v>
      </c>
      <c r="AG104">
        <v>0</v>
      </c>
      <c r="AH104">
        <v>0</v>
      </c>
      <c r="AI104" s="121">
        <v>495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495</v>
      </c>
    </row>
    <row r="105" spans="1:41">
      <c r="A105">
        <v>201903</v>
      </c>
      <c r="B105">
        <v>25</v>
      </c>
      <c r="C105" t="s">
        <v>502</v>
      </c>
      <c r="D105">
        <v>3190101018741</v>
      </c>
      <c r="E105" t="s">
        <v>53</v>
      </c>
      <c r="F105" t="s">
        <v>569</v>
      </c>
      <c r="G105" t="s">
        <v>570</v>
      </c>
      <c r="H105" t="s">
        <v>571</v>
      </c>
      <c r="I105" t="s">
        <v>646</v>
      </c>
      <c r="J105" t="s">
        <v>1137</v>
      </c>
      <c r="L105" t="s">
        <v>668</v>
      </c>
      <c r="M105" t="s">
        <v>669</v>
      </c>
      <c r="N105" t="s">
        <v>994</v>
      </c>
      <c r="P105" t="s">
        <v>575</v>
      </c>
      <c r="Q105" t="s">
        <v>620</v>
      </c>
      <c r="R105" t="s">
        <v>1013</v>
      </c>
      <c r="S105">
        <v>20170929</v>
      </c>
      <c r="T105" t="s">
        <v>1055</v>
      </c>
      <c r="X105">
        <v>18</v>
      </c>
      <c r="Y105">
        <v>66700</v>
      </c>
      <c r="AA105" t="s">
        <v>577</v>
      </c>
      <c r="AB105">
        <v>20190220</v>
      </c>
      <c r="AE105">
        <f t="shared" si="1"/>
        <v>0</v>
      </c>
      <c r="AF105">
        <v>0</v>
      </c>
      <c r="AG105">
        <v>0</v>
      </c>
      <c r="AH105">
        <v>0</v>
      </c>
      <c r="AI105" s="121">
        <v>500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500</v>
      </c>
    </row>
    <row r="106" spans="1:41">
      <c r="A106">
        <v>201903</v>
      </c>
      <c r="B106">
        <v>25</v>
      </c>
      <c r="C106" t="s">
        <v>502</v>
      </c>
      <c r="D106">
        <v>3190101018881</v>
      </c>
      <c r="E106" t="s">
        <v>53</v>
      </c>
      <c r="F106" t="s">
        <v>569</v>
      </c>
      <c r="G106" t="s">
        <v>570</v>
      </c>
      <c r="H106" t="s">
        <v>571</v>
      </c>
      <c r="I106" t="s">
        <v>646</v>
      </c>
      <c r="J106" t="s">
        <v>1137</v>
      </c>
      <c r="L106" t="s">
        <v>668</v>
      </c>
      <c r="M106" t="s">
        <v>669</v>
      </c>
      <c r="N106" t="s">
        <v>994</v>
      </c>
      <c r="P106" t="s">
        <v>575</v>
      </c>
      <c r="Q106" t="s">
        <v>620</v>
      </c>
      <c r="R106" t="s">
        <v>1013</v>
      </c>
      <c r="S106">
        <v>20170929</v>
      </c>
      <c r="T106" t="s">
        <v>1055</v>
      </c>
      <c r="X106">
        <v>18</v>
      </c>
      <c r="Y106">
        <v>65500</v>
      </c>
      <c r="AA106" t="s">
        <v>577</v>
      </c>
      <c r="AB106">
        <v>20190220</v>
      </c>
      <c r="AE106">
        <f t="shared" si="1"/>
        <v>0</v>
      </c>
      <c r="AF106">
        <v>0</v>
      </c>
      <c r="AG106">
        <v>0</v>
      </c>
      <c r="AH106">
        <v>0</v>
      </c>
      <c r="AI106" s="121">
        <v>491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491</v>
      </c>
    </row>
    <row r="107" spans="1:41">
      <c r="A107">
        <v>201903</v>
      </c>
      <c r="B107">
        <v>25</v>
      </c>
      <c r="C107" t="s">
        <v>502</v>
      </c>
      <c r="D107">
        <v>3190101784211</v>
      </c>
      <c r="E107" t="s">
        <v>53</v>
      </c>
      <c r="F107" t="s">
        <v>569</v>
      </c>
      <c r="G107" t="s">
        <v>570</v>
      </c>
      <c r="H107" t="s">
        <v>571</v>
      </c>
      <c r="I107" t="s">
        <v>633</v>
      </c>
      <c r="L107" t="s">
        <v>641</v>
      </c>
      <c r="M107" t="s">
        <v>642</v>
      </c>
      <c r="N107" t="s">
        <v>921</v>
      </c>
      <c r="P107" t="s">
        <v>575</v>
      </c>
      <c r="Q107" t="s">
        <v>620</v>
      </c>
      <c r="R107" t="s">
        <v>1071</v>
      </c>
      <c r="S107">
        <v>20171017</v>
      </c>
      <c r="T107" t="s">
        <v>685</v>
      </c>
      <c r="V107">
        <v>46</v>
      </c>
      <c r="W107">
        <v>30</v>
      </c>
      <c r="X107">
        <v>17</v>
      </c>
      <c r="Y107">
        <v>24553</v>
      </c>
      <c r="AA107" t="s">
        <v>577</v>
      </c>
      <c r="AB107">
        <v>20190228</v>
      </c>
      <c r="AE107">
        <f t="shared" si="1"/>
        <v>0</v>
      </c>
      <c r="AF107">
        <v>0</v>
      </c>
      <c r="AG107">
        <v>0</v>
      </c>
      <c r="AH107">
        <v>0</v>
      </c>
      <c r="AI107" s="121">
        <v>122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122</v>
      </c>
    </row>
    <row r="108" spans="1:41">
      <c r="A108">
        <v>201903</v>
      </c>
      <c r="B108">
        <v>25</v>
      </c>
      <c r="C108" t="s">
        <v>502</v>
      </c>
      <c r="D108">
        <v>3190101863181</v>
      </c>
      <c r="E108" t="s">
        <v>53</v>
      </c>
      <c r="F108" t="s">
        <v>569</v>
      </c>
      <c r="G108" t="s">
        <v>570</v>
      </c>
      <c r="H108" t="s">
        <v>571</v>
      </c>
      <c r="I108" t="s">
        <v>578</v>
      </c>
      <c r="J108" t="s">
        <v>578</v>
      </c>
      <c r="K108" t="s">
        <v>579</v>
      </c>
      <c r="L108" t="s">
        <v>741</v>
      </c>
      <c r="M108" t="s">
        <v>710</v>
      </c>
      <c r="N108" t="s">
        <v>913</v>
      </c>
      <c r="P108" t="s">
        <v>575</v>
      </c>
      <c r="Q108" t="s">
        <v>620</v>
      </c>
      <c r="R108" t="s">
        <v>1014</v>
      </c>
      <c r="S108">
        <v>20171012</v>
      </c>
      <c r="T108" t="s">
        <v>797</v>
      </c>
      <c r="X108">
        <v>17</v>
      </c>
      <c r="Y108">
        <v>43000</v>
      </c>
      <c r="AA108" t="s">
        <v>577</v>
      </c>
      <c r="AB108">
        <v>20190228</v>
      </c>
      <c r="AE108">
        <f t="shared" si="1"/>
        <v>0</v>
      </c>
      <c r="AF108">
        <v>0</v>
      </c>
      <c r="AG108">
        <v>0</v>
      </c>
      <c r="AH108">
        <v>0</v>
      </c>
      <c r="AI108" s="121">
        <v>215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215</v>
      </c>
    </row>
    <row r="109" spans="1:41">
      <c r="A109">
        <v>201903</v>
      </c>
      <c r="B109">
        <v>25</v>
      </c>
      <c r="C109" t="s">
        <v>502</v>
      </c>
      <c r="D109">
        <v>3190102134361</v>
      </c>
      <c r="E109" t="s">
        <v>53</v>
      </c>
      <c r="F109" t="s">
        <v>569</v>
      </c>
      <c r="G109" t="s">
        <v>570</v>
      </c>
      <c r="H109" t="s">
        <v>571</v>
      </c>
      <c r="I109" t="s">
        <v>674</v>
      </c>
      <c r="J109" t="s">
        <v>674</v>
      </c>
      <c r="K109" t="s">
        <v>675</v>
      </c>
      <c r="L109" t="s">
        <v>489</v>
      </c>
      <c r="M109" t="s">
        <v>488</v>
      </c>
      <c r="N109" t="s">
        <v>902</v>
      </c>
      <c r="P109" t="s">
        <v>575</v>
      </c>
      <c r="Q109" t="s">
        <v>620</v>
      </c>
      <c r="R109" t="s">
        <v>1014</v>
      </c>
      <c r="S109">
        <v>20171013</v>
      </c>
      <c r="T109" t="s">
        <v>1065</v>
      </c>
      <c r="X109">
        <v>17</v>
      </c>
      <c r="Y109">
        <v>40000</v>
      </c>
      <c r="AA109" t="s">
        <v>577</v>
      </c>
      <c r="AB109">
        <v>20190225</v>
      </c>
      <c r="AE109">
        <f t="shared" si="1"/>
        <v>0</v>
      </c>
      <c r="AF109">
        <v>0</v>
      </c>
      <c r="AG109">
        <v>0</v>
      </c>
      <c r="AH109">
        <v>0</v>
      </c>
      <c r="AI109" s="121">
        <v>200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200</v>
      </c>
    </row>
    <row r="110" spans="1:41">
      <c r="A110">
        <v>201903</v>
      </c>
      <c r="B110">
        <v>25</v>
      </c>
      <c r="C110" t="s">
        <v>502</v>
      </c>
      <c r="D110">
        <v>3190102647371</v>
      </c>
      <c r="E110" t="s">
        <v>53</v>
      </c>
      <c r="F110" t="s">
        <v>569</v>
      </c>
      <c r="G110" t="s">
        <v>570</v>
      </c>
      <c r="H110" t="s">
        <v>571</v>
      </c>
      <c r="I110" t="s">
        <v>578</v>
      </c>
      <c r="J110" t="s">
        <v>578</v>
      </c>
      <c r="K110" t="s">
        <v>579</v>
      </c>
      <c r="L110" t="s">
        <v>741</v>
      </c>
      <c r="M110" t="s">
        <v>710</v>
      </c>
      <c r="N110" t="s">
        <v>913</v>
      </c>
      <c r="P110" t="s">
        <v>575</v>
      </c>
      <c r="Q110" t="s">
        <v>620</v>
      </c>
      <c r="R110" t="s">
        <v>1014</v>
      </c>
      <c r="S110">
        <v>20171023</v>
      </c>
      <c r="T110" t="s">
        <v>997</v>
      </c>
      <c r="X110">
        <v>17</v>
      </c>
      <c r="Y110">
        <v>76500</v>
      </c>
      <c r="AA110" t="s">
        <v>577</v>
      </c>
      <c r="AB110">
        <v>20190225</v>
      </c>
      <c r="AE110">
        <f t="shared" si="1"/>
        <v>0</v>
      </c>
      <c r="AF110">
        <v>0</v>
      </c>
      <c r="AG110">
        <v>0</v>
      </c>
      <c r="AH110">
        <v>0</v>
      </c>
      <c r="AI110" s="121">
        <v>382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382</v>
      </c>
    </row>
    <row r="111" spans="1:41">
      <c r="A111">
        <v>201903</v>
      </c>
      <c r="B111">
        <v>25</v>
      </c>
      <c r="C111" t="s">
        <v>502</v>
      </c>
      <c r="D111">
        <v>3190415927611</v>
      </c>
      <c r="E111" t="s">
        <v>53</v>
      </c>
      <c r="F111" t="s">
        <v>569</v>
      </c>
      <c r="G111" t="s">
        <v>570</v>
      </c>
      <c r="H111" t="s">
        <v>571</v>
      </c>
      <c r="I111" t="s">
        <v>646</v>
      </c>
      <c r="L111" t="s">
        <v>677</v>
      </c>
      <c r="M111" t="s">
        <v>678</v>
      </c>
      <c r="N111" t="s">
        <v>938</v>
      </c>
      <c r="P111" t="s">
        <v>575</v>
      </c>
      <c r="Q111" t="s">
        <v>620</v>
      </c>
      <c r="R111" t="s">
        <v>1134</v>
      </c>
      <c r="S111">
        <v>20180329</v>
      </c>
      <c r="T111" t="s">
        <v>1209</v>
      </c>
      <c r="X111">
        <v>12</v>
      </c>
      <c r="Y111">
        <v>21000</v>
      </c>
      <c r="AA111" t="s">
        <v>577</v>
      </c>
      <c r="AB111">
        <v>20190220</v>
      </c>
      <c r="AE111">
        <f t="shared" si="1"/>
        <v>16905</v>
      </c>
      <c r="AF111">
        <v>0</v>
      </c>
      <c r="AG111">
        <v>16905</v>
      </c>
      <c r="AH111">
        <v>0</v>
      </c>
      <c r="AI111" s="12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16905</v>
      </c>
    </row>
    <row r="112" spans="1:41">
      <c r="A112">
        <v>201903</v>
      </c>
      <c r="B112">
        <v>25</v>
      </c>
      <c r="C112" t="s">
        <v>502</v>
      </c>
      <c r="D112">
        <v>3190416169991</v>
      </c>
      <c r="E112" t="s">
        <v>53</v>
      </c>
      <c r="F112" t="s">
        <v>569</v>
      </c>
      <c r="G112" t="s">
        <v>570</v>
      </c>
      <c r="H112" t="s">
        <v>571</v>
      </c>
      <c r="I112" t="s">
        <v>646</v>
      </c>
      <c r="L112" t="s">
        <v>677</v>
      </c>
      <c r="M112" t="s">
        <v>678</v>
      </c>
      <c r="N112" t="s">
        <v>938</v>
      </c>
      <c r="P112" t="s">
        <v>575</v>
      </c>
      <c r="Q112" t="s">
        <v>620</v>
      </c>
      <c r="R112" t="s">
        <v>1013</v>
      </c>
      <c r="S112">
        <v>20180330</v>
      </c>
      <c r="T112" t="s">
        <v>977</v>
      </c>
      <c r="X112">
        <v>12</v>
      </c>
      <c r="Y112">
        <v>39500</v>
      </c>
      <c r="AA112" t="s">
        <v>577</v>
      </c>
      <c r="AB112">
        <v>20190215</v>
      </c>
      <c r="AE112">
        <f t="shared" si="1"/>
        <v>33318</v>
      </c>
      <c r="AF112">
        <v>0</v>
      </c>
      <c r="AG112">
        <v>33318</v>
      </c>
      <c r="AH112">
        <v>0</v>
      </c>
      <c r="AI112" s="121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33318</v>
      </c>
    </row>
    <row r="113" spans="1:41">
      <c r="A113">
        <v>201903</v>
      </c>
      <c r="B113">
        <v>25</v>
      </c>
      <c r="C113" t="s">
        <v>502</v>
      </c>
      <c r="D113">
        <v>3190416310621</v>
      </c>
      <c r="E113" t="s">
        <v>53</v>
      </c>
      <c r="F113" t="s">
        <v>569</v>
      </c>
      <c r="G113" t="s">
        <v>570</v>
      </c>
      <c r="H113" t="s">
        <v>571</v>
      </c>
      <c r="I113" t="s">
        <v>646</v>
      </c>
      <c r="L113" t="s">
        <v>677</v>
      </c>
      <c r="M113" t="s">
        <v>678</v>
      </c>
      <c r="N113" t="s">
        <v>938</v>
      </c>
      <c r="P113" t="s">
        <v>575</v>
      </c>
      <c r="Q113" t="s">
        <v>620</v>
      </c>
      <c r="R113" t="s">
        <v>1210</v>
      </c>
      <c r="S113">
        <v>20180329</v>
      </c>
      <c r="T113" t="s">
        <v>798</v>
      </c>
      <c r="X113">
        <v>12</v>
      </c>
      <c r="Y113">
        <v>77000</v>
      </c>
      <c r="AA113" t="s">
        <v>577</v>
      </c>
      <c r="AB113">
        <v>20190207</v>
      </c>
      <c r="AE113">
        <f t="shared" si="1"/>
        <v>38615</v>
      </c>
      <c r="AF113">
        <v>0</v>
      </c>
      <c r="AG113">
        <v>38615</v>
      </c>
      <c r="AH113">
        <v>0</v>
      </c>
      <c r="AI113" s="121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38615</v>
      </c>
    </row>
    <row r="114" spans="1:41">
      <c r="A114">
        <v>201903</v>
      </c>
      <c r="B114">
        <v>25</v>
      </c>
      <c r="C114" t="s">
        <v>502</v>
      </c>
      <c r="D114">
        <v>3190416406911</v>
      </c>
      <c r="E114" t="s">
        <v>53</v>
      </c>
      <c r="F114" t="s">
        <v>569</v>
      </c>
      <c r="G114" t="s">
        <v>570</v>
      </c>
      <c r="H114" t="s">
        <v>571</v>
      </c>
      <c r="I114" t="s">
        <v>646</v>
      </c>
      <c r="L114" t="s">
        <v>677</v>
      </c>
      <c r="M114" t="s">
        <v>678</v>
      </c>
      <c r="N114" t="s">
        <v>938</v>
      </c>
      <c r="P114" t="s">
        <v>575</v>
      </c>
      <c r="Q114" t="s">
        <v>620</v>
      </c>
      <c r="R114" t="s">
        <v>1210</v>
      </c>
      <c r="S114">
        <v>20180329</v>
      </c>
      <c r="T114" t="s">
        <v>798</v>
      </c>
      <c r="X114">
        <v>12</v>
      </c>
      <c r="Y114">
        <v>77000</v>
      </c>
      <c r="AA114" t="s">
        <v>577</v>
      </c>
      <c r="AB114">
        <v>20190207</v>
      </c>
      <c r="AE114">
        <f t="shared" si="1"/>
        <v>38738</v>
      </c>
      <c r="AF114">
        <v>0</v>
      </c>
      <c r="AG114">
        <v>38738</v>
      </c>
      <c r="AH114">
        <v>0</v>
      </c>
      <c r="AI114" s="121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38738</v>
      </c>
    </row>
    <row r="115" spans="1:41">
      <c r="A115">
        <v>201903</v>
      </c>
      <c r="B115">
        <v>25</v>
      </c>
      <c r="C115" t="s">
        <v>502</v>
      </c>
      <c r="D115">
        <v>3190416568241</v>
      </c>
      <c r="E115" t="s">
        <v>53</v>
      </c>
      <c r="F115" t="s">
        <v>569</v>
      </c>
      <c r="G115" t="s">
        <v>570</v>
      </c>
      <c r="H115" t="s">
        <v>571</v>
      </c>
      <c r="I115" t="s">
        <v>674</v>
      </c>
      <c r="J115" t="s">
        <v>674</v>
      </c>
      <c r="K115" t="s">
        <v>675</v>
      </c>
      <c r="L115" t="s">
        <v>489</v>
      </c>
      <c r="M115" t="s">
        <v>488</v>
      </c>
      <c r="N115" t="s">
        <v>902</v>
      </c>
      <c r="P115" t="s">
        <v>575</v>
      </c>
      <c r="Q115" t="s">
        <v>620</v>
      </c>
      <c r="R115" t="s">
        <v>1013</v>
      </c>
      <c r="S115">
        <v>20180329</v>
      </c>
      <c r="T115" t="s">
        <v>1047</v>
      </c>
      <c r="X115">
        <v>12</v>
      </c>
      <c r="Y115">
        <v>30000</v>
      </c>
      <c r="AA115" t="s">
        <v>577</v>
      </c>
      <c r="AB115">
        <v>20190220</v>
      </c>
      <c r="AE115">
        <f t="shared" si="1"/>
        <v>25305</v>
      </c>
      <c r="AF115">
        <v>0</v>
      </c>
      <c r="AG115">
        <v>25305</v>
      </c>
      <c r="AH115">
        <v>0</v>
      </c>
      <c r="AI115" s="121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25305</v>
      </c>
    </row>
    <row r="116" spans="1:41">
      <c r="A116">
        <v>201903</v>
      </c>
      <c r="B116">
        <v>25</v>
      </c>
      <c r="C116" t="s">
        <v>502</v>
      </c>
      <c r="D116">
        <v>3190416945081</v>
      </c>
      <c r="E116" t="s">
        <v>53</v>
      </c>
      <c r="F116" t="s">
        <v>569</v>
      </c>
      <c r="G116" t="s">
        <v>570</v>
      </c>
      <c r="H116" t="s">
        <v>571</v>
      </c>
      <c r="I116" t="s">
        <v>674</v>
      </c>
      <c r="J116" t="s">
        <v>674</v>
      </c>
      <c r="K116" t="s">
        <v>675</v>
      </c>
      <c r="L116" t="s">
        <v>487</v>
      </c>
      <c r="M116" t="s">
        <v>486</v>
      </c>
      <c r="N116" t="s">
        <v>937</v>
      </c>
      <c r="P116" t="s">
        <v>575</v>
      </c>
      <c r="Q116" t="s">
        <v>620</v>
      </c>
      <c r="R116" t="s">
        <v>1013</v>
      </c>
      <c r="S116">
        <v>20180330</v>
      </c>
      <c r="T116" t="s">
        <v>983</v>
      </c>
      <c r="X116">
        <v>12</v>
      </c>
      <c r="Y116">
        <v>56500</v>
      </c>
      <c r="AA116" t="s">
        <v>577</v>
      </c>
      <c r="AB116">
        <v>20190225</v>
      </c>
      <c r="AE116">
        <f t="shared" si="1"/>
        <v>47657</v>
      </c>
      <c r="AF116">
        <v>0</v>
      </c>
      <c r="AG116">
        <v>47657</v>
      </c>
      <c r="AH116">
        <v>0</v>
      </c>
      <c r="AI116" s="121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47657</v>
      </c>
    </row>
    <row r="117" spans="1:41">
      <c r="A117">
        <v>201903</v>
      </c>
      <c r="B117">
        <v>25</v>
      </c>
      <c r="C117" t="s">
        <v>502</v>
      </c>
      <c r="D117">
        <v>3190418778001</v>
      </c>
      <c r="E117" t="s">
        <v>53</v>
      </c>
      <c r="F117" t="s">
        <v>569</v>
      </c>
      <c r="G117" t="s">
        <v>570</v>
      </c>
      <c r="H117" t="s">
        <v>571</v>
      </c>
      <c r="I117" t="s">
        <v>674</v>
      </c>
      <c r="J117" t="s">
        <v>674</v>
      </c>
      <c r="K117" t="s">
        <v>675</v>
      </c>
      <c r="L117" t="s">
        <v>489</v>
      </c>
      <c r="M117" t="s">
        <v>488</v>
      </c>
      <c r="N117" t="s">
        <v>902</v>
      </c>
      <c r="P117" t="s">
        <v>575</v>
      </c>
      <c r="Q117" t="s">
        <v>620</v>
      </c>
      <c r="R117" t="s">
        <v>951</v>
      </c>
      <c r="S117">
        <v>20180411</v>
      </c>
      <c r="T117" t="s">
        <v>827</v>
      </c>
      <c r="X117">
        <v>11</v>
      </c>
      <c r="Y117">
        <v>51000</v>
      </c>
      <c r="AA117" t="s">
        <v>577</v>
      </c>
      <c r="AB117">
        <v>20190225</v>
      </c>
      <c r="AE117">
        <f t="shared" si="1"/>
        <v>36057</v>
      </c>
      <c r="AF117">
        <v>0</v>
      </c>
      <c r="AG117">
        <v>36057</v>
      </c>
      <c r="AH117">
        <v>0</v>
      </c>
      <c r="AI117" s="121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36057</v>
      </c>
    </row>
    <row r="118" spans="1:41">
      <c r="A118">
        <v>201903</v>
      </c>
      <c r="B118">
        <v>25</v>
      </c>
      <c r="C118" t="s">
        <v>502</v>
      </c>
      <c r="D118">
        <v>3190419421611</v>
      </c>
      <c r="E118" t="s">
        <v>53</v>
      </c>
      <c r="F118" t="s">
        <v>569</v>
      </c>
      <c r="G118" t="s">
        <v>570</v>
      </c>
      <c r="H118" t="s">
        <v>571</v>
      </c>
      <c r="I118" t="s">
        <v>578</v>
      </c>
      <c r="J118" t="s">
        <v>578</v>
      </c>
      <c r="K118" t="s">
        <v>579</v>
      </c>
      <c r="L118" t="s">
        <v>724</v>
      </c>
      <c r="M118" t="s">
        <v>725</v>
      </c>
      <c r="N118" t="s">
        <v>1017</v>
      </c>
      <c r="P118" t="s">
        <v>575</v>
      </c>
      <c r="Q118" t="s">
        <v>620</v>
      </c>
      <c r="R118" t="s">
        <v>951</v>
      </c>
      <c r="S118">
        <v>20180413</v>
      </c>
      <c r="T118" t="s">
        <v>788</v>
      </c>
      <c r="X118">
        <v>11</v>
      </c>
      <c r="Y118">
        <v>50000</v>
      </c>
      <c r="AA118" t="s">
        <v>577</v>
      </c>
      <c r="AB118">
        <v>20190220</v>
      </c>
      <c r="AE118">
        <f t="shared" si="1"/>
        <v>35350</v>
      </c>
      <c r="AF118">
        <v>0</v>
      </c>
      <c r="AG118">
        <v>35350</v>
      </c>
      <c r="AH118">
        <v>0</v>
      </c>
      <c r="AI118" s="121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35350</v>
      </c>
    </row>
    <row r="119" spans="1:41">
      <c r="A119">
        <v>201903</v>
      </c>
      <c r="B119">
        <v>25</v>
      </c>
      <c r="C119" t="s">
        <v>502</v>
      </c>
      <c r="D119">
        <v>3190419504421</v>
      </c>
      <c r="E119" t="s">
        <v>53</v>
      </c>
      <c r="F119" t="s">
        <v>569</v>
      </c>
      <c r="G119" t="s">
        <v>570</v>
      </c>
      <c r="H119" t="s">
        <v>571</v>
      </c>
      <c r="I119" t="s">
        <v>674</v>
      </c>
      <c r="J119" t="s">
        <v>674</v>
      </c>
      <c r="K119" t="s">
        <v>675</v>
      </c>
      <c r="L119" t="s">
        <v>489</v>
      </c>
      <c r="M119" t="s">
        <v>488</v>
      </c>
      <c r="N119" t="s">
        <v>902</v>
      </c>
      <c r="P119" t="s">
        <v>575</v>
      </c>
      <c r="Q119" t="s">
        <v>620</v>
      </c>
      <c r="R119" t="s">
        <v>961</v>
      </c>
      <c r="S119">
        <v>20180416</v>
      </c>
      <c r="T119" t="s">
        <v>1072</v>
      </c>
      <c r="X119">
        <v>11</v>
      </c>
      <c r="Y119">
        <v>20000</v>
      </c>
      <c r="AA119" t="s">
        <v>577</v>
      </c>
      <c r="AB119">
        <v>20190208</v>
      </c>
      <c r="AE119">
        <f t="shared" si="1"/>
        <v>16240</v>
      </c>
      <c r="AF119">
        <v>0</v>
      </c>
      <c r="AG119">
        <v>16240</v>
      </c>
      <c r="AH119">
        <v>0</v>
      </c>
      <c r="AI119" s="121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16240</v>
      </c>
    </row>
    <row r="120" spans="1:41">
      <c r="A120">
        <v>201903</v>
      </c>
      <c r="B120">
        <v>25</v>
      </c>
      <c r="C120" t="s">
        <v>502</v>
      </c>
      <c r="D120">
        <v>3190419513261</v>
      </c>
      <c r="E120" t="s">
        <v>53</v>
      </c>
      <c r="F120" t="s">
        <v>569</v>
      </c>
      <c r="G120" t="s">
        <v>570</v>
      </c>
      <c r="H120" t="s">
        <v>571</v>
      </c>
      <c r="I120" t="s">
        <v>578</v>
      </c>
      <c r="J120" t="s">
        <v>578</v>
      </c>
      <c r="K120" t="s">
        <v>579</v>
      </c>
      <c r="L120" t="s">
        <v>586</v>
      </c>
      <c r="M120" t="s">
        <v>587</v>
      </c>
      <c r="N120" t="s">
        <v>1198</v>
      </c>
      <c r="P120" t="s">
        <v>575</v>
      </c>
      <c r="Q120" t="s">
        <v>620</v>
      </c>
      <c r="R120" t="s">
        <v>961</v>
      </c>
      <c r="S120">
        <v>20180420</v>
      </c>
      <c r="T120" t="s">
        <v>1073</v>
      </c>
      <c r="X120">
        <v>11</v>
      </c>
      <c r="Y120">
        <v>20580</v>
      </c>
      <c r="AA120" t="s">
        <v>577</v>
      </c>
      <c r="AB120">
        <v>20190225</v>
      </c>
      <c r="AE120">
        <f t="shared" si="1"/>
        <v>16711</v>
      </c>
      <c r="AF120">
        <v>0</v>
      </c>
      <c r="AG120">
        <v>16711</v>
      </c>
      <c r="AH120">
        <v>0</v>
      </c>
      <c r="AI120" s="121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16711</v>
      </c>
    </row>
    <row r="121" spans="1:41">
      <c r="A121">
        <v>201903</v>
      </c>
      <c r="B121">
        <v>25</v>
      </c>
      <c r="C121" t="s">
        <v>502</v>
      </c>
      <c r="D121">
        <v>3190419618601</v>
      </c>
      <c r="E121" t="s">
        <v>53</v>
      </c>
      <c r="F121" t="s">
        <v>569</v>
      </c>
      <c r="G121" t="s">
        <v>570</v>
      </c>
      <c r="H121" t="s">
        <v>571</v>
      </c>
      <c r="I121" t="s">
        <v>578</v>
      </c>
      <c r="J121" t="s">
        <v>578</v>
      </c>
      <c r="K121" t="s">
        <v>579</v>
      </c>
      <c r="L121" t="s">
        <v>586</v>
      </c>
      <c r="M121" t="s">
        <v>587</v>
      </c>
      <c r="N121" t="s">
        <v>1198</v>
      </c>
      <c r="P121" t="s">
        <v>575</v>
      </c>
      <c r="Q121" t="s">
        <v>620</v>
      </c>
      <c r="R121" t="s">
        <v>961</v>
      </c>
      <c r="S121">
        <v>20180420</v>
      </c>
      <c r="T121" t="s">
        <v>977</v>
      </c>
      <c r="X121">
        <v>9</v>
      </c>
      <c r="Y121">
        <v>22000</v>
      </c>
      <c r="AA121" t="s">
        <v>577</v>
      </c>
      <c r="AB121">
        <v>20190226</v>
      </c>
      <c r="AE121">
        <f t="shared" si="1"/>
        <v>17864</v>
      </c>
      <c r="AF121">
        <v>0</v>
      </c>
      <c r="AG121">
        <v>17864</v>
      </c>
      <c r="AH121">
        <v>0</v>
      </c>
      <c r="AI121" s="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17864</v>
      </c>
    </row>
    <row r="122" spans="1:41">
      <c r="A122">
        <v>201903</v>
      </c>
      <c r="B122">
        <v>25</v>
      </c>
      <c r="C122" t="s">
        <v>502</v>
      </c>
      <c r="D122">
        <v>3190419803331</v>
      </c>
      <c r="E122" t="s">
        <v>53</v>
      </c>
      <c r="F122" t="s">
        <v>569</v>
      </c>
      <c r="G122" t="s">
        <v>570</v>
      </c>
      <c r="H122" t="s">
        <v>571</v>
      </c>
      <c r="I122" t="s">
        <v>674</v>
      </c>
      <c r="J122" t="s">
        <v>674</v>
      </c>
      <c r="K122" t="s">
        <v>675</v>
      </c>
      <c r="L122" t="s">
        <v>489</v>
      </c>
      <c r="M122" t="s">
        <v>488</v>
      </c>
      <c r="N122" t="s">
        <v>902</v>
      </c>
      <c r="P122" t="s">
        <v>575</v>
      </c>
      <c r="Q122" t="s">
        <v>620</v>
      </c>
      <c r="R122" t="s">
        <v>951</v>
      </c>
      <c r="S122">
        <v>20180418</v>
      </c>
      <c r="T122" t="s">
        <v>1082</v>
      </c>
      <c r="X122">
        <v>11</v>
      </c>
      <c r="Y122">
        <v>52000</v>
      </c>
      <c r="AA122" t="s">
        <v>577</v>
      </c>
      <c r="AB122">
        <v>20190220</v>
      </c>
      <c r="AE122">
        <f t="shared" si="1"/>
        <v>36764</v>
      </c>
      <c r="AF122">
        <v>0</v>
      </c>
      <c r="AG122">
        <v>36764</v>
      </c>
      <c r="AH122">
        <v>0</v>
      </c>
      <c r="AI122" s="121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36764</v>
      </c>
    </row>
    <row r="123" spans="1:41">
      <c r="A123">
        <v>201903</v>
      </c>
      <c r="B123">
        <v>25</v>
      </c>
      <c r="C123" t="s">
        <v>502</v>
      </c>
      <c r="D123">
        <v>3190419984901</v>
      </c>
      <c r="E123" t="s">
        <v>53</v>
      </c>
      <c r="F123" t="s">
        <v>569</v>
      </c>
      <c r="G123" t="s">
        <v>570</v>
      </c>
      <c r="H123" t="s">
        <v>571</v>
      </c>
      <c r="I123" t="s">
        <v>674</v>
      </c>
      <c r="J123" t="s">
        <v>674</v>
      </c>
      <c r="K123" t="s">
        <v>675</v>
      </c>
      <c r="L123" t="s">
        <v>489</v>
      </c>
      <c r="M123" t="s">
        <v>488</v>
      </c>
      <c r="N123" t="s">
        <v>902</v>
      </c>
      <c r="P123" t="s">
        <v>575</v>
      </c>
      <c r="Q123" t="s">
        <v>620</v>
      </c>
      <c r="R123" t="s">
        <v>961</v>
      </c>
      <c r="S123">
        <v>20180417</v>
      </c>
      <c r="T123" t="s">
        <v>1083</v>
      </c>
      <c r="X123">
        <v>11</v>
      </c>
      <c r="Y123">
        <v>24498</v>
      </c>
      <c r="AA123" t="s">
        <v>577</v>
      </c>
      <c r="AB123">
        <v>20190220</v>
      </c>
      <c r="AE123">
        <f t="shared" si="1"/>
        <v>19892</v>
      </c>
      <c r="AF123">
        <v>0</v>
      </c>
      <c r="AG123">
        <v>19892</v>
      </c>
      <c r="AH123">
        <v>0</v>
      </c>
      <c r="AI123" s="121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19892</v>
      </c>
    </row>
    <row r="124" spans="1:41">
      <c r="A124">
        <v>201903</v>
      </c>
      <c r="B124">
        <v>25</v>
      </c>
      <c r="C124" t="s">
        <v>502</v>
      </c>
      <c r="D124">
        <v>3190420455211</v>
      </c>
      <c r="E124" t="s">
        <v>53</v>
      </c>
      <c r="F124" t="s">
        <v>569</v>
      </c>
      <c r="G124" t="s">
        <v>570</v>
      </c>
      <c r="H124" t="s">
        <v>571</v>
      </c>
      <c r="I124" t="s">
        <v>578</v>
      </c>
      <c r="J124" t="s">
        <v>578</v>
      </c>
      <c r="K124" t="s">
        <v>579</v>
      </c>
      <c r="L124" t="s">
        <v>615</v>
      </c>
      <c r="M124" t="s">
        <v>616</v>
      </c>
      <c r="N124" t="s">
        <v>919</v>
      </c>
      <c r="P124" t="s">
        <v>575</v>
      </c>
      <c r="Q124" t="s">
        <v>540</v>
      </c>
      <c r="R124" t="s">
        <v>955</v>
      </c>
      <c r="S124">
        <v>20180419</v>
      </c>
      <c r="T124" t="s">
        <v>1086</v>
      </c>
      <c r="X124">
        <v>11</v>
      </c>
      <c r="Y124">
        <v>26249</v>
      </c>
      <c r="AA124" t="s">
        <v>577</v>
      </c>
      <c r="AB124">
        <v>20190225</v>
      </c>
      <c r="AE124">
        <f t="shared" si="1"/>
        <v>2021</v>
      </c>
      <c r="AF124">
        <v>0</v>
      </c>
      <c r="AG124">
        <v>2021</v>
      </c>
      <c r="AH124">
        <v>0</v>
      </c>
      <c r="AI124" s="121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2021</v>
      </c>
    </row>
    <row r="125" spans="1:41">
      <c r="A125">
        <v>201903</v>
      </c>
      <c r="B125">
        <v>25</v>
      </c>
      <c r="C125" t="s">
        <v>502</v>
      </c>
      <c r="D125">
        <v>3190420595021</v>
      </c>
      <c r="E125" t="s">
        <v>53</v>
      </c>
      <c r="F125" t="s">
        <v>569</v>
      </c>
      <c r="G125" t="s">
        <v>570</v>
      </c>
      <c r="H125" t="s">
        <v>571</v>
      </c>
      <c r="I125" t="s">
        <v>578</v>
      </c>
      <c r="J125" t="s">
        <v>578</v>
      </c>
      <c r="K125" t="s">
        <v>579</v>
      </c>
      <c r="L125" t="s">
        <v>586</v>
      </c>
      <c r="M125" t="s">
        <v>587</v>
      </c>
      <c r="N125" t="s">
        <v>1198</v>
      </c>
      <c r="P125" t="s">
        <v>575</v>
      </c>
      <c r="Q125" t="s">
        <v>620</v>
      </c>
      <c r="R125" t="s">
        <v>961</v>
      </c>
      <c r="S125">
        <v>20180424</v>
      </c>
      <c r="T125" t="s">
        <v>1087</v>
      </c>
      <c r="X125">
        <v>11</v>
      </c>
      <c r="Y125">
        <v>20000</v>
      </c>
      <c r="AA125" t="s">
        <v>577</v>
      </c>
      <c r="AB125">
        <v>20190207</v>
      </c>
      <c r="AE125">
        <f t="shared" si="1"/>
        <v>16240</v>
      </c>
      <c r="AF125">
        <v>0</v>
      </c>
      <c r="AG125">
        <v>16240</v>
      </c>
      <c r="AH125">
        <v>0</v>
      </c>
      <c r="AI125" s="121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16240</v>
      </c>
    </row>
    <row r="126" spans="1:41">
      <c r="A126">
        <v>201903</v>
      </c>
      <c r="B126">
        <v>25</v>
      </c>
      <c r="C126" t="s">
        <v>502</v>
      </c>
      <c r="D126">
        <v>3190420688901</v>
      </c>
      <c r="E126" t="s">
        <v>53</v>
      </c>
      <c r="F126" t="s">
        <v>569</v>
      </c>
      <c r="G126" t="s">
        <v>570</v>
      </c>
      <c r="H126" t="s">
        <v>571</v>
      </c>
      <c r="I126" t="s">
        <v>646</v>
      </c>
      <c r="L126" t="s">
        <v>677</v>
      </c>
      <c r="M126" t="s">
        <v>678</v>
      </c>
      <c r="N126" t="s">
        <v>938</v>
      </c>
      <c r="P126" t="s">
        <v>575</v>
      </c>
      <c r="Q126" t="s">
        <v>620</v>
      </c>
      <c r="R126" t="s">
        <v>961</v>
      </c>
      <c r="S126">
        <v>20180430</v>
      </c>
      <c r="T126" t="s">
        <v>1212</v>
      </c>
      <c r="X126">
        <v>11</v>
      </c>
      <c r="Y126">
        <v>22540</v>
      </c>
      <c r="AA126" t="s">
        <v>577</v>
      </c>
      <c r="AB126">
        <v>20190215</v>
      </c>
      <c r="AE126">
        <f t="shared" si="1"/>
        <v>18302</v>
      </c>
      <c r="AF126">
        <v>0</v>
      </c>
      <c r="AG126">
        <v>18302</v>
      </c>
      <c r="AH126">
        <v>0</v>
      </c>
      <c r="AI126" s="121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18302</v>
      </c>
    </row>
    <row r="127" spans="1:41">
      <c r="A127">
        <v>201903</v>
      </c>
      <c r="B127">
        <v>25</v>
      </c>
      <c r="C127" t="s">
        <v>502</v>
      </c>
      <c r="D127">
        <v>3190420690101</v>
      </c>
      <c r="E127" t="s">
        <v>53</v>
      </c>
      <c r="F127" t="s">
        <v>569</v>
      </c>
      <c r="G127" t="s">
        <v>570</v>
      </c>
      <c r="H127" t="s">
        <v>571</v>
      </c>
      <c r="I127" t="s">
        <v>646</v>
      </c>
      <c r="L127" t="s">
        <v>677</v>
      </c>
      <c r="M127" t="s">
        <v>678</v>
      </c>
      <c r="N127" t="s">
        <v>938</v>
      </c>
      <c r="P127" t="s">
        <v>575</v>
      </c>
      <c r="Q127" t="s">
        <v>620</v>
      </c>
      <c r="R127" t="s">
        <v>961</v>
      </c>
      <c r="S127">
        <v>20180430</v>
      </c>
      <c r="T127" t="s">
        <v>1213</v>
      </c>
      <c r="X127">
        <v>11</v>
      </c>
      <c r="Y127">
        <v>21000</v>
      </c>
      <c r="AA127" t="s">
        <v>577</v>
      </c>
      <c r="AB127">
        <v>20190215</v>
      </c>
      <c r="AE127">
        <f t="shared" si="1"/>
        <v>17052</v>
      </c>
      <c r="AF127">
        <v>0</v>
      </c>
      <c r="AG127">
        <v>17052</v>
      </c>
      <c r="AH127">
        <v>0</v>
      </c>
      <c r="AI127" s="121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17052</v>
      </c>
    </row>
    <row r="128" spans="1:41">
      <c r="A128">
        <v>201903</v>
      </c>
      <c r="B128">
        <v>25</v>
      </c>
      <c r="C128" t="s">
        <v>502</v>
      </c>
      <c r="D128">
        <v>3190420691591</v>
      </c>
      <c r="E128" t="s">
        <v>53</v>
      </c>
      <c r="F128" t="s">
        <v>569</v>
      </c>
      <c r="G128" t="s">
        <v>570</v>
      </c>
      <c r="H128" t="s">
        <v>571</v>
      </c>
      <c r="I128" t="s">
        <v>646</v>
      </c>
      <c r="L128" t="s">
        <v>677</v>
      </c>
      <c r="M128" t="s">
        <v>678</v>
      </c>
      <c r="N128" t="s">
        <v>938</v>
      </c>
      <c r="P128" t="s">
        <v>575</v>
      </c>
      <c r="Q128" t="s">
        <v>620</v>
      </c>
      <c r="R128" t="s">
        <v>961</v>
      </c>
      <c r="S128">
        <v>20180430</v>
      </c>
      <c r="T128" t="s">
        <v>1215</v>
      </c>
      <c r="X128">
        <v>11</v>
      </c>
      <c r="Y128">
        <v>23000</v>
      </c>
      <c r="AA128" t="s">
        <v>577</v>
      </c>
      <c r="AB128">
        <v>20190215</v>
      </c>
      <c r="AE128">
        <f t="shared" si="1"/>
        <v>18676</v>
      </c>
      <c r="AF128">
        <v>0</v>
      </c>
      <c r="AG128">
        <v>18676</v>
      </c>
      <c r="AH128">
        <v>0</v>
      </c>
      <c r="AI128" s="121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18676</v>
      </c>
    </row>
    <row r="129" spans="1:41">
      <c r="A129">
        <v>201903</v>
      </c>
      <c r="B129">
        <v>25</v>
      </c>
      <c r="C129" t="s">
        <v>502</v>
      </c>
      <c r="D129">
        <v>3190420939031</v>
      </c>
      <c r="E129" t="s">
        <v>53</v>
      </c>
      <c r="F129" t="s">
        <v>569</v>
      </c>
      <c r="G129" t="s">
        <v>570</v>
      </c>
      <c r="H129" t="s">
        <v>571</v>
      </c>
      <c r="I129" t="s">
        <v>578</v>
      </c>
      <c r="J129" t="s">
        <v>578</v>
      </c>
      <c r="K129" t="s">
        <v>579</v>
      </c>
      <c r="L129" t="s">
        <v>583</v>
      </c>
      <c r="M129" t="s">
        <v>584</v>
      </c>
      <c r="N129" t="s">
        <v>1042</v>
      </c>
      <c r="P129" t="s">
        <v>575</v>
      </c>
      <c r="Q129" t="s">
        <v>620</v>
      </c>
      <c r="R129" t="s">
        <v>951</v>
      </c>
      <c r="S129">
        <v>20180424</v>
      </c>
      <c r="T129" t="s">
        <v>846</v>
      </c>
      <c r="X129">
        <v>10</v>
      </c>
      <c r="Y129">
        <v>68000</v>
      </c>
      <c r="AA129" t="s">
        <v>577</v>
      </c>
      <c r="AB129">
        <v>20190211</v>
      </c>
      <c r="AE129">
        <f t="shared" si="1"/>
        <v>96152</v>
      </c>
      <c r="AF129">
        <v>0</v>
      </c>
      <c r="AG129">
        <v>96152</v>
      </c>
      <c r="AH129">
        <v>0</v>
      </c>
      <c r="AI129" s="121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96152</v>
      </c>
    </row>
    <row r="130" spans="1:41">
      <c r="A130">
        <v>201903</v>
      </c>
      <c r="B130">
        <v>25</v>
      </c>
      <c r="C130" t="s">
        <v>502</v>
      </c>
      <c r="D130">
        <v>3190421110731</v>
      </c>
      <c r="E130" t="s">
        <v>53</v>
      </c>
      <c r="F130" t="s">
        <v>569</v>
      </c>
      <c r="G130" t="s">
        <v>570</v>
      </c>
      <c r="H130" t="s">
        <v>571</v>
      </c>
      <c r="I130" t="s">
        <v>578</v>
      </c>
      <c r="J130" t="s">
        <v>578</v>
      </c>
      <c r="K130" t="s">
        <v>579</v>
      </c>
      <c r="L130" t="s">
        <v>586</v>
      </c>
      <c r="M130" t="s">
        <v>587</v>
      </c>
      <c r="N130" t="s">
        <v>1198</v>
      </c>
      <c r="P130" t="s">
        <v>575</v>
      </c>
      <c r="Q130" t="s">
        <v>620</v>
      </c>
      <c r="R130" t="s">
        <v>961</v>
      </c>
      <c r="S130">
        <v>20180426</v>
      </c>
      <c r="T130" t="s">
        <v>1091</v>
      </c>
      <c r="X130">
        <v>11</v>
      </c>
      <c r="Y130">
        <v>22000</v>
      </c>
      <c r="AA130" t="s">
        <v>577</v>
      </c>
      <c r="AB130">
        <v>20190220</v>
      </c>
      <c r="AE130">
        <f t="shared" si="1"/>
        <v>17864</v>
      </c>
      <c r="AF130">
        <v>0</v>
      </c>
      <c r="AG130">
        <v>17864</v>
      </c>
      <c r="AH130">
        <v>0</v>
      </c>
      <c r="AI130" s="121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17864</v>
      </c>
    </row>
    <row r="131" spans="1:41">
      <c r="A131">
        <v>201903</v>
      </c>
      <c r="B131">
        <v>25</v>
      </c>
      <c r="C131" t="s">
        <v>502</v>
      </c>
      <c r="D131">
        <v>3190421111511</v>
      </c>
      <c r="E131" t="s">
        <v>53</v>
      </c>
      <c r="F131" t="s">
        <v>569</v>
      </c>
      <c r="G131" t="s">
        <v>570</v>
      </c>
      <c r="H131" t="s">
        <v>571</v>
      </c>
      <c r="I131" t="s">
        <v>578</v>
      </c>
      <c r="J131" t="s">
        <v>578</v>
      </c>
      <c r="K131" t="s">
        <v>579</v>
      </c>
      <c r="L131" t="s">
        <v>586</v>
      </c>
      <c r="M131" t="s">
        <v>587</v>
      </c>
      <c r="N131" t="s">
        <v>1198</v>
      </c>
      <c r="P131" t="s">
        <v>575</v>
      </c>
      <c r="Q131" t="s">
        <v>620</v>
      </c>
      <c r="R131" t="s">
        <v>961</v>
      </c>
      <c r="S131">
        <v>20180425</v>
      </c>
      <c r="T131" t="s">
        <v>891</v>
      </c>
      <c r="X131">
        <v>11</v>
      </c>
      <c r="Y131">
        <v>18000</v>
      </c>
      <c r="AA131" t="s">
        <v>577</v>
      </c>
      <c r="AB131">
        <v>20190215</v>
      </c>
      <c r="AE131">
        <f t="shared" ref="AE131:AE194" si="2">AO131-AI131</f>
        <v>14616</v>
      </c>
      <c r="AF131">
        <v>0</v>
      </c>
      <c r="AG131">
        <v>14616</v>
      </c>
      <c r="AH131">
        <v>0</v>
      </c>
      <c r="AI131" s="12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14616</v>
      </c>
    </row>
    <row r="132" spans="1:41">
      <c r="A132">
        <v>201903</v>
      </c>
      <c r="B132">
        <v>25</v>
      </c>
      <c r="C132" t="s">
        <v>502</v>
      </c>
      <c r="D132">
        <v>3190421285361</v>
      </c>
      <c r="E132" t="s">
        <v>53</v>
      </c>
      <c r="F132" t="s">
        <v>569</v>
      </c>
      <c r="G132" t="s">
        <v>570</v>
      </c>
      <c r="H132" t="s">
        <v>571</v>
      </c>
      <c r="I132" t="s">
        <v>578</v>
      </c>
      <c r="J132" t="s">
        <v>578</v>
      </c>
      <c r="K132" t="s">
        <v>579</v>
      </c>
      <c r="L132" t="s">
        <v>586</v>
      </c>
      <c r="M132" t="s">
        <v>587</v>
      </c>
      <c r="N132" t="s">
        <v>1198</v>
      </c>
      <c r="P132" t="s">
        <v>575</v>
      </c>
      <c r="Q132" t="s">
        <v>620</v>
      </c>
      <c r="R132" t="s">
        <v>961</v>
      </c>
      <c r="S132">
        <v>20180424</v>
      </c>
      <c r="T132" t="s">
        <v>792</v>
      </c>
      <c r="X132">
        <v>11</v>
      </c>
      <c r="Y132">
        <v>23520</v>
      </c>
      <c r="AA132" t="s">
        <v>577</v>
      </c>
      <c r="AB132">
        <v>20190220</v>
      </c>
      <c r="AE132">
        <f t="shared" si="2"/>
        <v>19098</v>
      </c>
      <c r="AF132">
        <v>0</v>
      </c>
      <c r="AG132">
        <v>19098</v>
      </c>
      <c r="AH132">
        <v>0</v>
      </c>
      <c r="AI132" s="121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19098</v>
      </c>
    </row>
    <row r="133" spans="1:41">
      <c r="A133">
        <v>201903</v>
      </c>
      <c r="B133">
        <v>25</v>
      </c>
      <c r="C133" t="s">
        <v>502</v>
      </c>
      <c r="D133">
        <v>3190421694501</v>
      </c>
      <c r="E133" t="s">
        <v>53</v>
      </c>
      <c r="F133" t="s">
        <v>569</v>
      </c>
      <c r="G133" t="s">
        <v>570</v>
      </c>
      <c r="H133" t="s">
        <v>571</v>
      </c>
      <c r="I133" t="s">
        <v>578</v>
      </c>
      <c r="J133" t="s">
        <v>578</v>
      </c>
      <c r="K133" t="s">
        <v>579</v>
      </c>
      <c r="L133" t="s">
        <v>586</v>
      </c>
      <c r="M133" t="s">
        <v>587</v>
      </c>
      <c r="N133" t="s">
        <v>1198</v>
      </c>
      <c r="P133" t="s">
        <v>575</v>
      </c>
      <c r="Q133" t="s">
        <v>620</v>
      </c>
      <c r="R133" t="s">
        <v>961</v>
      </c>
      <c r="S133">
        <v>20180427</v>
      </c>
      <c r="T133" t="s">
        <v>781</v>
      </c>
      <c r="X133">
        <v>11</v>
      </c>
      <c r="Y133">
        <v>20000</v>
      </c>
      <c r="AA133" t="s">
        <v>577</v>
      </c>
      <c r="AB133">
        <v>20190220</v>
      </c>
      <c r="AE133">
        <f t="shared" si="2"/>
        <v>16240</v>
      </c>
      <c r="AF133">
        <v>0</v>
      </c>
      <c r="AG133">
        <v>16240</v>
      </c>
      <c r="AH133">
        <v>0</v>
      </c>
      <c r="AI133" s="121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16240</v>
      </c>
    </row>
    <row r="134" spans="1:41">
      <c r="A134">
        <v>201903</v>
      </c>
      <c r="B134">
        <v>25</v>
      </c>
      <c r="C134" t="s">
        <v>502</v>
      </c>
      <c r="D134">
        <v>3190020789231</v>
      </c>
      <c r="E134" t="s">
        <v>53</v>
      </c>
      <c r="F134" t="s">
        <v>569</v>
      </c>
      <c r="G134" t="s">
        <v>570</v>
      </c>
      <c r="H134" t="s">
        <v>571</v>
      </c>
      <c r="I134" t="s">
        <v>578</v>
      </c>
      <c r="J134" t="s">
        <v>578</v>
      </c>
      <c r="K134" t="s">
        <v>579</v>
      </c>
      <c r="L134" t="s">
        <v>580</v>
      </c>
      <c r="M134" t="s">
        <v>581</v>
      </c>
      <c r="N134" t="s">
        <v>915</v>
      </c>
      <c r="P134" t="s">
        <v>575</v>
      </c>
      <c r="Q134" t="s">
        <v>620</v>
      </c>
      <c r="R134" t="s">
        <v>901</v>
      </c>
      <c r="S134">
        <v>20151029</v>
      </c>
      <c r="T134" t="s">
        <v>737</v>
      </c>
      <c r="W134">
        <v>0</v>
      </c>
      <c r="X134">
        <v>41</v>
      </c>
      <c r="Y134">
        <v>62700</v>
      </c>
      <c r="AA134" t="s">
        <v>577</v>
      </c>
      <c r="AB134">
        <v>20190220</v>
      </c>
      <c r="AE134">
        <f t="shared" si="2"/>
        <v>0</v>
      </c>
      <c r="AF134">
        <v>0</v>
      </c>
      <c r="AG134">
        <v>0</v>
      </c>
      <c r="AH134">
        <v>0</v>
      </c>
      <c r="AI134" s="121">
        <v>313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313</v>
      </c>
    </row>
    <row r="135" spans="1:41">
      <c r="A135">
        <v>201903</v>
      </c>
      <c r="B135">
        <v>25</v>
      </c>
      <c r="C135" t="s">
        <v>502</v>
      </c>
      <c r="D135">
        <v>3190020894221</v>
      </c>
      <c r="E135" t="s">
        <v>53</v>
      </c>
      <c r="F135" t="s">
        <v>569</v>
      </c>
      <c r="G135" t="s">
        <v>570</v>
      </c>
      <c r="H135" t="s">
        <v>571</v>
      </c>
      <c r="I135" t="s">
        <v>578</v>
      </c>
      <c r="J135" t="s">
        <v>578</v>
      </c>
      <c r="K135" t="s">
        <v>579</v>
      </c>
      <c r="L135" t="s">
        <v>613</v>
      </c>
      <c r="M135" t="s">
        <v>614</v>
      </c>
      <c r="N135" t="s">
        <v>927</v>
      </c>
      <c r="P135" t="s">
        <v>575</v>
      </c>
      <c r="Q135" t="s">
        <v>620</v>
      </c>
      <c r="R135" t="s">
        <v>901</v>
      </c>
      <c r="S135">
        <v>20151020</v>
      </c>
      <c r="T135" t="s">
        <v>740</v>
      </c>
      <c r="W135">
        <v>0</v>
      </c>
      <c r="X135">
        <v>39</v>
      </c>
      <c r="Y135">
        <v>50000</v>
      </c>
      <c r="AA135" t="s">
        <v>577</v>
      </c>
      <c r="AB135">
        <v>20190228</v>
      </c>
      <c r="AE135">
        <f t="shared" si="2"/>
        <v>0</v>
      </c>
      <c r="AF135">
        <v>0</v>
      </c>
      <c r="AG135">
        <v>0</v>
      </c>
      <c r="AH135">
        <v>0</v>
      </c>
      <c r="AI135" s="121">
        <v>250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250</v>
      </c>
    </row>
    <row r="136" spans="1:41">
      <c r="A136">
        <v>201903</v>
      </c>
      <c r="B136">
        <v>25</v>
      </c>
      <c r="C136" t="s">
        <v>502</v>
      </c>
      <c r="D136">
        <v>3190020899081</v>
      </c>
      <c r="E136" t="s">
        <v>53</v>
      </c>
      <c r="F136" t="s">
        <v>569</v>
      </c>
      <c r="G136" t="s">
        <v>570</v>
      </c>
      <c r="H136" t="s">
        <v>571</v>
      </c>
      <c r="I136" t="s">
        <v>578</v>
      </c>
      <c r="J136" t="s">
        <v>578</v>
      </c>
      <c r="K136" t="s">
        <v>579</v>
      </c>
      <c r="L136" t="s">
        <v>756</v>
      </c>
      <c r="M136" t="s">
        <v>718</v>
      </c>
      <c r="N136" t="s">
        <v>1231</v>
      </c>
      <c r="P136" t="s">
        <v>575</v>
      </c>
      <c r="Q136" t="s">
        <v>620</v>
      </c>
      <c r="R136" t="s">
        <v>901</v>
      </c>
      <c r="S136">
        <v>20151030</v>
      </c>
      <c r="T136" t="s">
        <v>1223</v>
      </c>
      <c r="W136">
        <v>0</v>
      </c>
      <c r="X136">
        <v>41</v>
      </c>
      <c r="Y136">
        <v>30000</v>
      </c>
      <c r="AA136" t="s">
        <v>577</v>
      </c>
      <c r="AB136">
        <v>20190220</v>
      </c>
      <c r="AE136">
        <f t="shared" si="2"/>
        <v>0</v>
      </c>
      <c r="AF136">
        <v>0</v>
      </c>
      <c r="AG136">
        <v>0</v>
      </c>
      <c r="AH136">
        <v>0</v>
      </c>
      <c r="AI136" s="121">
        <v>150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150</v>
      </c>
    </row>
    <row r="137" spans="1:41">
      <c r="A137">
        <v>201903</v>
      </c>
      <c r="B137">
        <v>25</v>
      </c>
      <c r="C137" t="s">
        <v>502</v>
      </c>
      <c r="D137">
        <v>3190022818351</v>
      </c>
      <c r="E137" t="s">
        <v>53</v>
      </c>
      <c r="F137" t="s">
        <v>569</v>
      </c>
      <c r="G137" t="s">
        <v>570</v>
      </c>
      <c r="H137" t="s">
        <v>571</v>
      </c>
      <c r="I137" t="s">
        <v>578</v>
      </c>
      <c r="J137" t="s">
        <v>578</v>
      </c>
      <c r="K137" t="s">
        <v>579</v>
      </c>
      <c r="L137" t="s">
        <v>756</v>
      </c>
      <c r="M137" t="s">
        <v>718</v>
      </c>
      <c r="N137" t="s">
        <v>1231</v>
      </c>
      <c r="P137" t="s">
        <v>575</v>
      </c>
      <c r="Q137" t="s">
        <v>620</v>
      </c>
      <c r="R137" t="s">
        <v>901</v>
      </c>
      <c r="S137">
        <v>20151110</v>
      </c>
      <c r="T137" t="s">
        <v>882</v>
      </c>
      <c r="W137">
        <v>0</v>
      </c>
      <c r="X137">
        <v>40</v>
      </c>
      <c r="Y137">
        <v>100000</v>
      </c>
      <c r="AA137" t="s">
        <v>577</v>
      </c>
      <c r="AB137">
        <v>20190220</v>
      </c>
      <c r="AE137">
        <f t="shared" si="2"/>
        <v>0</v>
      </c>
      <c r="AF137">
        <v>0</v>
      </c>
      <c r="AG137">
        <v>0</v>
      </c>
      <c r="AH137">
        <v>0</v>
      </c>
      <c r="AI137" s="121">
        <v>500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500</v>
      </c>
    </row>
    <row r="138" spans="1:41">
      <c r="A138">
        <v>201903</v>
      </c>
      <c r="B138">
        <v>25</v>
      </c>
      <c r="C138" t="s">
        <v>502</v>
      </c>
      <c r="D138">
        <v>3190023139161</v>
      </c>
      <c r="E138" t="s">
        <v>53</v>
      </c>
      <c r="F138" t="s">
        <v>569</v>
      </c>
      <c r="G138" t="s">
        <v>570</v>
      </c>
      <c r="H138" t="s">
        <v>571</v>
      </c>
      <c r="I138" t="s">
        <v>578</v>
      </c>
      <c r="J138" t="s">
        <v>578</v>
      </c>
      <c r="K138" t="s">
        <v>579</v>
      </c>
      <c r="L138" t="s">
        <v>756</v>
      </c>
      <c r="M138" t="s">
        <v>718</v>
      </c>
      <c r="N138" t="s">
        <v>1231</v>
      </c>
      <c r="P138" t="s">
        <v>575</v>
      </c>
      <c r="Q138" t="s">
        <v>620</v>
      </c>
      <c r="R138" t="s">
        <v>901</v>
      </c>
      <c r="S138">
        <v>20151116</v>
      </c>
      <c r="T138" t="s">
        <v>882</v>
      </c>
      <c r="W138">
        <v>0</v>
      </c>
      <c r="X138">
        <v>40</v>
      </c>
      <c r="Y138">
        <v>120000</v>
      </c>
      <c r="AA138" t="s">
        <v>577</v>
      </c>
      <c r="AB138">
        <v>20190220</v>
      </c>
      <c r="AE138">
        <f t="shared" si="2"/>
        <v>0</v>
      </c>
      <c r="AF138">
        <v>0</v>
      </c>
      <c r="AG138">
        <v>0</v>
      </c>
      <c r="AH138">
        <v>0</v>
      </c>
      <c r="AI138" s="121">
        <v>600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600</v>
      </c>
    </row>
    <row r="139" spans="1:41">
      <c r="A139">
        <v>201903</v>
      </c>
      <c r="B139">
        <v>25</v>
      </c>
      <c r="C139" t="s">
        <v>502</v>
      </c>
      <c r="D139">
        <v>3190023201711</v>
      </c>
      <c r="E139" t="s">
        <v>53</v>
      </c>
      <c r="F139" t="s">
        <v>569</v>
      </c>
      <c r="G139" t="s">
        <v>570</v>
      </c>
      <c r="H139" t="s">
        <v>571</v>
      </c>
      <c r="I139" t="s">
        <v>578</v>
      </c>
      <c r="J139" t="s">
        <v>578</v>
      </c>
      <c r="K139" t="s">
        <v>579</v>
      </c>
      <c r="L139" t="s">
        <v>716</v>
      </c>
      <c r="M139" t="s">
        <v>717</v>
      </c>
      <c r="N139" t="s">
        <v>1230</v>
      </c>
      <c r="P139" t="s">
        <v>575</v>
      </c>
      <c r="Q139" t="s">
        <v>620</v>
      </c>
      <c r="R139" t="s">
        <v>901</v>
      </c>
      <c r="S139">
        <v>20151117</v>
      </c>
      <c r="T139" t="s">
        <v>818</v>
      </c>
      <c r="W139">
        <v>0</v>
      </c>
      <c r="X139">
        <v>40</v>
      </c>
      <c r="Y139">
        <v>41000</v>
      </c>
      <c r="AA139" t="s">
        <v>577</v>
      </c>
      <c r="AB139">
        <v>20190225</v>
      </c>
      <c r="AE139">
        <f t="shared" si="2"/>
        <v>0</v>
      </c>
      <c r="AF139">
        <v>0</v>
      </c>
      <c r="AG139">
        <v>0</v>
      </c>
      <c r="AH139">
        <v>0</v>
      </c>
      <c r="AI139" s="121">
        <v>205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205</v>
      </c>
    </row>
    <row r="140" spans="1:41">
      <c r="A140">
        <v>201903</v>
      </c>
      <c r="B140">
        <v>25</v>
      </c>
      <c r="C140" t="s">
        <v>502</v>
      </c>
      <c r="D140">
        <v>3190023278681</v>
      </c>
      <c r="E140" t="s">
        <v>53</v>
      </c>
      <c r="F140" t="s">
        <v>569</v>
      </c>
      <c r="G140" t="s">
        <v>570</v>
      </c>
      <c r="H140" t="s">
        <v>571</v>
      </c>
      <c r="I140" t="s">
        <v>674</v>
      </c>
      <c r="J140" t="s">
        <v>674</v>
      </c>
      <c r="K140" t="s">
        <v>675</v>
      </c>
      <c r="L140" t="s">
        <v>489</v>
      </c>
      <c r="M140" t="s">
        <v>488</v>
      </c>
      <c r="N140" t="s">
        <v>902</v>
      </c>
      <c r="P140" t="s">
        <v>575</v>
      </c>
      <c r="Q140" t="s">
        <v>620</v>
      </c>
      <c r="R140" t="s">
        <v>901</v>
      </c>
      <c r="S140">
        <v>20151116</v>
      </c>
      <c r="T140" t="s">
        <v>903</v>
      </c>
      <c r="W140">
        <v>0</v>
      </c>
      <c r="X140">
        <v>40</v>
      </c>
      <c r="Y140">
        <v>59000</v>
      </c>
      <c r="AA140" t="s">
        <v>577</v>
      </c>
      <c r="AB140">
        <v>20190220</v>
      </c>
      <c r="AE140">
        <f t="shared" si="2"/>
        <v>0</v>
      </c>
      <c r="AF140">
        <v>0</v>
      </c>
      <c r="AG140">
        <v>0</v>
      </c>
      <c r="AH140">
        <v>0</v>
      </c>
      <c r="AI140" s="121">
        <v>295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295</v>
      </c>
    </row>
    <row r="141" spans="1:41">
      <c r="A141">
        <v>201903</v>
      </c>
      <c r="B141">
        <v>25</v>
      </c>
      <c r="C141" t="s">
        <v>502</v>
      </c>
      <c r="D141">
        <v>3190023378641</v>
      </c>
      <c r="E141" t="s">
        <v>53</v>
      </c>
      <c r="F141" t="s">
        <v>569</v>
      </c>
      <c r="G141" t="s">
        <v>570</v>
      </c>
      <c r="H141" t="s">
        <v>571</v>
      </c>
      <c r="I141" t="s">
        <v>621</v>
      </c>
      <c r="J141" t="s">
        <v>621</v>
      </c>
      <c r="K141" t="s">
        <v>622</v>
      </c>
      <c r="L141" t="s">
        <v>629</v>
      </c>
      <c r="M141" t="s">
        <v>630</v>
      </c>
      <c r="N141" t="s">
        <v>904</v>
      </c>
      <c r="P141" t="s">
        <v>575</v>
      </c>
      <c r="Q141" t="s">
        <v>620</v>
      </c>
      <c r="R141" t="s">
        <v>901</v>
      </c>
      <c r="S141">
        <v>20151125</v>
      </c>
      <c r="T141" t="s">
        <v>839</v>
      </c>
      <c r="W141">
        <v>0</v>
      </c>
      <c r="X141">
        <v>40</v>
      </c>
      <c r="Y141">
        <v>30000</v>
      </c>
      <c r="AA141" t="s">
        <v>577</v>
      </c>
      <c r="AB141">
        <v>20190228</v>
      </c>
      <c r="AE141">
        <f t="shared" si="2"/>
        <v>0</v>
      </c>
      <c r="AF141">
        <v>0</v>
      </c>
      <c r="AG141">
        <v>0</v>
      </c>
      <c r="AH141">
        <v>0</v>
      </c>
      <c r="AI141" s="121">
        <v>150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150</v>
      </c>
    </row>
    <row r="142" spans="1:41">
      <c r="A142">
        <v>201903</v>
      </c>
      <c r="B142">
        <v>25</v>
      </c>
      <c r="C142" t="s">
        <v>502</v>
      </c>
      <c r="D142">
        <v>3190024566911</v>
      </c>
      <c r="E142" t="s">
        <v>53</v>
      </c>
      <c r="F142" t="s">
        <v>569</v>
      </c>
      <c r="G142" t="s">
        <v>570</v>
      </c>
      <c r="H142" t="s">
        <v>571</v>
      </c>
      <c r="I142" t="s">
        <v>674</v>
      </c>
      <c r="J142" t="s">
        <v>674</v>
      </c>
      <c r="K142" t="s">
        <v>675</v>
      </c>
      <c r="L142" t="s">
        <v>489</v>
      </c>
      <c r="M142" t="s">
        <v>488</v>
      </c>
      <c r="N142" t="s">
        <v>902</v>
      </c>
      <c r="P142" t="s">
        <v>575</v>
      </c>
      <c r="Q142" t="s">
        <v>620</v>
      </c>
      <c r="R142" t="s">
        <v>901</v>
      </c>
      <c r="S142">
        <v>20151127</v>
      </c>
      <c r="T142" t="s">
        <v>909</v>
      </c>
      <c r="W142">
        <v>0</v>
      </c>
      <c r="X142">
        <v>39</v>
      </c>
      <c r="Y142">
        <v>50000</v>
      </c>
      <c r="AA142" t="s">
        <v>577</v>
      </c>
      <c r="AB142">
        <v>20190220</v>
      </c>
      <c r="AE142">
        <f t="shared" si="2"/>
        <v>0</v>
      </c>
      <c r="AF142">
        <v>0</v>
      </c>
      <c r="AG142">
        <v>0</v>
      </c>
      <c r="AH142">
        <v>0</v>
      </c>
      <c r="AI142" s="121">
        <v>250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250</v>
      </c>
    </row>
    <row r="143" spans="1:41">
      <c r="A143">
        <v>201903</v>
      </c>
      <c r="B143">
        <v>25</v>
      </c>
      <c r="C143" t="s">
        <v>502</v>
      </c>
      <c r="D143">
        <v>3190024798371</v>
      </c>
      <c r="E143" t="s">
        <v>53</v>
      </c>
      <c r="F143" t="s">
        <v>569</v>
      </c>
      <c r="G143" t="s">
        <v>570</v>
      </c>
      <c r="H143" t="s">
        <v>571</v>
      </c>
      <c r="I143" t="s">
        <v>578</v>
      </c>
      <c r="J143" t="s">
        <v>578</v>
      </c>
      <c r="K143" t="s">
        <v>579</v>
      </c>
      <c r="L143" t="s">
        <v>597</v>
      </c>
      <c r="M143" t="s">
        <v>598</v>
      </c>
      <c r="N143" t="s">
        <v>913</v>
      </c>
      <c r="P143" t="s">
        <v>575</v>
      </c>
      <c r="Q143" t="s">
        <v>620</v>
      </c>
      <c r="R143" t="s">
        <v>901</v>
      </c>
      <c r="S143">
        <v>20151204</v>
      </c>
      <c r="T143" t="s">
        <v>885</v>
      </c>
      <c r="W143">
        <v>0</v>
      </c>
      <c r="X143">
        <v>39</v>
      </c>
      <c r="Y143">
        <v>120000</v>
      </c>
      <c r="AA143" t="s">
        <v>577</v>
      </c>
      <c r="AB143">
        <v>20190225</v>
      </c>
      <c r="AE143">
        <f t="shared" si="2"/>
        <v>0</v>
      </c>
      <c r="AF143">
        <v>0</v>
      </c>
      <c r="AG143">
        <v>0</v>
      </c>
      <c r="AH143">
        <v>0</v>
      </c>
      <c r="AI143" s="121">
        <v>600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600</v>
      </c>
    </row>
    <row r="144" spans="1:41">
      <c r="A144">
        <v>201903</v>
      </c>
      <c r="B144">
        <v>25</v>
      </c>
      <c r="C144" t="s">
        <v>502</v>
      </c>
      <c r="D144">
        <v>3190024966481</v>
      </c>
      <c r="E144" t="s">
        <v>53</v>
      </c>
      <c r="F144" t="s">
        <v>569</v>
      </c>
      <c r="G144" t="s">
        <v>570</v>
      </c>
      <c r="H144" t="s">
        <v>571</v>
      </c>
      <c r="I144" t="s">
        <v>578</v>
      </c>
      <c r="J144" t="s">
        <v>578</v>
      </c>
      <c r="K144" t="s">
        <v>579</v>
      </c>
      <c r="L144" t="s">
        <v>597</v>
      </c>
      <c r="M144" t="s">
        <v>598</v>
      </c>
      <c r="N144" t="s">
        <v>913</v>
      </c>
      <c r="P144" t="s">
        <v>575</v>
      </c>
      <c r="Q144" t="s">
        <v>620</v>
      </c>
      <c r="R144" t="s">
        <v>901</v>
      </c>
      <c r="S144">
        <v>20151204</v>
      </c>
      <c r="T144" t="s">
        <v>835</v>
      </c>
      <c r="W144">
        <v>0</v>
      </c>
      <c r="X144">
        <v>39</v>
      </c>
      <c r="Y144">
        <v>80000</v>
      </c>
      <c r="AA144" t="s">
        <v>577</v>
      </c>
      <c r="AB144">
        <v>20190215</v>
      </c>
      <c r="AE144">
        <f t="shared" si="2"/>
        <v>0</v>
      </c>
      <c r="AF144">
        <v>0</v>
      </c>
      <c r="AG144">
        <v>0</v>
      </c>
      <c r="AH144">
        <v>0</v>
      </c>
      <c r="AI144" s="121">
        <v>400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400</v>
      </c>
    </row>
    <row r="145" spans="1:41">
      <c r="A145">
        <v>201903</v>
      </c>
      <c r="B145">
        <v>25</v>
      </c>
      <c r="C145" t="s">
        <v>502</v>
      </c>
      <c r="D145">
        <v>3190025622291</v>
      </c>
      <c r="E145" t="s">
        <v>53</v>
      </c>
      <c r="F145" t="s">
        <v>569</v>
      </c>
      <c r="G145" t="s">
        <v>570</v>
      </c>
      <c r="H145" t="s">
        <v>571</v>
      </c>
      <c r="I145" t="s">
        <v>674</v>
      </c>
      <c r="J145" t="s">
        <v>674</v>
      </c>
      <c r="K145" t="s">
        <v>675</v>
      </c>
      <c r="L145" t="s">
        <v>489</v>
      </c>
      <c r="M145" t="s">
        <v>488</v>
      </c>
      <c r="N145" t="s">
        <v>902</v>
      </c>
      <c r="P145" t="s">
        <v>575</v>
      </c>
      <c r="Q145" t="s">
        <v>620</v>
      </c>
      <c r="R145" t="s">
        <v>901</v>
      </c>
      <c r="S145">
        <v>20151214</v>
      </c>
      <c r="T145" t="s">
        <v>916</v>
      </c>
      <c r="W145">
        <v>0</v>
      </c>
      <c r="X145">
        <v>39</v>
      </c>
      <c r="Y145">
        <v>133000</v>
      </c>
      <c r="AA145" t="s">
        <v>577</v>
      </c>
      <c r="AB145">
        <v>20190220</v>
      </c>
      <c r="AE145">
        <f t="shared" si="2"/>
        <v>0</v>
      </c>
      <c r="AF145">
        <v>0</v>
      </c>
      <c r="AG145">
        <v>0</v>
      </c>
      <c r="AH145">
        <v>0</v>
      </c>
      <c r="AI145" s="121">
        <v>665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665</v>
      </c>
    </row>
    <row r="146" spans="1:41">
      <c r="A146">
        <v>201903</v>
      </c>
      <c r="B146">
        <v>25</v>
      </c>
      <c r="C146" t="s">
        <v>502</v>
      </c>
      <c r="D146">
        <v>3190026071171</v>
      </c>
      <c r="E146" t="s">
        <v>53</v>
      </c>
      <c r="F146" t="s">
        <v>569</v>
      </c>
      <c r="G146" t="s">
        <v>570</v>
      </c>
      <c r="H146" t="s">
        <v>571</v>
      </c>
      <c r="I146" t="s">
        <v>578</v>
      </c>
      <c r="J146" t="s">
        <v>578</v>
      </c>
      <c r="K146" t="s">
        <v>579</v>
      </c>
      <c r="L146" t="s">
        <v>756</v>
      </c>
      <c r="M146" t="s">
        <v>718</v>
      </c>
      <c r="N146" t="s">
        <v>1231</v>
      </c>
      <c r="P146" t="s">
        <v>575</v>
      </c>
      <c r="Q146" t="s">
        <v>620</v>
      </c>
      <c r="R146" t="s">
        <v>901</v>
      </c>
      <c r="S146">
        <v>20151218</v>
      </c>
      <c r="T146" t="s">
        <v>845</v>
      </c>
      <c r="W146">
        <v>0</v>
      </c>
      <c r="X146">
        <v>39</v>
      </c>
      <c r="Y146">
        <v>50000</v>
      </c>
      <c r="AA146" t="s">
        <v>577</v>
      </c>
      <c r="AB146">
        <v>20190220</v>
      </c>
      <c r="AE146">
        <f t="shared" si="2"/>
        <v>0</v>
      </c>
      <c r="AF146">
        <v>0</v>
      </c>
      <c r="AG146">
        <v>0</v>
      </c>
      <c r="AH146">
        <v>0</v>
      </c>
      <c r="AI146" s="121">
        <v>250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250</v>
      </c>
    </row>
    <row r="147" spans="1:41">
      <c r="A147">
        <v>201903</v>
      </c>
      <c r="B147">
        <v>25</v>
      </c>
      <c r="C147" t="s">
        <v>502</v>
      </c>
      <c r="D147">
        <v>3190026117041</v>
      </c>
      <c r="E147" t="s">
        <v>53</v>
      </c>
      <c r="F147" t="s">
        <v>569</v>
      </c>
      <c r="G147" t="s">
        <v>570</v>
      </c>
      <c r="H147" t="s">
        <v>571</v>
      </c>
      <c r="I147" t="s">
        <v>578</v>
      </c>
      <c r="J147" t="s">
        <v>578</v>
      </c>
      <c r="K147" t="s">
        <v>579</v>
      </c>
      <c r="L147" t="s">
        <v>756</v>
      </c>
      <c r="M147" t="s">
        <v>718</v>
      </c>
      <c r="N147" t="s">
        <v>1231</v>
      </c>
      <c r="P147" t="s">
        <v>575</v>
      </c>
      <c r="Q147" t="s">
        <v>620</v>
      </c>
      <c r="R147" t="s">
        <v>917</v>
      </c>
      <c r="S147">
        <v>20151217</v>
      </c>
      <c r="T147" t="s">
        <v>918</v>
      </c>
      <c r="W147">
        <v>0</v>
      </c>
      <c r="X147">
        <v>39</v>
      </c>
      <c r="Y147">
        <v>40000</v>
      </c>
      <c r="AA147" t="s">
        <v>577</v>
      </c>
      <c r="AB147">
        <v>20190220</v>
      </c>
      <c r="AE147">
        <f t="shared" si="2"/>
        <v>0</v>
      </c>
      <c r="AF147">
        <v>0</v>
      </c>
      <c r="AG147">
        <v>0</v>
      </c>
      <c r="AH147">
        <v>0</v>
      </c>
      <c r="AI147" s="121">
        <v>200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200</v>
      </c>
    </row>
    <row r="148" spans="1:41">
      <c r="A148">
        <v>201903</v>
      </c>
      <c r="B148">
        <v>25</v>
      </c>
      <c r="C148" t="s">
        <v>502</v>
      </c>
      <c r="D148">
        <v>3190026118571</v>
      </c>
      <c r="E148" t="s">
        <v>53</v>
      </c>
      <c r="F148" t="s">
        <v>569</v>
      </c>
      <c r="G148" t="s">
        <v>570</v>
      </c>
      <c r="H148" t="s">
        <v>571</v>
      </c>
      <c r="I148" t="s">
        <v>578</v>
      </c>
      <c r="J148" t="s">
        <v>578</v>
      </c>
      <c r="K148" t="s">
        <v>579</v>
      </c>
      <c r="L148" t="s">
        <v>756</v>
      </c>
      <c r="M148" t="s">
        <v>718</v>
      </c>
      <c r="N148" t="s">
        <v>1231</v>
      </c>
      <c r="P148" t="s">
        <v>575</v>
      </c>
      <c r="Q148" t="s">
        <v>620</v>
      </c>
      <c r="R148" t="s">
        <v>901</v>
      </c>
      <c r="S148">
        <v>20151217</v>
      </c>
      <c r="T148" t="s">
        <v>918</v>
      </c>
      <c r="W148">
        <v>0</v>
      </c>
      <c r="X148">
        <v>39</v>
      </c>
      <c r="Y148">
        <v>30000</v>
      </c>
      <c r="AA148" t="s">
        <v>577</v>
      </c>
      <c r="AB148">
        <v>20190220</v>
      </c>
      <c r="AE148">
        <f t="shared" si="2"/>
        <v>0</v>
      </c>
      <c r="AF148">
        <v>0</v>
      </c>
      <c r="AG148">
        <v>0</v>
      </c>
      <c r="AH148">
        <v>0</v>
      </c>
      <c r="AI148" s="121">
        <v>150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150</v>
      </c>
    </row>
    <row r="149" spans="1:41">
      <c r="A149">
        <v>201903</v>
      </c>
      <c r="B149">
        <v>25</v>
      </c>
      <c r="C149" t="s">
        <v>502</v>
      </c>
      <c r="D149">
        <v>3190026346571</v>
      </c>
      <c r="E149" t="s">
        <v>53</v>
      </c>
      <c r="F149" t="s">
        <v>569</v>
      </c>
      <c r="G149" t="s">
        <v>570</v>
      </c>
      <c r="H149" t="s">
        <v>571</v>
      </c>
      <c r="I149" t="s">
        <v>578</v>
      </c>
      <c r="J149" t="s">
        <v>578</v>
      </c>
      <c r="K149" t="s">
        <v>579</v>
      </c>
      <c r="L149" t="s">
        <v>721</v>
      </c>
      <c r="M149" t="s">
        <v>722</v>
      </c>
      <c r="N149" t="s">
        <v>1149</v>
      </c>
      <c r="P149" t="s">
        <v>575</v>
      </c>
      <c r="Q149" t="s">
        <v>620</v>
      </c>
      <c r="R149" t="s">
        <v>917</v>
      </c>
      <c r="S149">
        <v>20151218</v>
      </c>
      <c r="T149" t="s">
        <v>940</v>
      </c>
      <c r="W149">
        <v>0</v>
      </c>
      <c r="X149">
        <v>39</v>
      </c>
      <c r="Y149">
        <v>66820</v>
      </c>
      <c r="AA149" t="s">
        <v>577</v>
      </c>
      <c r="AB149">
        <v>20190215</v>
      </c>
      <c r="AE149">
        <f t="shared" si="2"/>
        <v>0</v>
      </c>
      <c r="AF149">
        <v>0</v>
      </c>
      <c r="AG149">
        <v>0</v>
      </c>
      <c r="AH149">
        <v>0</v>
      </c>
      <c r="AI149" s="121">
        <v>334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334</v>
      </c>
    </row>
    <row r="150" spans="1:41">
      <c r="A150">
        <v>201903</v>
      </c>
      <c r="B150">
        <v>25</v>
      </c>
      <c r="C150" t="s">
        <v>502</v>
      </c>
      <c r="D150">
        <v>3190026347651</v>
      </c>
      <c r="E150" t="s">
        <v>53</v>
      </c>
      <c r="F150" t="s">
        <v>569</v>
      </c>
      <c r="G150" t="s">
        <v>570</v>
      </c>
      <c r="H150" t="s">
        <v>571</v>
      </c>
      <c r="I150" t="s">
        <v>633</v>
      </c>
      <c r="L150" t="s">
        <v>641</v>
      </c>
      <c r="M150" t="s">
        <v>642</v>
      </c>
      <c r="N150" t="s">
        <v>921</v>
      </c>
      <c r="P150" t="s">
        <v>575</v>
      </c>
      <c r="Q150" t="s">
        <v>620</v>
      </c>
      <c r="R150" t="s">
        <v>917</v>
      </c>
      <c r="S150">
        <v>20151218</v>
      </c>
      <c r="T150" t="s">
        <v>922</v>
      </c>
      <c r="X150">
        <v>39</v>
      </c>
      <c r="Y150">
        <v>18000</v>
      </c>
      <c r="AA150" t="s">
        <v>577</v>
      </c>
      <c r="AB150">
        <v>20190225</v>
      </c>
      <c r="AE150">
        <f t="shared" si="2"/>
        <v>0</v>
      </c>
      <c r="AF150">
        <v>0</v>
      </c>
      <c r="AG150">
        <v>0</v>
      </c>
      <c r="AH150">
        <v>0</v>
      </c>
      <c r="AI150" s="121">
        <v>90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90</v>
      </c>
    </row>
    <row r="151" spans="1:41">
      <c r="A151">
        <v>201903</v>
      </c>
      <c r="B151">
        <v>25</v>
      </c>
      <c r="C151" t="s">
        <v>502</v>
      </c>
      <c r="D151">
        <v>3190026508431</v>
      </c>
      <c r="E151" t="s">
        <v>53</v>
      </c>
      <c r="F151" t="s">
        <v>569</v>
      </c>
      <c r="G151" t="s">
        <v>570</v>
      </c>
      <c r="H151" t="s">
        <v>571</v>
      </c>
      <c r="I151" t="s">
        <v>674</v>
      </c>
      <c r="J151" t="s">
        <v>674</v>
      </c>
      <c r="K151" t="s">
        <v>675</v>
      </c>
      <c r="L151" t="s">
        <v>489</v>
      </c>
      <c r="M151" t="s">
        <v>488</v>
      </c>
      <c r="N151" t="s">
        <v>902</v>
      </c>
      <c r="P151" t="s">
        <v>575</v>
      </c>
      <c r="Q151" t="s">
        <v>620</v>
      </c>
      <c r="R151" t="s">
        <v>901</v>
      </c>
      <c r="S151">
        <v>20151228</v>
      </c>
      <c r="T151" t="s">
        <v>829</v>
      </c>
      <c r="W151">
        <v>0</v>
      </c>
      <c r="X151">
        <v>39</v>
      </c>
      <c r="Y151">
        <v>32415</v>
      </c>
      <c r="AA151" t="s">
        <v>577</v>
      </c>
      <c r="AB151">
        <v>20190207</v>
      </c>
      <c r="AE151">
        <f t="shared" si="2"/>
        <v>0</v>
      </c>
      <c r="AF151">
        <v>0</v>
      </c>
      <c r="AG151">
        <v>0</v>
      </c>
      <c r="AH151">
        <v>0</v>
      </c>
      <c r="AI151" s="121">
        <v>162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162</v>
      </c>
    </row>
    <row r="152" spans="1:41">
      <c r="A152">
        <v>201903</v>
      </c>
      <c r="B152">
        <v>25</v>
      </c>
      <c r="C152" t="s">
        <v>502</v>
      </c>
      <c r="D152">
        <v>3190026606371</v>
      </c>
      <c r="E152" t="s">
        <v>53</v>
      </c>
      <c r="F152" t="s">
        <v>569</v>
      </c>
      <c r="G152" t="s">
        <v>570</v>
      </c>
      <c r="H152" t="s">
        <v>571</v>
      </c>
      <c r="I152" t="s">
        <v>578</v>
      </c>
      <c r="J152" t="s">
        <v>578</v>
      </c>
      <c r="K152" t="s">
        <v>579</v>
      </c>
      <c r="L152" t="s">
        <v>741</v>
      </c>
      <c r="M152" t="s">
        <v>710</v>
      </c>
      <c r="N152" t="s">
        <v>913</v>
      </c>
      <c r="P152" t="s">
        <v>575</v>
      </c>
      <c r="Q152" t="s">
        <v>620</v>
      </c>
      <c r="R152" t="s">
        <v>901</v>
      </c>
      <c r="S152">
        <v>20151230</v>
      </c>
      <c r="T152" t="s">
        <v>835</v>
      </c>
      <c r="W152">
        <v>0</v>
      </c>
      <c r="X152">
        <v>39</v>
      </c>
      <c r="Y152">
        <v>31000</v>
      </c>
      <c r="AA152" t="s">
        <v>577</v>
      </c>
      <c r="AB152">
        <v>20190225</v>
      </c>
      <c r="AE152">
        <f t="shared" si="2"/>
        <v>0</v>
      </c>
      <c r="AF152">
        <v>0</v>
      </c>
      <c r="AG152">
        <v>0</v>
      </c>
      <c r="AH152">
        <v>0</v>
      </c>
      <c r="AI152" s="121">
        <v>155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155</v>
      </c>
    </row>
    <row r="153" spans="1:41">
      <c r="A153">
        <v>201903</v>
      </c>
      <c r="B153">
        <v>25</v>
      </c>
      <c r="C153" t="s">
        <v>502</v>
      </c>
      <c r="D153">
        <v>3190027314311</v>
      </c>
      <c r="E153" t="s">
        <v>53</v>
      </c>
      <c r="F153" t="s">
        <v>569</v>
      </c>
      <c r="G153" t="s">
        <v>570</v>
      </c>
      <c r="H153" t="s">
        <v>571</v>
      </c>
      <c r="I153" t="s">
        <v>578</v>
      </c>
      <c r="J153" t="s">
        <v>578</v>
      </c>
      <c r="K153" t="s">
        <v>579</v>
      </c>
      <c r="L153" t="s">
        <v>756</v>
      </c>
      <c r="M153" t="s">
        <v>718</v>
      </c>
      <c r="N153" t="s">
        <v>1231</v>
      </c>
      <c r="P153" t="s">
        <v>575</v>
      </c>
      <c r="Q153" t="s">
        <v>620</v>
      </c>
      <c r="R153" t="s">
        <v>901</v>
      </c>
      <c r="S153">
        <v>20151230</v>
      </c>
      <c r="T153" t="s">
        <v>930</v>
      </c>
      <c r="W153">
        <v>0</v>
      </c>
      <c r="X153">
        <v>39</v>
      </c>
      <c r="Y153">
        <v>135100</v>
      </c>
      <c r="AA153" t="s">
        <v>577</v>
      </c>
      <c r="AB153">
        <v>20190226</v>
      </c>
      <c r="AE153">
        <f t="shared" si="2"/>
        <v>0</v>
      </c>
      <c r="AF153">
        <v>0</v>
      </c>
      <c r="AG153">
        <v>0</v>
      </c>
      <c r="AH153">
        <v>0</v>
      </c>
      <c r="AI153" s="121">
        <v>675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675</v>
      </c>
    </row>
    <row r="154" spans="1:41">
      <c r="A154">
        <v>201903</v>
      </c>
      <c r="B154">
        <v>25</v>
      </c>
      <c r="C154" t="s">
        <v>502</v>
      </c>
      <c r="D154">
        <v>3190027432431</v>
      </c>
      <c r="E154" t="s">
        <v>53</v>
      </c>
      <c r="F154" t="s">
        <v>569</v>
      </c>
      <c r="G154" t="s">
        <v>570</v>
      </c>
      <c r="H154" t="s">
        <v>571</v>
      </c>
      <c r="I154" t="s">
        <v>578</v>
      </c>
      <c r="J154" t="s">
        <v>578</v>
      </c>
      <c r="K154" t="s">
        <v>579</v>
      </c>
      <c r="L154" t="s">
        <v>597</v>
      </c>
      <c r="M154" t="s">
        <v>598</v>
      </c>
      <c r="N154" t="s">
        <v>913</v>
      </c>
      <c r="P154" t="s">
        <v>575</v>
      </c>
      <c r="Q154" t="s">
        <v>620</v>
      </c>
      <c r="R154" t="s">
        <v>917</v>
      </c>
      <c r="S154">
        <v>20151230</v>
      </c>
      <c r="T154" t="s">
        <v>835</v>
      </c>
      <c r="W154">
        <v>0</v>
      </c>
      <c r="X154">
        <v>39</v>
      </c>
      <c r="Y154">
        <v>56000</v>
      </c>
      <c r="AA154" t="s">
        <v>577</v>
      </c>
      <c r="AB154">
        <v>20190215</v>
      </c>
      <c r="AE154">
        <f t="shared" si="2"/>
        <v>0</v>
      </c>
      <c r="AF154">
        <v>0</v>
      </c>
      <c r="AG154">
        <v>0</v>
      </c>
      <c r="AH154">
        <v>0</v>
      </c>
      <c r="AI154" s="121">
        <v>280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280</v>
      </c>
    </row>
    <row r="155" spans="1:41">
      <c r="A155">
        <v>201903</v>
      </c>
      <c r="B155">
        <v>25</v>
      </c>
      <c r="C155" t="s">
        <v>502</v>
      </c>
      <c r="D155">
        <v>3190027626491</v>
      </c>
      <c r="E155" t="s">
        <v>53</v>
      </c>
      <c r="F155" t="s">
        <v>569</v>
      </c>
      <c r="G155" t="s">
        <v>570</v>
      </c>
      <c r="H155" t="s">
        <v>571</v>
      </c>
      <c r="I155" t="s">
        <v>578</v>
      </c>
      <c r="J155" t="s">
        <v>578</v>
      </c>
      <c r="K155" t="s">
        <v>579</v>
      </c>
      <c r="L155" t="s">
        <v>743</v>
      </c>
      <c r="M155" t="s">
        <v>744</v>
      </c>
      <c r="N155" t="s">
        <v>1228</v>
      </c>
      <c r="P155" t="s">
        <v>575</v>
      </c>
      <c r="Q155" t="s">
        <v>620</v>
      </c>
      <c r="R155" t="s">
        <v>917</v>
      </c>
      <c r="S155">
        <v>20151231</v>
      </c>
      <c r="T155" t="s">
        <v>1229</v>
      </c>
      <c r="W155">
        <v>0</v>
      </c>
      <c r="X155">
        <v>39</v>
      </c>
      <c r="Y155">
        <v>23000</v>
      </c>
      <c r="AA155" t="s">
        <v>577</v>
      </c>
      <c r="AB155">
        <v>20190225</v>
      </c>
      <c r="AE155">
        <f t="shared" si="2"/>
        <v>0</v>
      </c>
      <c r="AF155">
        <v>0</v>
      </c>
      <c r="AG155">
        <v>0</v>
      </c>
      <c r="AH155">
        <v>0</v>
      </c>
      <c r="AI155" s="121">
        <v>115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115</v>
      </c>
    </row>
    <row r="156" spans="1:41">
      <c r="A156">
        <v>201903</v>
      </c>
      <c r="B156">
        <v>25</v>
      </c>
      <c r="C156" t="s">
        <v>502</v>
      </c>
      <c r="D156">
        <v>3190028024351</v>
      </c>
      <c r="E156" t="s">
        <v>53</v>
      </c>
      <c r="F156" t="s">
        <v>569</v>
      </c>
      <c r="G156" t="s">
        <v>570</v>
      </c>
      <c r="H156" t="s">
        <v>571</v>
      </c>
      <c r="I156" t="s">
        <v>578</v>
      </c>
      <c r="J156" t="s">
        <v>578</v>
      </c>
      <c r="K156" t="s">
        <v>579</v>
      </c>
      <c r="L156" t="s">
        <v>756</v>
      </c>
      <c r="M156" t="s">
        <v>718</v>
      </c>
      <c r="N156" t="s">
        <v>1231</v>
      </c>
      <c r="P156" t="s">
        <v>575</v>
      </c>
      <c r="Q156" t="s">
        <v>620</v>
      </c>
      <c r="R156" t="s">
        <v>905</v>
      </c>
      <c r="S156">
        <v>20160107</v>
      </c>
      <c r="T156" t="s">
        <v>906</v>
      </c>
      <c r="W156">
        <v>0</v>
      </c>
      <c r="X156">
        <v>38</v>
      </c>
      <c r="Y156">
        <v>43000</v>
      </c>
      <c r="AA156" t="s">
        <v>577</v>
      </c>
      <c r="AB156">
        <v>20190220</v>
      </c>
      <c r="AE156">
        <f t="shared" si="2"/>
        <v>0</v>
      </c>
      <c r="AF156">
        <v>0</v>
      </c>
      <c r="AG156">
        <v>0</v>
      </c>
      <c r="AH156">
        <v>0</v>
      </c>
      <c r="AI156" s="121">
        <v>215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215</v>
      </c>
    </row>
    <row r="157" spans="1:41">
      <c r="A157">
        <v>201903</v>
      </c>
      <c r="B157">
        <v>25</v>
      </c>
      <c r="C157" t="s">
        <v>502</v>
      </c>
      <c r="D157">
        <v>3190028554331</v>
      </c>
      <c r="E157" t="s">
        <v>53</v>
      </c>
      <c r="F157" t="s">
        <v>569</v>
      </c>
      <c r="G157" t="s">
        <v>570</v>
      </c>
      <c r="H157" t="s">
        <v>571</v>
      </c>
      <c r="I157" t="s">
        <v>578</v>
      </c>
      <c r="J157" t="s">
        <v>578</v>
      </c>
      <c r="K157" t="s">
        <v>579</v>
      </c>
      <c r="L157" t="s">
        <v>756</v>
      </c>
      <c r="M157" t="s">
        <v>718</v>
      </c>
      <c r="N157" t="s">
        <v>1231</v>
      </c>
      <c r="P157" t="s">
        <v>575</v>
      </c>
      <c r="Q157" t="s">
        <v>620</v>
      </c>
      <c r="R157" t="s">
        <v>905</v>
      </c>
      <c r="S157">
        <v>20160120</v>
      </c>
      <c r="T157" t="s">
        <v>874</v>
      </c>
      <c r="X157">
        <v>38</v>
      </c>
      <c r="Y157">
        <v>39000</v>
      </c>
      <c r="AA157" t="s">
        <v>577</v>
      </c>
      <c r="AB157">
        <v>20190220</v>
      </c>
      <c r="AE157">
        <f t="shared" si="2"/>
        <v>0</v>
      </c>
      <c r="AF157">
        <v>0</v>
      </c>
      <c r="AG157">
        <v>0</v>
      </c>
      <c r="AH157">
        <v>0</v>
      </c>
      <c r="AI157" s="121">
        <v>195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195</v>
      </c>
    </row>
    <row r="158" spans="1:41">
      <c r="A158">
        <v>201903</v>
      </c>
      <c r="B158">
        <v>25</v>
      </c>
      <c r="C158" t="s">
        <v>502</v>
      </c>
      <c r="D158">
        <v>3190029277051</v>
      </c>
      <c r="E158" t="s">
        <v>53</v>
      </c>
      <c r="F158" t="s">
        <v>569</v>
      </c>
      <c r="G158" t="s">
        <v>570</v>
      </c>
      <c r="H158" t="s">
        <v>571</v>
      </c>
      <c r="I158" t="s">
        <v>578</v>
      </c>
      <c r="J158" t="s">
        <v>578</v>
      </c>
      <c r="K158" t="s">
        <v>579</v>
      </c>
      <c r="L158" t="s">
        <v>716</v>
      </c>
      <c r="M158" t="s">
        <v>717</v>
      </c>
      <c r="N158" t="s">
        <v>1230</v>
      </c>
      <c r="P158" t="s">
        <v>575</v>
      </c>
      <c r="Q158" t="s">
        <v>620</v>
      </c>
      <c r="R158" t="s">
        <v>917</v>
      </c>
      <c r="S158">
        <v>20160120</v>
      </c>
      <c r="T158" t="s">
        <v>815</v>
      </c>
      <c r="X158">
        <v>38</v>
      </c>
      <c r="Y158">
        <v>32100</v>
      </c>
      <c r="AA158" t="s">
        <v>577</v>
      </c>
      <c r="AB158">
        <v>20190225</v>
      </c>
      <c r="AE158">
        <f t="shared" si="2"/>
        <v>0</v>
      </c>
      <c r="AF158">
        <v>0</v>
      </c>
      <c r="AG158">
        <v>0</v>
      </c>
      <c r="AH158">
        <v>0</v>
      </c>
      <c r="AI158" s="121">
        <v>160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160</v>
      </c>
    </row>
    <row r="159" spans="1:41">
      <c r="A159">
        <v>201903</v>
      </c>
      <c r="B159">
        <v>25</v>
      </c>
      <c r="C159" t="s">
        <v>502</v>
      </c>
      <c r="D159">
        <v>3190411987021</v>
      </c>
      <c r="E159" t="s">
        <v>53</v>
      </c>
      <c r="F159" t="s">
        <v>688</v>
      </c>
      <c r="G159" t="s">
        <v>570</v>
      </c>
      <c r="H159" t="s">
        <v>571</v>
      </c>
      <c r="I159" t="s">
        <v>618</v>
      </c>
      <c r="J159" t="s">
        <v>618</v>
      </c>
      <c r="K159" t="s">
        <v>619</v>
      </c>
      <c r="L159" t="s">
        <v>639</v>
      </c>
      <c r="M159" t="s">
        <v>640</v>
      </c>
      <c r="N159" t="s">
        <v>925</v>
      </c>
      <c r="P159" t="s">
        <v>713</v>
      </c>
      <c r="Q159" t="s">
        <v>620</v>
      </c>
      <c r="R159" t="s">
        <v>1014</v>
      </c>
      <c r="S159">
        <v>20180313</v>
      </c>
      <c r="T159" t="s">
        <v>815</v>
      </c>
      <c r="X159">
        <v>8</v>
      </c>
      <c r="Y159">
        <v>50000</v>
      </c>
      <c r="AA159" t="s">
        <v>577</v>
      </c>
      <c r="AB159">
        <v>20190201</v>
      </c>
      <c r="AE159">
        <f t="shared" si="2"/>
        <v>-66235</v>
      </c>
      <c r="AF159">
        <v>0</v>
      </c>
      <c r="AG159">
        <v>0</v>
      </c>
      <c r="AH159">
        <v>-66235</v>
      </c>
      <c r="AI159" s="121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-66235</v>
      </c>
    </row>
    <row r="160" spans="1:41">
      <c r="A160">
        <v>201903</v>
      </c>
      <c r="B160">
        <v>25</v>
      </c>
      <c r="C160" t="s">
        <v>502</v>
      </c>
      <c r="D160">
        <v>3190429789341</v>
      </c>
      <c r="E160" t="s">
        <v>53</v>
      </c>
      <c r="F160" t="s">
        <v>688</v>
      </c>
      <c r="G160" t="s">
        <v>570</v>
      </c>
      <c r="H160" t="s">
        <v>571</v>
      </c>
      <c r="I160" t="s">
        <v>674</v>
      </c>
      <c r="L160" t="s">
        <v>491</v>
      </c>
      <c r="M160" t="s">
        <v>490</v>
      </c>
      <c r="N160" t="s">
        <v>907</v>
      </c>
      <c r="P160" t="s">
        <v>713</v>
      </c>
      <c r="Q160" t="s">
        <v>620</v>
      </c>
      <c r="R160" t="s">
        <v>1001</v>
      </c>
      <c r="S160">
        <v>20180615</v>
      </c>
      <c r="T160" t="s">
        <v>825</v>
      </c>
      <c r="X160">
        <v>5</v>
      </c>
      <c r="Y160">
        <v>45000</v>
      </c>
      <c r="AA160" t="s">
        <v>577</v>
      </c>
      <c r="AB160">
        <v>20190201</v>
      </c>
      <c r="AE160">
        <f t="shared" si="2"/>
        <v>-135237</v>
      </c>
      <c r="AF160">
        <v>0</v>
      </c>
      <c r="AG160">
        <v>0</v>
      </c>
      <c r="AH160">
        <v>-135237</v>
      </c>
      <c r="AI160" s="121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-135237</v>
      </c>
    </row>
    <row r="161" spans="1:41">
      <c r="A161">
        <v>201903</v>
      </c>
      <c r="B161">
        <v>25</v>
      </c>
      <c r="C161" t="s">
        <v>502</v>
      </c>
      <c r="D161">
        <v>3190433023011</v>
      </c>
      <c r="E161" t="s">
        <v>53</v>
      </c>
      <c r="F161" t="s">
        <v>688</v>
      </c>
      <c r="G161" t="s">
        <v>570</v>
      </c>
      <c r="H161" t="s">
        <v>571</v>
      </c>
      <c r="I161" t="s">
        <v>674</v>
      </c>
      <c r="J161" t="s">
        <v>674</v>
      </c>
      <c r="K161" t="s">
        <v>675</v>
      </c>
      <c r="L161" t="s">
        <v>489</v>
      </c>
      <c r="M161" t="s">
        <v>488</v>
      </c>
      <c r="N161" t="s">
        <v>902</v>
      </c>
      <c r="P161" t="s">
        <v>713</v>
      </c>
      <c r="Q161" t="s">
        <v>620</v>
      </c>
      <c r="R161" t="s">
        <v>1001</v>
      </c>
      <c r="S161">
        <v>20180629</v>
      </c>
      <c r="T161" t="s">
        <v>1236</v>
      </c>
      <c r="X161">
        <v>5</v>
      </c>
      <c r="Y161">
        <v>31000</v>
      </c>
      <c r="AA161" t="s">
        <v>577</v>
      </c>
      <c r="AB161">
        <v>20190201</v>
      </c>
      <c r="AE161">
        <f t="shared" si="2"/>
        <v>-93161</v>
      </c>
      <c r="AF161">
        <v>0</v>
      </c>
      <c r="AG161">
        <v>0</v>
      </c>
      <c r="AH161">
        <v>-93161</v>
      </c>
      <c r="AI161" s="12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-93161</v>
      </c>
    </row>
    <row r="162" spans="1:41">
      <c r="A162">
        <v>201903</v>
      </c>
      <c r="B162">
        <v>25</v>
      </c>
      <c r="C162" t="s">
        <v>502</v>
      </c>
      <c r="D162">
        <v>3190102824181</v>
      </c>
      <c r="E162" t="s">
        <v>53</v>
      </c>
      <c r="F162" t="s">
        <v>569</v>
      </c>
      <c r="G162" t="s">
        <v>570</v>
      </c>
      <c r="H162" t="s">
        <v>571</v>
      </c>
      <c r="I162" t="s">
        <v>674</v>
      </c>
      <c r="J162" t="s">
        <v>674</v>
      </c>
      <c r="K162" t="s">
        <v>675</v>
      </c>
      <c r="L162" t="s">
        <v>482</v>
      </c>
      <c r="M162" t="s">
        <v>481</v>
      </c>
      <c r="N162" t="s">
        <v>967</v>
      </c>
      <c r="P162" t="s">
        <v>575</v>
      </c>
      <c r="Q162" t="s">
        <v>620</v>
      </c>
      <c r="R162" t="s">
        <v>1014</v>
      </c>
      <c r="S162">
        <v>20171019</v>
      </c>
      <c r="T162" t="s">
        <v>1078</v>
      </c>
      <c r="X162">
        <v>17</v>
      </c>
      <c r="Y162">
        <v>38000</v>
      </c>
      <c r="AA162" t="s">
        <v>577</v>
      </c>
      <c r="AB162">
        <v>20190215</v>
      </c>
      <c r="AE162">
        <f t="shared" si="2"/>
        <v>0</v>
      </c>
      <c r="AF162">
        <v>0</v>
      </c>
      <c r="AG162">
        <v>0</v>
      </c>
      <c r="AH162">
        <v>0</v>
      </c>
      <c r="AI162" s="121">
        <v>190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190</v>
      </c>
    </row>
    <row r="163" spans="1:41">
      <c r="A163">
        <v>201903</v>
      </c>
      <c r="B163">
        <v>25</v>
      </c>
      <c r="C163" t="s">
        <v>502</v>
      </c>
      <c r="D163">
        <v>3190102905831</v>
      </c>
      <c r="E163" t="s">
        <v>53</v>
      </c>
      <c r="F163" t="s">
        <v>569</v>
      </c>
      <c r="G163" t="s">
        <v>570</v>
      </c>
      <c r="H163" t="s">
        <v>571</v>
      </c>
      <c r="I163" t="s">
        <v>633</v>
      </c>
      <c r="L163" t="s">
        <v>641</v>
      </c>
      <c r="M163" t="s">
        <v>642</v>
      </c>
      <c r="N163" t="s">
        <v>921</v>
      </c>
      <c r="P163" t="s">
        <v>575</v>
      </c>
      <c r="Q163" t="s">
        <v>620</v>
      </c>
      <c r="R163" t="s">
        <v>1013</v>
      </c>
      <c r="S163">
        <v>20171020</v>
      </c>
      <c r="T163" t="s">
        <v>738</v>
      </c>
      <c r="V163">
        <v>73</v>
      </c>
      <c r="W163">
        <v>20</v>
      </c>
      <c r="X163">
        <v>17</v>
      </c>
      <c r="Y163">
        <v>85000</v>
      </c>
      <c r="AA163" t="s">
        <v>577</v>
      </c>
      <c r="AB163">
        <v>20190225</v>
      </c>
      <c r="AE163">
        <f t="shared" si="2"/>
        <v>0</v>
      </c>
      <c r="AF163">
        <v>0</v>
      </c>
      <c r="AG163">
        <v>0</v>
      </c>
      <c r="AH163">
        <v>0</v>
      </c>
      <c r="AI163" s="121">
        <v>637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637</v>
      </c>
    </row>
    <row r="164" spans="1:41">
      <c r="A164">
        <v>201903</v>
      </c>
      <c r="B164">
        <v>25</v>
      </c>
      <c r="C164" t="s">
        <v>502</v>
      </c>
      <c r="D164">
        <v>3190103390001</v>
      </c>
      <c r="E164" t="s">
        <v>53</v>
      </c>
      <c r="F164" t="s">
        <v>569</v>
      </c>
      <c r="G164" t="s">
        <v>570</v>
      </c>
      <c r="H164" t="s">
        <v>571</v>
      </c>
      <c r="I164" t="s">
        <v>578</v>
      </c>
      <c r="L164" t="s">
        <v>572</v>
      </c>
      <c r="M164" t="s">
        <v>573</v>
      </c>
      <c r="N164" t="s">
        <v>910</v>
      </c>
      <c r="P164" t="s">
        <v>575</v>
      </c>
      <c r="Q164" t="s">
        <v>699</v>
      </c>
      <c r="R164" t="s">
        <v>1085</v>
      </c>
      <c r="S164">
        <v>20171020</v>
      </c>
      <c r="T164" t="s">
        <v>1063</v>
      </c>
      <c r="X164">
        <v>17</v>
      </c>
      <c r="Y164">
        <v>30000</v>
      </c>
      <c r="AA164" t="s">
        <v>577</v>
      </c>
      <c r="AB164">
        <v>20190228</v>
      </c>
      <c r="AE164">
        <f t="shared" si="2"/>
        <v>0</v>
      </c>
      <c r="AF164">
        <v>0</v>
      </c>
      <c r="AG164">
        <v>0</v>
      </c>
      <c r="AH164">
        <v>0</v>
      </c>
      <c r="AI164" s="121">
        <v>150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150</v>
      </c>
    </row>
    <row r="165" spans="1:41">
      <c r="A165">
        <v>201903</v>
      </c>
      <c r="B165">
        <v>25</v>
      </c>
      <c r="C165" t="s">
        <v>502</v>
      </c>
      <c r="D165">
        <v>3190103640771</v>
      </c>
      <c r="E165" t="s">
        <v>53</v>
      </c>
      <c r="F165" t="s">
        <v>569</v>
      </c>
      <c r="G165" t="s">
        <v>570</v>
      </c>
      <c r="H165" t="s">
        <v>571</v>
      </c>
      <c r="I165" t="s">
        <v>674</v>
      </c>
      <c r="J165" t="s">
        <v>674</v>
      </c>
      <c r="K165" t="s">
        <v>675</v>
      </c>
      <c r="L165" t="s">
        <v>489</v>
      </c>
      <c r="M165" t="s">
        <v>488</v>
      </c>
      <c r="N165" t="s">
        <v>902</v>
      </c>
      <c r="P165" t="s">
        <v>575</v>
      </c>
      <c r="Q165" t="s">
        <v>620</v>
      </c>
      <c r="R165" t="s">
        <v>1014</v>
      </c>
      <c r="S165">
        <v>20171023</v>
      </c>
      <c r="T165" t="s">
        <v>891</v>
      </c>
      <c r="X165">
        <v>17</v>
      </c>
      <c r="Y165">
        <v>38000</v>
      </c>
      <c r="AA165" t="s">
        <v>577</v>
      </c>
      <c r="AB165">
        <v>20190220</v>
      </c>
      <c r="AE165">
        <f t="shared" si="2"/>
        <v>0</v>
      </c>
      <c r="AF165">
        <v>0</v>
      </c>
      <c r="AG165">
        <v>0</v>
      </c>
      <c r="AH165">
        <v>0</v>
      </c>
      <c r="AI165" s="121">
        <v>190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190</v>
      </c>
    </row>
    <row r="166" spans="1:41">
      <c r="A166">
        <v>201903</v>
      </c>
      <c r="B166">
        <v>25</v>
      </c>
      <c r="C166" t="s">
        <v>502</v>
      </c>
      <c r="D166">
        <v>3190103879011</v>
      </c>
      <c r="E166" t="s">
        <v>53</v>
      </c>
      <c r="F166" t="s">
        <v>569</v>
      </c>
      <c r="G166" t="s">
        <v>570</v>
      </c>
      <c r="H166" t="s">
        <v>571</v>
      </c>
      <c r="I166" t="s">
        <v>674</v>
      </c>
      <c r="J166" t="s">
        <v>674</v>
      </c>
      <c r="K166" t="s">
        <v>675</v>
      </c>
      <c r="L166" t="s">
        <v>489</v>
      </c>
      <c r="M166" t="s">
        <v>488</v>
      </c>
      <c r="N166" t="s">
        <v>902</v>
      </c>
      <c r="P166" t="s">
        <v>575</v>
      </c>
      <c r="Q166" t="s">
        <v>620</v>
      </c>
      <c r="R166" t="s">
        <v>1014</v>
      </c>
      <c r="S166">
        <v>20171024</v>
      </c>
      <c r="T166" t="s">
        <v>1065</v>
      </c>
      <c r="X166">
        <v>17</v>
      </c>
      <c r="Y166">
        <v>40000</v>
      </c>
      <c r="AA166" t="s">
        <v>577</v>
      </c>
      <c r="AB166">
        <v>20190225</v>
      </c>
      <c r="AE166">
        <f t="shared" si="2"/>
        <v>0</v>
      </c>
      <c r="AF166">
        <v>0</v>
      </c>
      <c r="AG166">
        <v>0</v>
      </c>
      <c r="AH166">
        <v>0</v>
      </c>
      <c r="AI166" s="121">
        <v>200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200</v>
      </c>
    </row>
    <row r="167" spans="1:41">
      <c r="A167">
        <v>201903</v>
      </c>
      <c r="B167">
        <v>25</v>
      </c>
      <c r="C167" t="s">
        <v>502</v>
      </c>
      <c r="D167">
        <v>3190104326541</v>
      </c>
      <c r="E167" t="s">
        <v>53</v>
      </c>
      <c r="F167" t="s">
        <v>569</v>
      </c>
      <c r="G167" t="s">
        <v>570</v>
      </c>
      <c r="H167" t="s">
        <v>571</v>
      </c>
      <c r="I167" t="s">
        <v>674</v>
      </c>
      <c r="J167" t="s">
        <v>674</v>
      </c>
      <c r="K167" t="s">
        <v>675</v>
      </c>
      <c r="L167" t="s">
        <v>489</v>
      </c>
      <c r="M167" t="s">
        <v>488</v>
      </c>
      <c r="N167" t="s">
        <v>902</v>
      </c>
      <c r="P167" t="s">
        <v>575</v>
      </c>
      <c r="Q167" t="s">
        <v>620</v>
      </c>
      <c r="R167" t="s">
        <v>1014</v>
      </c>
      <c r="S167">
        <v>20171031</v>
      </c>
      <c r="T167" t="s">
        <v>1199</v>
      </c>
      <c r="X167">
        <v>17</v>
      </c>
      <c r="Y167">
        <v>33000</v>
      </c>
      <c r="AA167" t="s">
        <v>577</v>
      </c>
      <c r="AB167">
        <v>20190225</v>
      </c>
      <c r="AE167">
        <f t="shared" si="2"/>
        <v>0</v>
      </c>
      <c r="AF167">
        <v>0</v>
      </c>
      <c r="AG167">
        <v>0</v>
      </c>
      <c r="AH167">
        <v>0</v>
      </c>
      <c r="AI167" s="121">
        <v>165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165</v>
      </c>
    </row>
    <row r="168" spans="1:41">
      <c r="A168">
        <v>201903</v>
      </c>
      <c r="B168">
        <v>25</v>
      </c>
      <c r="C168" t="s">
        <v>502</v>
      </c>
      <c r="D168">
        <v>3190105595891</v>
      </c>
      <c r="E168" t="s">
        <v>53</v>
      </c>
      <c r="F168" t="s">
        <v>569</v>
      </c>
      <c r="G168" t="s">
        <v>570</v>
      </c>
      <c r="H168" t="s">
        <v>571</v>
      </c>
      <c r="I168" t="s">
        <v>1139</v>
      </c>
      <c r="J168" t="s">
        <v>706</v>
      </c>
      <c r="K168" t="s">
        <v>707</v>
      </c>
      <c r="L168" t="s">
        <v>708</v>
      </c>
      <c r="M168" t="s">
        <v>709</v>
      </c>
      <c r="N168" t="s">
        <v>1024</v>
      </c>
      <c r="P168" t="s">
        <v>575</v>
      </c>
      <c r="Q168" t="s">
        <v>620</v>
      </c>
      <c r="R168" t="s">
        <v>1210</v>
      </c>
      <c r="S168">
        <v>20171107</v>
      </c>
      <c r="T168" t="s">
        <v>1233</v>
      </c>
      <c r="V168">
        <v>0</v>
      </c>
      <c r="W168">
        <v>0</v>
      </c>
      <c r="X168">
        <v>15</v>
      </c>
      <c r="Y168">
        <v>43272</v>
      </c>
      <c r="AA168" t="s">
        <v>577</v>
      </c>
      <c r="AB168">
        <v>20190228</v>
      </c>
      <c r="AE168">
        <f t="shared" si="2"/>
        <v>0</v>
      </c>
      <c r="AF168">
        <v>0</v>
      </c>
      <c r="AG168">
        <v>0</v>
      </c>
      <c r="AH168">
        <v>0</v>
      </c>
      <c r="AI168" s="121">
        <v>432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432</v>
      </c>
    </row>
    <row r="169" spans="1:41">
      <c r="A169">
        <v>201903</v>
      </c>
      <c r="B169">
        <v>25</v>
      </c>
      <c r="C169" t="s">
        <v>502</v>
      </c>
      <c r="D169">
        <v>3190105598791</v>
      </c>
      <c r="E169" t="s">
        <v>53</v>
      </c>
      <c r="F169" t="s">
        <v>569</v>
      </c>
      <c r="G169" t="s">
        <v>570</v>
      </c>
      <c r="H169" t="s">
        <v>571</v>
      </c>
      <c r="I169" t="s">
        <v>1139</v>
      </c>
      <c r="J169" t="s">
        <v>706</v>
      </c>
      <c r="K169" t="s">
        <v>707</v>
      </c>
      <c r="L169" t="s">
        <v>708</v>
      </c>
      <c r="M169" t="s">
        <v>709</v>
      </c>
      <c r="N169" t="s">
        <v>1024</v>
      </c>
      <c r="P169" t="s">
        <v>575</v>
      </c>
      <c r="Q169" t="s">
        <v>620</v>
      </c>
      <c r="R169" t="s">
        <v>1210</v>
      </c>
      <c r="S169">
        <v>20171107</v>
      </c>
      <c r="T169" t="s">
        <v>1233</v>
      </c>
      <c r="V169">
        <v>0</v>
      </c>
      <c r="W169">
        <v>0</v>
      </c>
      <c r="X169">
        <v>15</v>
      </c>
      <c r="Y169">
        <v>52381</v>
      </c>
      <c r="AA169" t="s">
        <v>577</v>
      </c>
      <c r="AB169">
        <v>20190228</v>
      </c>
      <c r="AE169">
        <f t="shared" si="2"/>
        <v>0</v>
      </c>
      <c r="AF169">
        <v>0</v>
      </c>
      <c r="AG169">
        <v>0</v>
      </c>
      <c r="AH169">
        <v>0</v>
      </c>
      <c r="AI169" s="121">
        <v>522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522</v>
      </c>
    </row>
    <row r="170" spans="1:41">
      <c r="A170">
        <v>201903</v>
      </c>
      <c r="B170">
        <v>25</v>
      </c>
      <c r="C170" t="s">
        <v>502</v>
      </c>
      <c r="D170">
        <v>3190105599601</v>
      </c>
      <c r="E170" t="s">
        <v>53</v>
      </c>
      <c r="F170" t="s">
        <v>569</v>
      </c>
      <c r="G170" t="s">
        <v>570</v>
      </c>
      <c r="H170" t="s">
        <v>571</v>
      </c>
      <c r="I170" t="s">
        <v>1139</v>
      </c>
      <c r="J170" t="s">
        <v>706</v>
      </c>
      <c r="K170" t="s">
        <v>707</v>
      </c>
      <c r="L170" t="s">
        <v>708</v>
      </c>
      <c r="M170" t="s">
        <v>709</v>
      </c>
      <c r="N170" t="s">
        <v>1024</v>
      </c>
      <c r="P170" t="s">
        <v>575</v>
      </c>
      <c r="Q170" t="s">
        <v>620</v>
      </c>
      <c r="R170" t="s">
        <v>1013</v>
      </c>
      <c r="S170">
        <v>20171107</v>
      </c>
      <c r="T170" t="s">
        <v>1233</v>
      </c>
      <c r="V170">
        <v>0</v>
      </c>
      <c r="W170">
        <v>0</v>
      </c>
      <c r="X170">
        <v>15</v>
      </c>
      <c r="Y170">
        <v>53710</v>
      </c>
      <c r="AA170" t="s">
        <v>577</v>
      </c>
      <c r="AB170">
        <v>20190228</v>
      </c>
      <c r="AE170">
        <f t="shared" si="2"/>
        <v>0</v>
      </c>
      <c r="AF170">
        <v>0</v>
      </c>
      <c r="AG170">
        <v>0</v>
      </c>
      <c r="AH170">
        <v>0</v>
      </c>
      <c r="AI170" s="121">
        <v>804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804</v>
      </c>
    </row>
    <row r="171" spans="1:41">
      <c r="A171">
        <v>201903</v>
      </c>
      <c r="B171">
        <v>25</v>
      </c>
      <c r="C171" t="s">
        <v>502</v>
      </c>
      <c r="D171">
        <v>3190105682071</v>
      </c>
      <c r="E171" t="s">
        <v>53</v>
      </c>
      <c r="F171" t="s">
        <v>569</v>
      </c>
      <c r="G171" t="s">
        <v>570</v>
      </c>
      <c r="H171" t="s">
        <v>571</v>
      </c>
      <c r="I171" t="s">
        <v>674</v>
      </c>
      <c r="L171" t="s">
        <v>491</v>
      </c>
      <c r="M171" t="s">
        <v>490</v>
      </c>
      <c r="N171" t="s">
        <v>907</v>
      </c>
      <c r="P171" t="s">
        <v>575</v>
      </c>
      <c r="Q171" t="s">
        <v>620</v>
      </c>
      <c r="R171" t="s">
        <v>1013</v>
      </c>
      <c r="S171">
        <v>20171103</v>
      </c>
      <c r="T171" t="s">
        <v>1105</v>
      </c>
      <c r="X171">
        <v>16</v>
      </c>
      <c r="Y171">
        <v>30000</v>
      </c>
      <c r="AA171" t="s">
        <v>577</v>
      </c>
      <c r="AB171">
        <v>20190228</v>
      </c>
      <c r="AE171">
        <f t="shared" si="2"/>
        <v>0</v>
      </c>
      <c r="AF171">
        <v>0</v>
      </c>
      <c r="AG171">
        <v>0</v>
      </c>
      <c r="AH171">
        <v>0</v>
      </c>
      <c r="AI171" s="121">
        <v>225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225</v>
      </c>
    </row>
    <row r="172" spans="1:41">
      <c r="A172">
        <v>201903</v>
      </c>
      <c r="B172">
        <v>25</v>
      </c>
      <c r="C172" t="s">
        <v>502</v>
      </c>
      <c r="D172">
        <v>3190105683631</v>
      </c>
      <c r="E172" t="s">
        <v>53</v>
      </c>
      <c r="F172" t="s">
        <v>569</v>
      </c>
      <c r="G172" t="s">
        <v>570</v>
      </c>
      <c r="H172" t="s">
        <v>571</v>
      </c>
      <c r="I172" t="s">
        <v>674</v>
      </c>
      <c r="L172" t="s">
        <v>491</v>
      </c>
      <c r="M172" t="s">
        <v>490</v>
      </c>
      <c r="N172" t="s">
        <v>907</v>
      </c>
      <c r="P172" t="s">
        <v>575</v>
      </c>
      <c r="Q172" t="s">
        <v>620</v>
      </c>
      <c r="R172" t="s">
        <v>1013</v>
      </c>
      <c r="S172">
        <v>20171103</v>
      </c>
      <c r="T172" t="s">
        <v>1106</v>
      </c>
      <c r="X172">
        <v>16</v>
      </c>
      <c r="Y172">
        <v>38000</v>
      </c>
      <c r="AA172" t="s">
        <v>577</v>
      </c>
      <c r="AB172">
        <v>20190220</v>
      </c>
      <c r="AE172">
        <f t="shared" si="2"/>
        <v>0</v>
      </c>
      <c r="AF172">
        <v>0</v>
      </c>
      <c r="AG172">
        <v>0</v>
      </c>
      <c r="AH172">
        <v>0</v>
      </c>
      <c r="AI172" s="121">
        <v>285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285</v>
      </c>
    </row>
    <row r="173" spans="1:41">
      <c r="A173">
        <v>201903</v>
      </c>
      <c r="B173">
        <v>25</v>
      </c>
      <c r="C173" t="s">
        <v>502</v>
      </c>
      <c r="D173">
        <v>3190105739421</v>
      </c>
      <c r="E173" t="s">
        <v>53</v>
      </c>
      <c r="F173" t="s">
        <v>569</v>
      </c>
      <c r="G173" t="s">
        <v>570</v>
      </c>
      <c r="H173" t="s">
        <v>571</v>
      </c>
      <c r="I173" t="s">
        <v>578</v>
      </c>
      <c r="J173" t="s">
        <v>578</v>
      </c>
      <c r="K173" t="s">
        <v>579</v>
      </c>
      <c r="L173" t="s">
        <v>611</v>
      </c>
      <c r="M173" t="s">
        <v>612</v>
      </c>
      <c r="N173" t="s">
        <v>979</v>
      </c>
      <c r="P173" t="s">
        <v>575</v>
      </c>
      <c r="Q173" t="s">
        <v>620</v>
      </c>
      <c r="R173" t="s">
        <v>1014</v>
      </c>
      <c r="S173">
        <v>20171106</v>
      </c>
      <c r="T173" t="s">
        <v>840</v>
      </c>
      <c r="X173">
        <v>16</v>
      </c>
      <c r="Y173">
        <v>21000</v>
      </c>
      <c r="AA173" t="s">
        <v>577</v>
      </c>
      <c r="AB173">
        <v>20190220</v>
      </c>
      <c r="AE173">
        <f t="shared" si="2"/>
        <v>0</v>
      </c>
      <c r="AF173">
        <v>0</v>
      </c>
      <c r="AG173">
        <v>0</v>
      </c>
      <c r="AH173">
        <v>0</v>
      </c>
      <c r="AI173" s="121">
        <v>105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105</v>
      </c>
    </row>
    <row r="174" spans="1:41">
      <c r="A174">
        <v>201903</v>
      </c>
      <c r="B174">
        <v>25</v>
      </c>
      <c r="C174" t="s">
        <v>502</v>
      </c>
      <c r="D174">
        <v>3190106085581</v>
      </c>
      <c r="E174" t="s">
        <v>53</v>
      </c>
      <c r="F174" t="s">
        <v>569</v>
      </c>
      <c r="G174" t="s">
        <v>570</v>
      </c>
      <c r="H174" t="s">
        <v>571</v>
      </c>
      <c r="I174" t="s">
        <v>578</v>
      </c>
      <c r="J174" t="s">
        <v>578</v>
      </c>
      <c r="K174" t="s">
        <v>579</v>
      </c>
      <c r="L174" t="s">
        <v>615</v>
      </c>
      <c r="M174" t="s">
        <v>616</v>
      </c>
      <c r="N174" t="s">
        <v>919</v>
      </c>
      <c r="P174" t="s">
        <v>575</v>
      </c>
      <c r="Q174" t="s">
        <v>620</v>
      </c>
      <c r="R174" t="s">
        <v>1014</v>
      </c>
      <c r="S174">
        <v>20171117</v>
      </c>
      <c r="T174" t="s">
        <v>1107</v>
      </c>
      <c r="X174">
        <v>16</v>
      </c>
      <c r="Y174">
        <v>58000</v>
      </c>
      <c r="AA174" t="s">
        <v>577</v>
      </c>
      <c r="AB174">
        <v>20190225</v>
      </c>
      <c r="AE174">
        <f t="shared" si="2"/>
        <v>0</v>
      </c>
      <c r="AF174">
        <v>0</v>
      </c>
      <c r="AG174">
        <v>0</v>
      </c>
      <c r="AH174">
        <v>0</v>
      </c>
      <c r="AI174" s="121">
        <v>290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290</v>
      </c>
    </row>
    <row r="175" spans="1:41">
      <c r="A175">
        <v>201903</v>
      </c>
      <c r="B175">
        <v>25</v>
      </c>
      <c r="C175" t="s">
        <v>502</v>
      </c>
      <c r="D175">
        <v>3190106087261</v>
      </c>
      <c r="E175" t="s">
        <v>53</v>
      </c>
      <c r="F175" t="s">
        <v>569</v>
      </c>
      <c r="G175" t="s">
        <v>570</v>
      </c>
      <c r="H175" t="s">
        <v>571</v>
      </c>
      <c r="I175" t="s">
        <v>578</v>
      </c>
      <c r="J175" t="s">
        <v>578</v>
      </c>
      <c r="K175" t="s">
        <v>579</v>
      </c>
      <c r="L175" t="s">
        <v>615</v>
      </c>
      <c r="M175" t="s">
        <v>616</v>
      </c>
      <c r="N175" t="s">
        <v>919</v>
      </c>
      <c r="P175" t="s">
        <v>575</v>
      </c>
      <c r="Q175" t="s">
        <v>620</v>
      </c>
      <c r="R175" t="s">
        <v>1014</v>
      </c>
      <c r="S175">
        <v>20171117</v>
      </c>
      <c r="T175" t="s">
        <v>1107</v>
      </c>
      <c r="X175">
        <v>16</v>
      </c>
      <c r="Y175">
        <v>34000</v>
      </c>
      <c r="AA175" t="s">
        <v>577</v>
      </c>
      <c r="AB175">
        <v>20190225</v>
      </c>
      <c r="AE175">
        <f t="shared" si="2"/>
        <v>0</v>
      </c>
      <c r="AF175">
        <v>0</v>
      </c>
      <c r="AG175">
        <v>0</v>
      </c>
      <c r="AH175">
        <v>0</v>
      </c>
      <c r="AI175" s="121">
        <v>340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340</v>
      </c>
    </row>
    <row r="176" spans="1:41">
      <c r="A176">
        <v>201903</v>
      </c>
      <c r="B176">
        <v>25</v>
      </c>
      <c r="C176" t="s">
        <v>502</v>
      </c>
      <c r="D176">
        <v>3190389201831</v>
      </c>
      <c r="E176" t="s">
        <v>53</v>
      </c>
      <c r="F176" t="s">
        <v>569</v>
      </c>
      <c r="G176" t="s">
        <v>570</v>
      </c>
      <c r="H176" t="s">
        <v>571</v>
      </c>
      <c r="I176" t="s">
        <v>578</v>
      </c>
      <c r="J176" t="s">
        <v>578</v>
      </c>
      <c r="K176" t="s">
        <v>579</v>
      </c>
      <c r="L176" t="s">
        <v>580</v>
      </c>
      <c r="M176" t="s">
        <v>581</v>
      </c>
      <c r="N176" t="s">
        <v>915</v>
      </c>
      <c r="P176" t="s">
        <v>575</v>
      </c>
      <c r="Q176" t="s">
        <v>620</v>
      </c>
      <c r="R176" t="s">
        <v>1014</v>
      </c>
      <c r="S176">
        <v>20171117</v>
      </c>
      <c r="T176" t="s">
        <v>858</v>
      </c>
      <c r="X176">
        <v>16</v>
      </c>
      <c r="Y176">
        <v>56000</v>
      </c>
      <c r="AA176" t="s">
        <v>577</v>
      </c>
      <c r="AB176">
        <v>20190220</v>
      </c>
      <c r="AE176">
        <f t="shared" si="2"/>
        <v>0</v>
      </c>
      <c r="AF176">
        <v>0</v>
      </c>
      <c r="AG176">
        <v>0</v>
      </c>
      <c r="AH176">
        <v>0</v>
      </c>
      <c r="AI176" s="121">
        <v>280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280</v>
      </c>
    </row>
    <row r="177" spans="1:41">
      <c r="A177">
        <v>201903</v>
      </c>
      <c r="B177">
        <v>25</v>
      </c>
      <c r="C177" t="s">
        <v>502</v>
      </c>
      <c r="D177">
        <v>3190389202611</v>
      </c>
      <c r="E177" t="s">
        <v>53</v>
      </c>
      <c r="F177" t="s">
        <v>569</v>
      </c>
      <c r="G177" t="s">
        <v>570</v>
      </c>
      <c r="H177" t="s">
        <v>571</v>
      </c>
      <c r="I177" t="s">
        <v>578</v>
      </c>
      <c r="J177" t="s">
        <v>578</v>
      </c>
      <c r="K177" t="s">
        <v>579</v>
      </c>
      <c r="L177" t="s">
        <v>580</v>
      </c>
      <c r="M177" t="s">
        <v>581</v>
      </c>
      <c r="N177" t="s">
        <v>915</v>
      </c>
      <c r="P177" t="s">
        <v>575</v>
      </c>
      <c r="Q177" t="s">
        <v>620</v>
      </c>
      <c r="R177" t="s">
        <v>1014</v>
      </c>
      <c r="S177">
        <v>20171114</v>
      </c>
      <c r="T177" t="s">
        <v>1118</v>
      </c>
      <c r="X177">
        <v>16</v>
      </c>
      <c r="Y177">
        <v>34000</v>
      </c>
      <c r="AA177" t="s">
        <v>577</v>
      </c>
      <c r="AB177">
        <v>20190220</v>
      </c>
      <c r="AE177">
        <f t="shared" si="2"/>
        <v>0</v>
      </c>
      <c r="AF177">
        <v>0</v>
      </c>
      <c r="AG177">
        <v>0</v>
      </c>
      <c r="AH177">
        <v>0</v>
      </c>
      <c r="AI177" s="121">
        <v>170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170</v>
      </c>
    </row>
    <row r="178" spans="1:41">
      <c r="A178">
        <v>201903</v>
      </c>
      <c r="B178">
        <v>25</v>
      </c>
      <c r="C178" t="s">
        <v>502</v>
      </c>
      <c r="D178">
        <v>3190389224261</v>
      </c>
      <c r="E178" t="s">
        <v>53</v>
      </c>
      <c r="F178" t="s">
        <v>569</v>
      </c>
      <c r="G178" t="s">
        <v>570</v>
      </c>
      <c r="H178" t="s">
        <v>571</v>
      </c>
      <c r="I178" t="s">
        <v>578</v>
      </c>
      <c r="J178" t="s">
        <v>578</v>
      </c>
      <c r="K178" t="s">
        <v>579</v>
      </c>
      <c r="L178" t="s">
        <v>741</v>
      </c>
      <c r="M178" t="s">
        <v>710</v>
      </c>
      <c r="N178" t="s">
        <v>913</v>
      </c>
      <c r="P178" t="s">
        <v>575</v>
      </c>
      <c r="Q178" t="s">
        <v>620</v>
      </c>
      <c r="R178" t="s">
        <v>1023</v>
      </c>
      <c r="S178">
        <v>20171114</v>
      </c>
      <c r="T178" t="s">
        <v>989</v>
      </c>
      <c r="X178">
        <v>16</v>
      </c>
      <c r="Y178">
        <v>30000</v>
      </c>
      <c r="AA178" t="s">
        <v>577</v>
      </c>
      <c r="AB178">
        <v>20190228</v>
      </c>
      <c r="AE178">
        <f t="shared" si="2"/>
        <v>0</v>
      </c>
      <c r="AF178">
        <v>0</v>
      </c>
      <c r="AG178">
        <v>0</v>
      </c>
      <c r="AH178">
        <v>0</v>
      </c>
      <c r="AI178" s="121">
        <v>150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150</v>
      </c>
    </row>
    <row r="179" spans="1:41">
      <c r="A179">
        <v>201903</v>
      </c>
      <c r="B179">
        <v>25</v>
      </c>
      <c r="C179" t="s">
        <v>502</v>
      </c>
      <c r="D179">
        <v>3190389270111</v>
      </c>
      <c r="E179" t="s">
        <v>53</v>
      </c>
      <c r="F179" t="s">
        <v>569</v>
      </c>
      <c r="G179" t="s">
        <v>570</v>
      </c>
      <c r="H179" t="s">
        <v>571</v>
      </c>
      <c r="I179" t="s">
        <v>578</v>
      </c>
      <c r="J179" t="s">
        <v>578</v>
      </c>
      <c r="K179" t="s">
        <v>579</v>
      </c>
      <c r="L179" t="s">
        <v>741</v>
      </c>
      <c r="M179" t="s">
        <v>710</v>
      </c>
      <c r="N179" t="s">
        <v>913</v>
      </c>
      <c r="P179" t="s">
        <v>575</v>
      </c>
      <c r="Q179" t="s">
        <v>620</v>
      </c>
      <c r="R179" t="s">
        <v>1014</v>
      </c>
      <c r="S179">
        <v>20171114</v>
      </c>
      <c r="T179" t="s">
        <v>989</v>
      </c>
      <c r="X179">
        <v>16</v>
      </c>
      <c r="Y179">
        <v>31000</v>
      </c>
      <c r="AA179" t="s">
        <v>577</v>
      </c>
      <c r="AB179">
        <v>20190228</v>
      </c>
      <c r="AE179">
        <f t="shared" si="2"/>
        <v>0</v>
      </c>
      <c r="AF179">
        <v>0</v>
      </c>
      <c r="AG179">
        <v>0</v>
      </c>
      <c r="AH179">
        <v>0</v>
      </c>
      <c r="AI179" s="121">
        <v>155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155</v>
      </c>
    </row>
    <row r="180" spans="1:41">
      <c r="A180">
        <v>201903</v>
      </c>
      <c r="B180">
        <v>25</v>
      </c>
      <c r="C180" t="s">
        <v>502</v>
      </c>
      <c r="D180">
        <v>3190389388711</v>
      </c>
      <c r="E180" t="s">
        <v>53</v>
      </c>
      <c r="F180" t="s">
        <v>569</v>
      </c>
      <c r="G180" t="s">
        <v>570</v>
      </c>
      <c r="H180" t="s">
        <v>571</v>
      </c>
      <c r="I180" t="s">
        <v>646</v>
      </c>
      <c r="L180" t="s">
        <v>677</v>
      </c>
      <c r="M180" t="s">
        <v>678</v>
      </c>
      <c r="N180" t="s">
        <v>938</v>
      </c>
      <c r="P180" t="s">
        <v>575</v>
      </c>
      <c r="Q180" t="s">
        <v>620</v>
      </c>
      <c r="R180" t="s">
        <v>1014</v>
      </c>
      <c r="S180">
        <v>20171114</v>
      </c>
      <c r="T180" t="s">
        <v>1033</v>
      </c>
      <c r="X180">
        <v>16</v>
      </c>
      <c r="Y180">
        <v>80000</v>
      </c>
      <c r="AA180" t="s">
        <v>577</v>
      </c>
      <c r="AB180">
        <v>20190225</v>
      </c>
      <c r="AE180">
        <f t="shared" si="2"/>
        <v>0</v>
      </c>
      <c r="AF180">
        <v>0</v>
      </c>
      <c r="AG180">
        <v>0</v>
      </c>
      <c r="AH180">
        <v>0</v>
      </c>
      <c r="AI180" s="121">
        <v>400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400</v>
      </c>
    </row>
    <row r="181" spans="1:41">
      <c r="A181">
        <v>201903</v>
      </c>
      <c r="B181">
        <v>25</v>
      </c>
      <c r="C181" t="s">
        <v>502</v>
      </c>
      <c r="D181">
        <v>3190389463881</v>
      </c>
      <c r="E181" t="s">
        <v>53</v>
      </c>
      <c r="F181" t="s">
        <v>569</v>
      </c>
      <c r="G181" t="s">
        <v>570</v>
      </c>
      <c r="H181" t="s">
        <v>571</v>
      </c>
      <c r="I181" t="s">
        <v>1139</v>
      </c>
      <c r="J181" t="s">
        <v>706</v>
      </c>
      <c r="K181" t="s">
        <v>707</v>
      </c>
      <c r="L181" t="s">
        <v>708</v>
      </c>
      <c r="M181" t="s">
        <v>709</v>
      </c>
      <c r="N181" t="s">
        <v>1024</v>
      </c>
      <c r="P181" t="s">
        <v>575</v>
      </c>
      <c r="Q181" t="s">
        <v>620</v>
      </c>
      <c r="R181" t="s">
        <v>1013</v>
      </c>
      <c r="S181">
        <v>20171117</v>
      </c>
      <c r="T181" t="s">
        <v>703</v>
      </c>
      <c r="V181">
        <v>0</v>
      </c>
      <c r="W181">
        <v>0</v>
      </c>
      <c r="X181">
        <v>16</v>
      </c>
      <c r="Y181">
        <v>156200</v>
      </c>
      <c r="AA181" t="s">
        <v>577</v>
      </c>
      <c r="AB181">
        <v>20190215</v>
      </c>
      <c r="AE181">
        <f t="shared" si="2"/>
        <v>0</v>
      </c>
      <c r="AF181">
        <v>0</v>
      </c>
      <c r="AG181">
        <v>0</v>
      </c>
      <c r="AH181">
        <v>0</v>
      </c>
      <c r="AI181" s="121">
        <v>1171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1171</v>
      </c>
    </row>
    <row r="182" spans="1:41">
      <c r="A182">
        <v>201903</v>
      </c>
      <c r="B182">
        <v>25</v>
      </c>
      <c r="C182" t="s">
        <v>502</v>
      </c>
      <c r="D182">
        <v>3190389942051</v>
      </c>
      <c r="E182" t="s">
        <v>53</v>
      </c>
      <c r="F182" t="s">
        <v>569</v>
      </c>
      <c r="G182" t="s">
        <v>570</v>
      </c>
      <c r="H182" t="s">
        <v>571</v>
      </c>
      <c r="I182" t="s">
        <v>578</v>
      </c>
      <c r="J182" t="s">
        <v>578</v>
      </c>
      <c r="K182" t="s">
        <v>579</v>
      </c>
      <c r="L182" t="s">
        <v>580</v>
      </c>
      <c r="M182" t="s">
        <v>581</v>
      </c>
      <c r="N182" t="s">
        <v>915</v>
      </c>
      <c r="P182" t="s">
        <v>575</v>
      </c>
      <c r="Q182" t="s">
        <v>620</v>
      </c>
      <c r="R182" t="s">
        <v>1014</v>
      </c>
      <c r="S182">
        <v>20171117</v>
      </c>
      <c r="T182" t="s">
        <v>834</v>
      </c>
      <c r="X182">
        <v>16</v>
      </c>
      <c r="Y182">
        <v>43500</v>
      </c>
      <c r="AA182" t="s">
        <v>577</v>
      </c>
      <c r="AB182">
        <v>20190228</v>
      </c>
      <c r="AE182">
        <f t="shared" si="2"/>
        <v>0</v>
      </c>
      <c r="AF182">
        <v>0</v>
      </c>
      <c r="AG182">
        <v>0</v>
      </c>
      <c r="AH182">
        <v>0</v>
      </c>
      <c r="AI182" s="121">
        <v>217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217</v>
      </c>
    </row>
    <row r="183" spans="1:41">
      <c r="A183">
        <v>201903</v>
      </c>
      <c r="B183">
        <v>25</v>
      </c>
      <c r="C183" t="s">
        <v>502</v>
      </c>
      <c r="D183">
        <v>3190390094221</v>
      </c>
      <c r="E183" t="s">
        <v>53</v>
      </c>
      <c r="F183" t="s">
        <v>569</v>
      </c>
      <c r="G183" t="s">
        <v>570</v>
      </c>
      <c r="H183" t="s">
        <v>571</v>
      </c>
      <c r="I183" t="s">
        <v>674</v>
      </c>
      <c r="L183" t="s">
        <v>491</v>
      </c>
      <c r="M183" t="s">
        <v>490</v>
      </c>
      <c r="N183" t="s">
        <v>907</v>
      </c>
      <c r="P183" t="s">
        <v>575</v>
      </c>
      <c r="Q183" t="s">
        <v>620</v>
      </c>
      <c r="R183" t="s">
        <v>1013</v>
      </c>
      <c r="S183">
        <v>20171122</v>
      </c>
      <c r="T183" t="s">
        <v>1083</v>
      </c>
      <c r="X183">
        <v>15</v>
      </c>
      <c r="Y183">
        <v>132000</v>
      </c>
      <c r="AA183" t="s">
        <v>577</v>
      </c>
      <c r="AB183">
        <v>20190220</v>
      </c>
      <c r="AE183">
        <f t="shared" si="2"/>
        <v>0</v>
      </c>
      <c r="AF183">
        <v>0</v>
      </c>
      <c r="AG183">
        <v>0</v>
      </c>
      <c r="AH183">
        <v>0</v>
      </c>
      <c r="AI183" s="121">
        <v>990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990</v>
      </c>
    </row>
    <row r="184" spans="1:41">
      <c r="A184">
        <v>201903</v>
      </c>
      <c r="B184">
        <v>25</v>
      </c>
      <c r="C184" t="s">
        <v>502</v>
      </c>
      <c r="D184">
        <v>3190390354471</v>
      </c>
      <c r="E184" t="s">
        <v>53</v>
      </c>
      <c r="F184" t="s">
        <v>569</v>
      </c>
      <c r="G184" t="s">
        <v>570</v>
      </c>
      <c r="H184" t="s">
        <v>571</v>
      </c>
      <c r="I184" t="s">
        <v>578</v>
      </c>
      <c r="J184" t="s">
        <v>578</v>
      </c>
      <c r="K184" t="s">
        <v>579</v>
      </c>
      <c r="L184" t="s">
        <v>580</v>
      </c>
      <c r="M184" t="s">
        <v>581</v>
      </c>
      <c r="N184" t="s">
        <v>915</v>
      </c>
      <c r="P184" t="s">
        <v>575</v>
      </c>
      <c r="Q184" t="s">
        <v>620</v>
      </c>
      <c r="R184" t="s">
        <v>1014</v>
      </c>
      <c r="S184">
        <v>20171117</v>
      </c>
      <c r="T184" t="s">
        <v>831</v>
      </c>
      <c r="X184">
        <v>16</v>
      </c>
      <c r="Y184">
        <v>47500</v>
      </c>
      <c r="AA184" t="s">
        <v>577</v>
      </c>
      <c r="AB184">
        <v>20190225</v>
      </c>
      <c r="AE184">
        <f t="shared" si="2"/>
        <v>0</v>
      </c>
      <c r="AF184">
        <v>0</v>
      </c>
      <c r="AG184">
        <v>0</v>
      </c>
      <c r="AH184">
        <v>0</v>
      </c>
      <c r="AI184" s="121">
        <v>237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237</v>
      </c>
    </row>
    <row r="185" spans="1:41">
      <c r="A185">
        <v>201903</v>
      </c>
      <c r="B185">
        <v>25</v>
      </c>
      <c r="C185" t="s">
        <v>502</v>
      </c>
      <c r="D185">
        <v>3190390420491</v>
      </c>
      <c r="E185" t="s">
        <v>53</v>
      </c>
      <c r="F185" t="s">
        <v>569</v>
      </c>
      <c r="G185" t="s">
        <v>570</v>
      </c>
      <c r="H185" t="s">
        <v>571</v>
      </c>
      <c r="I185" t="s">
        <v>578</v>
      </c>
      <c r="J185" t="s">
        <v>578</v>
      </c>
      <c r="K185" t="s">
        <v>579</v>
      </c>
      <c r="L185" t="s">
        <v>597</v>
      </c>
      <c r="M185" t="s">
        <v>598</v>
      </c>
      <c r="N185" t="s">
        <v>913</v>
      </c>
      <c r="P185" t="s">
        <v>575</v>
      </c>
      <c r="Q185" t="s">
        <v>620</v>
      </c>
      <c r="R185" t="s">
        <v>1013</v>
      </c>
      <c r="S185">
        <v>20171117</v>
      </c>
      <c r="T185" t="s">
        <v>859</v>
      </c>
      <c r="X185">
        <v>14</v>
      </c>
      <c r="Y185">
        <v>61673</v>
      </c>
      <c r="AA185" t="s">
        <v>577</v>
      </c>
      <c r="AB185">
        <v>20190228</v>
      </c>
      <c r="AE185">
        <f t="shared" si="2"/>
        <v>0</v>
      </c>
      <c r="AF185">
        <v>0</v>
      </c>
      <c r="AG185">
        <v>0</v>
      </c>
      <c r="AH185">
        <v>0</v>
      </c>
      <c r="AI185" s="121">
        <v>462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462</v>
      </c>
    </row>
    <row r="186" spans="1:41">
      <c r="A186">
        <v>201903</v>
      </c>
      <c r="B186">
        <v>25</v>
      </c>
      <c r="C186" t="s">
        <v>502</v>
      </c>
      <c r="D186">
        <v>3190487711951</v>
      </c>
      <c r="E186" t="s">
        <v>53</v>
      </c>
      <c r="F186" t="s">
        <v>662</v>
      </c>
      <c r="G186" t="s">
        <v>570</v>
      </c>
      <c r="H186" t="s">
        <v>571</v>
      </c>
      <c r="I186" t="s">
        <v>633</v>
      </c>
      <c r="L186" t="s">
        <v>641</v>
      </c>
      <c r="M186" t="s">
        <v>642</v>
      </c>
      <c r="N186" t="s">
        <v>921</v>
      </c>
      <c r="P186" t="s">
        <v>663</v>
      </c>
      <c r="Q186" t="s">
        <v>620</v>
      </c>
      <c r="R186" t="s">
        <v>956</v>
      </c>
      <c r="S186">
        <v>20190228</v>
      </c>
      <c r="T186" t="s">
        <v>970</v>
      </c>
      <c r="X186">
        <v>1</v>
      </c>
      <c r="Y186">
        <v>77500</v>
      </c>
      <c r="Z186">
        <v>182828</v>
      </c>
      <c r="AA186" t="s">
        <v>577</v>
      </c>
      <c r="AB186">
        <v>20190228</v>
      </c>
      <c r="AE186">
        <f t="shared" si="2"/>
        <v>393080</v>
      </c>
      <c r="AF186">
        <v>393080</v>
      </c>
      <c r="AG186">
        <v>0</v>
      </c>
      <c r="AH186">
        <v>0</v>
      </c>
      <c r="AI186" s="121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393080</v>
      </c>
    </row>
    <row r="187" spans="1:41">
      <c r="A187">
        <v>201903</v>
      </c>
      <c r="B187">
        <v>25</v>
      </c>
      <c r="C187" t="s">
        <v>502</v>
      </c>
      <c r="D187">
        <v>3190487717001</v>
      </c>
      <c r="E187" t="s">
        <v>53</v>
      </c>
      <c r="F187" t="s">
        <v>662</v>
      </c>
      <c r="G187" t="s">
        <v>570</v>
      </c>
      <c r="H187" t="s">
        <v>571</v>
      </c>
      <c r="I187" t="s">
        <v>633</v>
      </c>
      <c r="L187" t="s">
        <v>641</v>
      </c>
      <c r="M187" t="s">
        <v>642</v>
      </c>
      <c r="N187" t="s">
        <v>921</v>
      </c>
      <c r="P187" t="s">
        <v>663</v>
      </c>
      <c r="Q187" t="s">
        <v>620</v>
      </c>
      <c r="R187" t="s">
        <v>957</v>
      </c>
      <c r="S187">
        <v>20190201</v>
      </c>
      <c r="T187" t="s">
        <v>884</v>
      </c>
      <c r="X187">
        <v>1</v>
      </c>
      <c r="Y187">
        <v>57827</v>
      </c>
      <c r="Z187">
        <v>136472</v>
      </c>
      <c r="AA187" t="s">
        <v>577</v>
      </c>
      <c r="AB187">
        <v>20190201</v>
      </c>
      <c r="AE187">
        <f t="shared" si="2"/>
        <v>293414</v>
      </c>
      <c r="AF187">
        <v>293414</v>
      </c>
      <c r="AG187">
        <v>0</v>
      </c>
      <c r="AH187">
        <v>0</v>
      </c>
      <c r="AI187" s="121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293414</v>
      </c>
    </row>
    <row r="188" spans="1:41">
      <c r="A188">
        <v>201903</v>
      </c>
      <c r="B188">
        <v>25</v>
      </c>
      <c r="C188" t="s">
        <v>502</v>
      </c>
      <c r="D188">
        <v>3190487758711</v>
      </c>
      <c r="E188" t="s">
        <v>53</v>
      </c>
      <c r="F188" t="s">
        <v>662</v>
      </c>
      <c r="G188" t="s">
        <v>570</v>
      </c>
      <c r="H188" t="s">
        <v>571</v>
      </c>
      <c r="I188" t="s">
        <v>633</v>
      </c>
      <c r="L188" t="s">
        <v>641</v>
      </c>
      <c r="M188" t="s">
        <v>642</v>
      </c>
      <c r="N188" t="s">
        <v>921</v>
      </c>
      <c r="P188" t="s">
        <v>663</v>
      </c>
      <c r="Q188" t="s">
        <v>620</v>
      </c>
      <c r="R188" t="s">
        <v>957</v>
      </c>
      <c r="S188">
        <v>20190201</v>
      </c>
      <c r="T188" t="s">
        <v>880</v>
      </c>
      <c r="X188">
        <v>1</v>
      </c>
      <c r="Y188">
        <v>134412</v>
      </c>
      <c r="Z188">
        <v>317212</v>
      </c>
      <c r="AA188" t="s">
        <v>577</v>
      </c>
      <c r="AB188">
        <v>20190201</v>
      </c>
      <c r="AE188">
        <f t="shared" si="2"/>
        <v>682005</v>
      </c>
      <c r="AF188">
        <v>682005</v>
      </c>
      <c r="AG188">
        <v>0</v>
      </c>
      <c r="AH188">
        <v>0</v>
      </c>
      <c r="AI188" s="121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682005</v>
      </c>
    </row>
    <row r="189" spans="1:41">
      <c r="A189">
        <v>201903</v>
      </c>
      <c r="B189">
        <v>25</v>
      </c>
      <c r="C189" t="s">
        <v>502</v>
      </c>
      <c r="D189">
        <v>3190487900711</v>
      </c>
      <c r="E189" t="s">
        <v>53</v>
      </c>
      <c r="F189" t="s">
        <v>662</v>
      </c>
      <c r="G189" t="s">
        <v>570</v>
      </c>
      <c r="H189" t="s">
        <v>571</v>
      </c>
      <c r="I189" t="s">
        <v>646</v>
      </c>
      <c r="L189" t="s">
        <v>677</v>
      </c>
      <c r="M189" t="s">
        <v>678</v>
      </c>
      <c r="N189" t="s">
        <v>938</v>
      </c>
      <c r="P189" t="s">
        <v>663</v>
      </c>
      <c r="Q189" t="s">
        <v>620</v>
      </c>
      <c r="R189" t="s">
        <v>956</v>
      </c>
      <c r="S189">
        <v>20190201</v>
      </c>
      <c r="T189" t="s">
        <v>971</v>
      </c>
      <c r="X189">
        <v>1</v>
      </c>
      <c r="Y189">
        <v>26500</v>
      </c>
      <c r="Z189">
        <v>62463</v>
      </c>
      <c r="AA189" t="s">
        <v>577</v>
      </c>
      <c r="AB189">
        <v>20190201</v>
      </c>
      <c r="AE189">
        <f t="shared" si="2"/>
        <v>134295</v>
      </c>
      <c r="AF189">
        <v>134295</v>
      </c>
      <c r="AG189">
        <v>0</v>
      </c>
      <c r="AH189">
        <v>0</v>
      </c>
      <c r="AI189" s="121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134295</v>
      </c>
    </row>
    <row r="190" spans="1:41">
      <c r="A190">
        <v>201903</v>
      </c>
      <c r="B190">
        <v>25</v>
      </c>
      <c r="C190" t="s">
        <v>502</v>
      </c>
      <c r="D190">
        <v>3190422930901</v>
      </c>
      <c r="E190" t="s">
        <v>53</v>
      </c>
      <c r="F190" t="s">
        <v>569</v>
      </c>
      <c r="G190" t="s">
        <v>570</v>
      </c>
      <c r="H190" t="s">
        <v>571</v>
      </c>
      <c r="I190" t="s">
        <v>633</v>
      </c>
      <c r="L190" t="s">
        <v>641</v>
      </c>
      <c r="M190" t="s">
        <v>642</v>
      </c>
      <c r="N190" t="s">
        <v>921</v>
      </c>
      <c r="P190" t="s">
        <v>575</v>
      </c>
      <c r="Q190" t="s">
        <v>620</v>
      </c>
      <c r="R190" t="s">
        <v>1007</v>
      </c>
      <c r="S190">
        <v>20180504</v>
      </c>
      <c r="T190" t="s">
        <v>653</v>
      </c>
      <c r="V190">
        <v>33</v>
      </c>
      <c r="W190">
        <v>20</v>
      </c>
      <c r="X190">
        <v>10</v>
      </c>
      <c r="Y190">
        <v>43000</v>
      </c>
      <c r="AA190" t="s">
        <v>577</v>
      </c>
      <c r="AB190">
        <v>20190220</v>
      </c>
      <c r="AE190">
        <f t="shared" si="2"/>
        <v>24983</v>
      </c>
      <c r="AF190">
        <v>0</v>
      </c>
      <c r="AG190">
        <v>24983</v>
      </c>
      <c r="AH190">
        <v>0</v>
      </c>
      <c r="AI190" s="121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24983</v>
      </c>
    </row>
    <row r="191" spans="1:41">
      <c r="A191">
        <v>201903</v>
      </c>
      <c r="B191">
        <v>25</v>
      </c>
      <c r="C191" t="s">
        <v>502</v>
      </c>
      <c r="D191">
        <v>3190422999761</v>
      </c>
      <c r="E191" t="s">
        <v>53</v>
      </c>
      <c r="F191" t="s">
        <v>569</v>
      </c>
      <c r="G191" t="s">
        <v>570</v>
      </c>
      <c r="H191" t="s">
        <v>571</v>
      </c>
      <c r="I191" t="s">
        <v>674</v>
      </c>
      <c r="J191" t="s">
        <v>674</v>
      </c>
      <c r="K191" t="s">
        <v>675</v>
      </c>
      <c r="L191" t="s">
        <v>489</v>
      </c>
      <c r="M191" t="s">
        <v>488</v>
      </c>
      <c r="N191" t="s">
        <v>902</v>
      </c>
      <c r="P191" t="s">
        <v>575</v>
      </c>
      <c r="Q191" t="s">
        <v>620</v>
      </c>
      <c r="R191" t="s">
        <v>1007</v>
      </c>
      <c r="S191">
        <v>20180504</v>
      </c>
      <c r="T191" t="s">
        <v>827</v>
      </c>
      <c r="X191">
        <v>10</v>
      </c>
      <c r="Y191">
        <v>22000</v>
      </c>
      <c r="AA191" t="s">
        <v>577</v>
      </c>
      <c r="AB191">
        <v>20190225</v>
      </c>
      <c r="AE191">
        <f t="shared" si="2"/>
        <v>12782</v>
      </c>
      <c r="AF191">
        <v>0</v>
      </c>
      <c r="AG191">
        <v>12782</v>
      </c>
      <c r="AH191">
        <v>0</v>
      </c>
      <c r="AI191" s="12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12782</v>
      </c>
    </row>
    <row r="192" spans="1:41">
      <c r="A192">
        <v>201903</v>
      </c>
      <c r="B192">
        <v>25</v>
      </c>
      <c r="C192" t="s">
        <v>502</v>
      </c>
      <c r="D192">
        <v>3190423161521</v>
      </c>
      <c r="E192" t="s">
        <v>53</v>
      </c>
      <c r="F192" t="s">
        <v>569</v>
      </c>
      <c r="G192" t="s">
        <v>570</v>
      </c>
      <c r="H192" t="s">
        <v>571</v>
      </c>
      <c r="I192" t="s">
        <v>674</v>
      </c>
      <c r="J192" t="s">
        <v>674</v>
      </c>
      <c r="K192" t="s">
        <v>675</v>
      </c>
      <c r="L192" t="s">
        <v>489</v>
      </c>
      <c r="M192" t="s">
        <v>488</v>
      </c>
      <c r="N192" t="s">
        <v>902</v>
      </c>
      <c r="P192" t="s">
        <v>575</v>
      </c>
      <c r="Q192" t="s">
        <v>620</v>
      </c>
      <c r="R192" t="s">
        <v>1007</v>
      </c>
      <c r="S192">
        <v>20180504</v>
      </c>
      <c r="T192" t="s">
        <v>803</v>
      </c>
      <c r="X192">
        <v>10</v>
      </c>
      <c r="Y192">
        <v>29000</v>
      </c>
      <c r="AA192" t="s">
        <v>577</v>
      </c>
      <c r="AB192">
        <v>20190225</v>
      </c>
      <c r="AE192">
        <f t="shared" si="2"/>
        <v>16849</v>
      </c>
      <c r="AF192">
        <v>0</v>
      </c>
      <c r="AG192">
        <v>16849</v>
      </c>
      <c r="AH192">
        <v>0</v>
      </c>
      <c r="AI192" s="121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16849</v>
      </c>
    </row>
    <row r="193" spans="1:41">
      <c r="A193">
        <v>201903</v>
      </c>
      <c r="B193">
        <v>25</v>
      </c>
      <c r="C193" t="s">
        <v>502</v>
      </c>
      <c r="D193">
        <v>3190423997121</v>
      </c>
      <c r="E193" t="s">
        <v>53</v>
      </c>
      <c r="F193" t="s">
        <v>569</v>
      </c>
      <c r="G193" t="s">
        <v>570</v>
      </c>
      <c r="H193" t="s">
        <v>571</v>
      </c>
      <c r="I193" t="s">
        <v>578</v>
      </c>
      <c r="J193" t="s">
        <v>578</v>
      </c>
      <c r="K193" t="s">
        <v>579</v>
      </c>
      <c r="L193" t="s">
        <v>658</v>
      </c>
      <c r="M193" t="s">
        <v>659</v>
      </c>
      <c r="N193" t="s">
        <v>1006</v>
      </c>
      <c r="P193" t="s">
        <v>575</v>
      </c>
      <c r="Q193" t="s">
        <v>620</v>
      </c>
      <c r="R193" t="s">
        <v>1007</v>
      </c>
      <c r="S193">
        <v>20180510</v>
      </c>
      <c r="T193" t="s">
        <v>1008</v>
      </c>
      <c r="X193">
        <v>10</v>
      </c>
      <c r="Y193">
        <v>50000</v>
      </c>
      <c r="AA193" t="s">
        <v>577</v>
      </c>
      <c r="AB193">
        <v>20190228</v>
      </c>
      <c r="AE193">
        <f t="shared" si="2"/>
        <v>29050</v>
      </c>
      <c r="AF193">
        <v>0</v>
      </c>
      <c r="AG193">
        <v>29050</v>
      </c>
      <c r="AH193">
        <v>0</v>
      </c>
      <c r="AI193" s="121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29050</v>
      </c>
    </row>
    <row r="194" spans="1:41">
      <c r="A194">
        <v>201903</v>
      </c>
      <c r="B194">
        <v>25</v>
      </c>
      <c r="C194" t="s">
        <v>502</v>
      </c>
      <c r="D194">
        <v>3190029752031</v>
      </c>
      <c r="E194" t="s">
        <v>53</v>
      </c>
      <c r="F194" t="s">
        <v>569</v>
      </c>
      <c r="G194" t="s">
        <v>570</v>
      </c>
      <c r="H194" t="s">
        <v>571</v>
      </c>
      <c r="I194" t="s">
        <v>578</v>
      </c>
      <c r="J194" t="s">
        <v>578</v>
      </c>
      <c r="K194" t="s">
        <v>579</v>
      </c>
      <c r="L194" t="s">
        <v>719</v>
      </c>
      <c r="M194" t="s">
        <v>720</v>
      </c>
      <c r="N194" t="s">
        <v>920</v>
      </c>
      <c r="P194" t="s">
        <v>575</v>
      </c>
      <c r="Q194" t="s">
        <v>620</v>
      </c>
      <c r="R194" t="s">
        <v>905</v>
      </c>
      <c r="S194">
        <v>20160127</v>
      </c>
      <c r="T194" t="s">
        <v>859</v>
      </c>
      <c r="X194">
        <v>38</v>
      </c>
      <c r="Y194">
        <v>50000</v>
      </c>
      <c r="AA194" t="s">
        <v>577</v>
      </c>
      <c r="AB194">
        <v>20190225</v>
      </c>
      <c r="AE194">
        <f t="shared" si="2"/>
        <v>0</v>
      </c>
      <c r="AF194">
        <v>0</v>
      </c>
      <c r="AG194">
        <v>0</v>
      </c>
      <c r="AH194">
        <v>0</v>
      </c>
      <c r="AI194" s="121">
        <v>250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250</v>
      </c>
    </row>
    <row r="195" spans="1:41">
      <c r="A195">
        <v>201903</v>
      </c>
      <c r="B195">
        <v>25</v>
      </c>
      <c r="C195" t="s">
        <v>502</v>
      </c>
      <c r="D195">
        <v>3190029900891</v>
      </c>
      <c r="E195" t="s">
        <v>53</v>
      </c>
      <c r="F195" t="s">
        <v>569</v>
      </c>
      <c r="G195" t="s">
        <v>570</v>
      </c>
      <c r="H195" t="s">
        <v>571</v>
      </c>
      <c r="I195" t="s">
        <v>633</v>
      </c>
      <c r="L195" t="s">
        <v>641</v>
      </c>
      <c r="M195" t="s">
        <v>642</v>
      </c>
      <c r="N195" t="s">
        <v>921</v>
      </c>
      <c r="P195" t="s">
        <v>575</v>
      </c>
      <c r="Q195" t="s">
        <v>620</v>
      </c>
      <c r="R195" t="s">
        <v>905</v>
      </c>
      <c r="S195">
        <v>20160129</v>
      </c>
      <c r="T195" t="s">
        <v>922</v>
      </c>
      <c r="X195">
        <v>38</v>
      </c>
      <c r="Y195">
        <v>38000</v>
      </c>
      <c r="AA195" t="s">
        <v>577</v>
      </c>
      <c r="AB195">
        <v>20190228</v>
      </c>
      <c r="AE195">
        <f t="shared" ref="AE195:AE258" si="3">AO195-AI195</f>
        <v>0</v>
      </c>
      <c r="AF195">
        <v>0</v>
      </c>
      <c r="AG195">
        <v>0</v>
      </c>
      <c r="AH195">
        <v>0</v>
      </c>
      <c r="AI195" s="121">
        <v>190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190</v>
      </c>
    </row>
    <row r="196" spans="1:41">
      <c r="A196">
        <v>201903</v>
      </c>
      <c r="B196">
        <v>25</v>
      </c>
      <c r="C196" t="s">
        <v>502</v>
      </c>
      <c r="D196">
        <v>3190029904111</v>
      </c>
      <c r="E196" t="s">
        <v>53</v>
      </c>
      <c r="F196" t="s">
        <v>569</v>
      </c>
      <c r="G196" t="s">
        <v>570</v>
      </c>
      <c r="H196" t="s">
        <v>571</v>
      </c>
      <c r="I196" t="s">
        <v>633</v>
      </c>
      <c r="L196" t="s">
        <v>641</v>
      </c>
      <c r="M196" t="s">
        <v>642</v>
      </c>
      <c r="N196" t="s">
        <v>921</v>
      </c>
      <c r="P196" t="s">
        <v>575</v>
      </c>
      <c r="Q196" t="s">
        <v>620</v>
      </c>
      <c r="R196" t="s">
        <v>905</v>
      </c>
      <c r="S196">
        <v>20160128</v>
      </c>
      <c r="T196" t="s">
        <v>922</v>
      </c>
      <c r="X196">
        <v>38</v>
      </c>
      <c r="Y196">
        <v>30000</v>
      </c>
      <c r="AA196" t="s">
        <v>577</v>
      </c>
      <c r="AB196">
        <v>20190228</v>
      </c>
      <c r="AE196">
        <f t="shared" si="3"/>
        <v>0</v>
      </c>
      <c r="AF196">
        <v>0</v>
      </c>
      <c r="AG196">
        <v>0</v>
      </c>
      <c r="AH196">
        <v>0</v>
      </c>
      <c r="AI196" s="121">
        <v>150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150</v>
      </c>
    </row>
    <row r="197" spans="1:41">
      <c r="A197">
        <v>201903</v>
      </c>
      <c r="B197">
        <v>25</v>
      </c>
      <c r="C197" t="s">
        <v>502</v>
      </c>
      <c r="D197">
        <v>3190030187671</v>
      </c>
      <c r="E197" t="s">
        <v>53</v>
      </c>
      <c r="F197" t="s">
        <v>569</v>
      </c>
      <c r="G197" t="s">
        <v>570</v>
      </c>
      <c r="H197" t="s">
        <v>571</v>
      </c>
      <c r="I197" t="s">
        <v>691</v>
      </c>
      <c r="J197" t="s">
        <v>692</v>
      </c>
      <c r="K197" t="s">
        <v>700</v>
      </c>
      <c r="L197" t="s">
        <v>714</v>
      </c>
      <c r="M197" t="s">
        <v>715</v>
      </c>
      <c r="N197" t="s">
        <v>923</v>
      </c>
      <c r="P197" t="s">
        <v>575</v>
      </c>
      <c r="Q197" t="s">
        <v>620</v>
      </c>
      <c r="R197" t="s">
        <v>905</v>
      </c>
      <c r="S197">
        <v>20160129</v>
      </c>
      <c r="T197" t="s">
        <v>924</v>
      </c>
      <c r="X197">
        <v>38</v>
      </c>
      <c r="Y197">
        <v>80340</v>
      </c>
      <c r="AA197" t="s">
        <v>577</v>
      </c>
      <c r="AB197">
        <v>20190228</v>
      </c>
      <c r="AE197">
        <f t="shared" si="3"/>
        <v>0</v>
      </c>
      <c r="AF197">
        <v>0</v>
      </c>
      <c r="AG197">
        <v>0</v>
      </c>
      <c r="AH197">
        <v>0</v>
      </c>
      <c r="AI197" s="121">
        <v>401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401</v>
      </c>
    </row>
    <row r="198" spans="1:41">
      <c r="A198">
        <v>201903</v>
      </c>
      <c r="B198">
        <v>25</v>
      </c>
      <c r="C198" t="s">
        <v>502</v>
      </c>
      <c r="D198">
        <v>3190030584861</v>
      </c>
      <c r="E198" t="s">
        <v>53</v>
      </c>
      <c r="F198" t="s">
        <v>569</v>
      </c>
      <c r="G198" t="s">
        <v>570</v>
      </c>
      <c r="H198" t="s">
        <v>571</v>
      </c>
      <c r="I198" t="s">
        <v>691</v>
      </c>
      <c r="J198" t="s">
        <v>692</v>
      </c>
      <c r="K198" t="s">
        <v>700</v>
      </c>
      <c r="L198" t="s">
        <v>714</v>
      </c>
      <c r="M198" t="s">
        <v>715</v>
      </c>
      <c r="N198" t="s">
        <v>923</v>
      </c>
      <c r="P198" t="s">
        <v>575</v>
      </c>
      <c r="Q198" t="s">
        <v>620</v>
      </c>
      <c r="R198" t="s">
        <v>905</v>
      </c>
      <c r="S198">
        <v>20160203</v>
      </c>
      <c r="T198" t="s">
        <v>783</v>
      </c>
      <c r="X198">
        <v>37</v>
      </c>
      <c r="Y198">
        <v>139400</v>
      </c>
      <c r="AA198" t="s">
        <v>577</v>
      </c>
      <c r="AB198">
        <v>20190208</v>
      </c>
      <c r="AE198">
        <f t="shared" si="3"/>
        <v>0</v>
      </c>
      <c r="AF198">
        <v>0</v>
      </c>
      <c r="AG198">
        <v>0</v>
      </c>
      <c r="AH198">
        <v>0</v>
      </c>
      <c r="AI198" s="121">
        <v>697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697</v>
      </c>
    </row>
    <row r="199" spans="1:41">
      <c r="A199">
        <v>201903</v>
      </c>
      <c r="B199">
        <v>25</v>
      </c>
      <c r="C199" t="s">
        <v>502</v>
      </c>
      <c r="D199">
        <v>3190030757241</v>
      </c>
      <c r="E199" t="s">
        <v>53</v>
      </c>
      <c r="F199" t="s">
        <v>569</v>
      </c>
      <c r="G199" t="s">
        <v>570</v>
      </c>
      <c r="H199" t="s">
        <v>571</v>
      </c>
      <c r="I199" t="s">
        <v>578</v>
      </c>
      <c r="J199" t="s">
        <v>578</v>
      </c>
      <c r="K199" t="s">
        <v>579</v>
      </c>
      <c r="L199" t="s">
        <v>586</v>
      </c>
      <c r="M199" t="s">
        <v>587</v>
      </c>
      <c r="N199" t="s">
        <v>1198</v>
      </c>
      <c r="P199" t="s">
        <v>575</v>
      </c>
      <c r="Q199" t="s">
        <v>620</v>
      </c>
      <c r="R199" t="s">
        <v>905</v>
      </c>
      <c r="S199">
        <v>20160204</v>
      </c>
      <c r="T199" t="s">
        <v>863</v>
      </c>
      <c r="X199">
        <v>37</v>
      </c>
      <c r="Y199">
        <v>102000</v>
      </c>
      <c r="AA199" t="s">
        <v>577</v>
      </c>
      <c r="AB199">
        <v>20190228</v>
      </c>
      <c r="AE199">
        <f t="shared" si="3"/>
        <v>0</v>
      </c>
      <c r="AF199">
        <v>0</v>
      </c>
      <c r="AG199">
        <v>0</v>
      </c>
      <c r="AH199">
        <v>0</v>
      </c>
      <c r="AI199" s="121">
        <v>510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510</v>
      </c>
    </row>
    <row r="200" spans="1:41">
      <c r="A200">
        <v>201903</v>
      </c>
      <c r="B200">
        <v>25</v>
      </c>
      <c r="C200" t="s">
        <v>502</v>
      </c>
      <c r="D200">
        <v>3190424378771</v>
      </c>
      <c r="E200" t="s">
        <v>53</v>
      </c>
      <c r="F200" t="s">
        <v>569</v>
      </c>
      <c r="G200" t="s">
        <v>570</v>
      </c>
      <c r="H200" t="s">
        <v>571</v>
      </c>
      <c r="I200" t="s">
        <v>633</v>
      </c>
      <c r="L200" t="s">
        <v>641</v>
      </c>
      <c r="M200" t="s">
        <v>642</v>
      </c>
      <c r="N200" t="s">
        <v>921</v>
      </c>
      <c r="P200" t="s">
        <v>575</v>
      </c>
      <c r="Q200" t="s">
        <v>620</v>
      </c>
      <c r="R200" t="s">
        <v>1001</v>
      </c>
      <c r="S200">
        <v>20180525</v>
      </c>
      <c r="T200" t="s">
        <v>999</v>
      </c>
      <c r="X200">
        <v>8</v>
      </c>
      <c r="Y200">
        <v>52000</v>
      </c>
      <c r="AA200" t="s">
        <v>577</v>
      </c>
      <c r="AB200">
        <v>20190228</v>
      </c>
      <c r="AE200">
        <f t="shared" si="3"/>
        <v>43862</v>
      </c>
      <c r="AF200">
        <v>0</v>
      </c>
      <c r="AG200">
        <v>43862</v>
      </c>
      <c r="AH200">
        <v>0</v>
      </c>
      <c r="AI200" s="121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43862</v>
      </c>
    </row>
    <row r="201" spans="1:41">
      <c r="A201">
        <v>201903</v>
      </c>
      <c r="B201">
        <v>25</v>
      </c>
      <c r="C201" t="s">
        <v>502</v>
      </c>
      <c r="D201">
        <v>3190424947741</v>
      </c>
      <c r="E201" t="s">
        <v>53</v>
      </c>
      <c r="F201" t="s">
        <v>569</v>
      </c>
      <c r="G201" t="s">
        <v>570</v>
      </c>
      <c r="H201" t="s">
        <v>571</v>
      </c>
      <c r="I201" t="s">
        <v>633</v>
      </c>
      <c r="L201" t="s">
        <v>641</v>
      </c>
      <c r="M201" t="s">
        <v>642</v>
      </c>
      <c r="N201" t="s">
        <v>921</v>
      </c>
      <c r="P201" t="s">
        <v>575</v>
      </c>
      <c r="Q201" t="s">
        <v>620</v>
      </c>
      <c r="R201" t="s">
        <v>1001</v>
      </c>
      <c r="S201">
        <v>20180515</v>
      </c>
      <c r="T201" t="s">
        <v>893</v>
      </c>
      <c r="V201">
        <v>0</v>
      </c>
      <c r="W201">
        <v>0</v>
      </c>
      <c r="X201">
        <v>10</v>
      </c>
      <c r="Y201">
        <v>64000</v>
      </c>
      <c r="AA201" t="s">
        <v>577</v>
      </c>
      <c r="AB201">
        <v>20190220</v>
      </c>
      <c r="AE201">
        <f t="shared" si="3"/>
        <v>53984</v>
      </c>
      <c r="AF201">
        <v>0</v>
      </c>
      <c r="AG201">
        <v>53984</v>
      </c>
      <c r="AH201">
        <v>0</v>
      </c>
      <c r="AI201" s="12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53984</v>
      </c>
    </row>
    <row r="202" spans="1:41">
      <c r="A202">
        <v>201903</v>
      </c>
      <c r="B202">
        <v>25</v>
      </c>
      <c r="C202" t="s">
        <v>502</v>
      </c>
      <c r="D202">
        <v>3190425392021</v>
      </c>
      <c r="E202" t="s">
        <v>53</v>
      </c>
      <c r="F202" t="s">
        <v>569</v>
      </c>
      <c r="G202" t="s">
        <v>570</v>
      </c>
      <c r="H202" t="s">
        <v>571</v>
      </c>
      <c r="I202" t="s">
        <v>578</v>
      </c>
      <c r="J202" t="s">
        <v>578</v>
      </c>
      <c r="K202" t="s">
        <v>579</v>
      </c>
      <c r="L202" t="s">
        <v>586</v>
      </c>
      <c r="M202" t="s">
        <v>587</v>
      </c>
      <c r="N202" t="s">
        <v>1198</v>
      </c>
      <c r="P202" t="s">
        <v>575</v>
      </c>
      <c r="Q202" t="s">
        <v>620</v>
      </c>
      <c r="R202" t="s">
        <v>961</v>
      </c>
      <c r="S202">
        <v>20180529</v>
      </c>
      <c r="T202" t="s">
        <v>1027</v>
      </c>
      <c r="X202">
        <v>10</v>
      </c>
      <c r="Y202">
        <v>17000</v>
      </c>
      <c r="AA202" t="s">
        <v>577</v>
      </c>
      <c r="AB202">
        <v>20190226</v>
      </c>
      <c r="AE202">
        <f t="shared" si="3"/>
        <v>27608</v>
      </c>
      <c r="AF202">
        <v>0</v>
      </c>
      <c r="AG202">
        <v>27608</v>
      </c>
      <c r="AH202">
        <v>0</v>
      </c>
      <c r="AI202" s="121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27608</v>
      </c>
    </row>
    <row r="203" spans="1:41">
      <c r="A203">
        <v>201903</v>
      </c>
      <c r="B203">
        <v>25</v>
      </c>
      <c r="C203" t="s">
        <v>502</v>
      </c>
      <c r="D203">
        <v>3190425642831</v>
      </c>
      <c r="E203" t="s">
        <v>53</v>
      </c>
      <c r="F203" t="s">
        <v>569</v>
      </c>
      <c r="G203" t="s">
        <v>570</v>
      </c>
      <c r="H203" t="s">
        <v>571</v>
      </c>
      <c r="I203" t="s">
        <v>674</v>
      </c>
      <c r="J203" t="s">
        <v>674</v>
      </c>
      <c r="K203" t="s">
        <v>675</v>
      </c>
      <c r="L203" t="s">
        <v>487</v>
      </c>
      <c r="M203" t="s">
        <v>486</v>
      </c>
      <c r="N203" t="s">
        <v>937</v>
      </c>
      <c r="P203" t="s">
        <v>575</v>
      </c>
      <c r="Q203" t="s">
        <v>620</v>
      </c>
      <c r="R203" t="s">
        <v>1007</v>
      </c>
      <c r="S203">
        <v>20180518</v>
      </c>
      <c r="T203" t="s">
        <v>978</v>
      </c>
      <c r="X203">
        <v>10</v>
      </c>
      <c r="Y203">
        <v>21000</v>
      </c>
      <c r="AA203" t="s">
        <v>577</v>
      </c>
      <c r="AB203">
        <v>20190208</v>
      </c>
      <c r="AE203">
        <f t="shared" si="3"/>
        <v>12201</v>
      </c>
      <c r="AF203">
        <v>0</v>
      </c>
      <c r="AG203">
        <v>12201</v>
      </c>
      <c r="AH203">
        <v>0</v>
      </c>
      <c r="AI203" s="121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12201</v>
      </c>
    </row>
    <row r="204" spans="1:41">
      <c r="A204">
        <v>201903</v>
      </c>
      <c r="B204">
        <v>25</v>
      </c>
      <c r="C204" t="s">
        <v>502</v>
      </c>
      <c r="D204">
        <v>3190426020171</v>
      </c>
      <c r="E204" t="s">
        <v>53</v>
      </c>
      <c r="F204" t="s">
        <v>569</v>
      </c>
      <c r="G204" t="s">
        <v>570</v>
      </c>
      <c r="H204" t="s">
        <v>571</v>
      </c>
      <c r="I204" t="s">
        <v>621</v>
      </c>
      <c r="J204" t="s">
        <v>621</v>
      </c>
      <c r="K204" t="s">
        <v>657</v>
      </c>
      <c r="L204" t="s">
        <v>681</v>
      </c>
      <c r="M204" t="s">
        <v>682</v>
      </c>
      <c r="N204" t="s">
        <v>1206</v>
      </c>
      <c r="P204" t="s">
        <v>575</v>
      </c>
      <c r="Q204" t="s">
        <v>620</v>
      </c>
      <c r="R204" t="s">
        <v>1001</v>
      </c>
      <c r="S204">
        <v>20180523</v>
      </c>
      <c r="T204" t="s">
        <v>1036</v>
      </c>
      <c r="V204">
        <v>82</v>
      </c>
      <c r="W204">
        <v>30</v>
      </c>
      <c r="X204">
        <v>10</v>
      </c>
      <c r="Y204">
        <v>30700</v>
      </c>
      <c r="AA204" t="s">
        <v>577</v>
      </c>
      <c r="AB204">
        <v>20190225</v>
      </c>
      <c r="AE204">
        <f t="shared" si="3"/>
        <v>25895</v>
      </c>
      <c r="AF204">
        <v>0</v>
      </c>
      <c r="AG204">
        <v>25895</v>
      </c>
      <c r="AH204">
        <v>0</v>
      </c>
      <c r="AI204" s="121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25895</v>
      </c>
    </row>
    <row r="205" spans="1:41">
      <c r="A205">
        <v>201903</v>
      </c>
      <c r="B205">
        <v>25</v>
      </c>
      <c r="C205" t="s">
        <v>502</v>
      </c>
      <c r="D205">
        <v>3190426621991</v>
      </c>
      <c r="E205" t="s">
        <v>53</v>
      </c>
      <c r="F205" t="s">
        <v>569</v>
      </c>
      <c r="G205" t="s">
        <v>570</v>
      </c>
      <c r="H205" t="s">
        <v>571</v>
      </c>
      <c r="I205" t="s">
        <v>578</v>
      </c>
      <c r="J205" t="s">
        <v>578</v>
      </c>
      <c r="K205" t="s">
        <v>579</v>
      </c>
      <c r="L205" t="s">
        <v>583</v>
      </c>
      <c r="M205" t="s">
        <v>584</v>
      </c>
      <c r="N205" t="s">
        <v>1042</v>
      </c>
      <c r="P205" t="s">
        <v>575</v>
      </c>
      <c r="Q205" t="s">
        <v>620</v>
      </c>
      <c r="R205" t="s">
        <v>951</v>
      </c>
      <c r="S205">
        <v>20180529</v>
      </c>
      <c r="T205" t="s">
        <v>944</v>
      </c>
      <c r="X205">
        <v>9</v>
      </c>
      <c r="Y205">
        <v>61000</v>
      </c>
      <c r="AA205" t="s">
        <v>577</v>
      </c>
      <c r="AB205">
        <v>20190220</v>
      </c>
      <c r="AE205">
        <f t="shared" si="3"/>
        <v>43127</v>
      </c>
      <c r="AF205">
        <v>0</v>
      </c>
      <c r="AG205">
        <v>43127</v>
      </c>
      <c r="AH205">
        <v>0</v>
      </c>
      <c r="AI205" s="121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43127</v>
      </c>
    </row>
    <row r="206" spans="1:41">
      <c r="A206">
        <v>201903</v>
      </c>
      <c r="B206">
        <v>25</v>
      </c>
      <c r="C206" t="s">
        <v>502</v>
      </c>
      <c r="D206">
        <v>3190427026871</v>
      </c>
      <c r="E206" t="s">
        <v>53</v>
      </c>
      <c r="F206" t="s">
        <v>569</v>
      </c>
      <c r="G206" t="s">
        <v>570</v>
      </c>
      <c r="H206" t="s">
        <v>571</v>
      </c>
      <c r="I206" t="s">
        <v>674</v>
      </c>
      <c r="L206" t="s">
        <v>491</v>
      </c>
      <c r="M206" t="s">
        <v>490</v>
      </c>
      <c r="N206" t="s">
        <v>907</v>
      </c>
      <c r="P206" t="s">
        <v>726</v>
      </c>
      <c r="Q206" t="s">
        <v>620</v>
      </c>
      <c r="R206" t="s">
        <v>1007</v>
      </c>
      <c r="S206">
        <v>20180529</v>
      </c>
      <c r="T206" t="s">
        <v>1135</v>
      </c>
      <c r="X206">
        <v>9</v>
      </c>
      <c r="Y206">
        <v>26480</v>
      </c>
      <c r="Z206">
        <v>-1402</v>
      </c>
      <c r="AA206" t="s">
        <v>577</v>
      </c>
      <c r="AB206">
        <v>20190225</v>
      </c>
      <c r="AE206">
        <f t="shared" si="3"/>
        <v>12370</v>
      </c>
      <c r="AF206">
        <v>0</v>
      </c>
      <c r="AG206">
        <v>15384</v>
      </c>
      <c r="AH206">
        <v>-3014</v>
      </c>
      <c r="AI206" s="121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12370</v>
      </c>
    </row>
    <row r="207" spans="1:41">
      <c r="A207">
        <v>201903</v>
      </c>
      <c r="B207">
        <v>25</v>
      </c>
      <c r="C207" t="s">
        <v>502</v>
      </c>
      <c r="D207">
        <v>3190427286481</v>
      </c>
      <c r="E207" t="s">
        <v>53</v>
      </c>
      <c r="F207" t="s">
        <v>569</v>
      </c>
      <c r="G207" t="s">
        <v>570</v>
      </c>
      <c r="H207" t="s">
        <v>571</v>
      </c>
      <c r="I207" t="s">
        <v>621</v>
      </c>
      <c r="J207" t="s">
        <v>621</v>
      </c>
      <c r="K207" t="s">
        <v>657</v>
      </c>
      <c r="L207" t="s">
        <v>681</v>
      </c>
      <c r="M207" t="s">
        <v>682</v>
      </c>
      <c r="N207" t="s">
        <v>1206</v>
      </c>
      <c r="P207" t="s">
        <v>575</v>
      </c>
      <c r="Q207" t="s">
        <v>620</v>
      </c>
      <c r="R207" t="s">
        <v>1001</v>
      </c>
      <c r="S207">
        <v>20180530</v>
      </c>
      <c r="T207" t="s">
        <v>1036</v>
      </c>
      <c r="V207">
        <v>35</v>
      </c>
      <c r="W207">
        <v>20</v>
      </c>
      <c r="X207">
        <v>10</v>
      </c>
      <c r="Y207">
        <v>48950</v>
      </c>
      <c r="AA207" t="s">
        <v>577</v>
      </c>
      <c r="AB207">
        <v>20190225</v>
      </c>
      <c r="AE207">
        <f t="shared" si="3"/>
        <v>41289</v>
      </c>
      <c r="AF207">
        <v>0</v>
      </c>
      <c r="AG207">
        <v>41289</v>
      </c>
      <c r="AH207">
        <v>0</v>
      </c>
      <c r="AI207" s="121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41289</v>
      </c>
    </row>
    <row r="208" spans="1:41">
      <c r="A208">
        <v>201903</v>
      </c>
      <c r="B208">
        <v>25</v>
      </c>
      <c r="C208" t="s">
        <v>502</v>
      </c>
      <c r="D208">
        <v>3190427497681</v>
      </c>
      <c r="E208" t="s">
        <v>53</v>
      </c>
      <c r="F208" t="s">
        <v>569</v>
      </c>
      <c r="G208" t="s">
        <v>570</v>
      </c>
      <c r="H208" t="s">
        <v>571</v>
      </c>
      <c r="I208" t="s">
        <v>621</v>
      </c>
      <c r="J208" t="s">
        <v>621</v>
      </c>
      <c r="K208" t="s">
        <v>657</v>
      </c>
      <c r="L208" t="s">
        <v>681</v>
      </c>
      <c r="M208" t="s">
        <v>682</v>
      </c>
      <c r="N208" t="s">
        <v>1206</v>
      </c>
      <c r="P208" t="s">
        <v>575</v>
      </c>
      <c r="Q208" t="s">
        <v>620</v>
      </c>
      <c r="R208" t="s">
        <v>961</v>
      </c>
      <c r="S208">
        <v>20180530</v>
      </c>
      <c r="T208" t="s">
        <v>803</v>
      </c>
      <c r="V208">
        <v>20</v>
      </c>
      <c r="W208">
        <v>20</v>
      </c>
      <c r="X208">
        <v>10</v>
      </c>
      <c r="Y208">
        <v>12500</v>
      </c>
      <c r="AA208" t="s">
        <v>577</v>
      </c>
      <c r="AB208">
        <v>20190225</v>
      </c>
      <c r="AE208">
        <f t="shared" si="3"/>
        <v>10150</v>
      </c>
      <c r="AF208">
        <v>0</v>
      </c>
      <c r="AG208">
        <v>10150</v>
      </c>
      <c r="AH208">
        <v>0</v>
      </c>
      <c r="AI208" s="121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10150</v>
      </c>
    </row>
    <row r="209" spans="1:41">
      <c r="A209">
        <v>201903</v>
      </c>
      <c r="B209">
        <v>25</v>
      </c>
      <c r="C209" t="s">
        <v>502</v>
      </c>
      <c r="D209">
        <v>3190431412201</v>
      </c>
      <c r="E209" t="s">
        <v>53</v>
      </c>
      <c r="F209" t="s">
        <v>569</v>
      </c>
      <c r="G209" t="s">
        <v>570</v>
      </c>
      <c r="H209" t="s">
        <v>571</v>
      </c>
      <c r="I209" t="s">
        <v>578</v>
      </c>
      <c r="L209" t="s">
        <v>572</v>
      </c>
      <c r="M209" t="s">
        <v>573</v>
      </c>
      <c r="N209" t="s">
        <v>958</v>
      </c>
      <c r="P209" t="s">
        <v>575</v>
      </c>
      <c r="Q209" t="s">
        <v>699</v>
      </c>
      <c r="R209" t="s">
        <v>974</v>
      </c>
      <c r="S209">
        <v>20180622</v>
      </c>
      <c r="T209" t="s">
        <v>1092</v>
      </c>
      <c r="X209">
        <v>9</v>
      </c>
      <c r="Y209">
        <v>35000</v>
      </c>
      <c r="AA209" t="s">
        <v>577</v>
      </c>
      <c r="AB209">
        <v>20190220</v>
      </c>
      <c r="AE209">
        <f t="shared" si="3"/>
        <v>20335</v>
      </c>
      <c r="AF209">
        <v>0</v>
      </c>
      <c r="AG209">
        <v>20335</v>
      </c>
      <c r="AH209">
        <v>0</v>
      </c>
      <c r="AI209" s="121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20335</v>
      </c>
    </row>
    <row r="210" spans="1:41">
      <c r="A210">
        <v>201903</v>
      </c>
      <c r="B210">
        <v>25</v>
      </c>
      <c r="C210" t="s">
        <v>502</v>
      </c>
      <c r="D210">
        <v>3190431412781</v>
      </c>
      <c r="E210" t="s">
        <v>53</v>
      </c>
      <c r="F210" t="s">
        <v>569</v>
      </c>
      <c r="G210" t="s">
        <v>570</v>
      </c>
      <c r="H210" t="s">
        <v>571</v>
      </c>
      <c r="I210" t="s">
        <v>578</v>
      </c>
      <c r="L210" t="s">
        <v>572</v>
      </c>
      <c r="M210" t="s">
        <v>573</v>
      </c>
      <c r="N210" t="s">
        <v>958</v>
      </c>
      <c r="P210" t="s">
        <v>575</v>
      </c>
      <c r="Q210" t="s">
        <v>699</v>
      </c>
      <c r="R210" t="s">
        <v>974</v>
      </c>
      <c r="S210">
        <v>20180622</v>
      </c>
      <c r="T210" t="s">
        <v>1093</v>
      </c>
      <c r="X210">
        <v>9</v>
      </c>
      <c r="Y210">
        <v>35000</v>
      </c>
      <c r="AA210" t="s">
        <v>577</v>
      </c>
      <c r="AB210">
        <v>20190211</v>
      </c>
      <c r="AE210">
        <f t="shared" si="3"/>
        <v>20335</v>
      </c>
      <c r="AF210">
        <v>0</v>
      </c>
      <c r="AG210">
        <v>20335</v>
      </c>
      <c r="AH210">
        <v>0</v>
      </c>
      <c r="AI210" s="121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20335</v>
      </c>
    </row>
    <row r="211" spans="1:41">
      <c r="A211">
        <v>201903</v>
      </c>
      <c r="B211">
        <v>25</v>
      </c>
      <c r="C211" t="s">
        <v>502</v>
      </c>
      <c r="D211">
        <v>3190431480151</v>
      </c>
      <c r="E211" t="s">
        <v>53</v>
      </c>
      <c r="F211" t="s">
        <v>569</v>
      </c>
      <c r="G211" t="s">
        <v>570</v>
      </c>
      <c r="H211" t="s">
        <v>571</v>
      </c>
      <c r="I211" t="s">
        <v>578</v>
      </c>
      <c r="J211" t="s">
        <v>578</v>
      </c>
      <c r="K211" t="s">
        <v>579</v>
      </c>
      <c r="L211" t="s">
        <v>586</v>
      </c>
      <c r="M211" t="s">
        <v>587</v>
      </c>
      <c r="N211" t="s">
        <v>1198</v>
      </c>
      <c r="P211" t="s">
        <v>575</v>
      </c>
      <c r="Q211" t="s">
        <v>620</v>
      </c>
      <c r="R211" t="s">
        <v>961</v>
      </c>
      <c r="S211">
        <v>20180627</v>
      </c>
      <c r="T211" t="s">
        <v>829</v>
      </c>
      <c r="X211">
        <v>9</v>
      </c>
      <c r="Y211">
        <v>18000</v>
      </c>
      <c r="AA211" t="s">
        <v>577</v>
      </c>
      <c r="AB211">
        <v>20190211</v>
      </c>
      <c r="AE211">
        <f t="shared" si="3"/>
        <v>14616</v>
      </c>
      <c r="AF211">
        <v>0</v>
      </c>
      <c r="AG211">
        <v>14616</v>
      </c>
      <c r="AH211">
        <v>0</v>
      </c>
      <c r="AI211" s="12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14616</v>
      </c>
    </row>
    <row r="212" spans="1:41">
      <c r="A212">
        <v>201903</v>
      </c>
      <c r="B212">
        <v>25</v>
      </c>
      <c r="C212" t="s">
        <v>502</v>
      </c>
      <c r="D212">
        <v>3190431522181</v>
      </c>
      <c r="E212" t="s">
        <v>53</v>
      </c>
      <c r="F212" t="s">
        <v>569</v>
      </c>
      <c r="G212" t="s">
        <v>570</v>
      </c>
      <c r="H212" t="s">
        <v>571</v>
      </c>
      <c r="I212" t="s">
        <v>633</v>
      </c>
      <c r="L212" t="s">
        <v>641</v>
      </c>
      <c r="M212" t="s">
        <v>642</v>
      </c>
      <c r="N212" t="s">
        <v>921</v>
      </c>
      <c r="P212" t="s">
        <v>575</v>
      </c>
      <c r="Q212" t="s">
        <v>620</v>
      </c>
      <c r="R212" t="s">
        <v>1001</v>
      </c>
      <c r="S212">
        <v>20180622</v>
      </c>
      <c r="T212" t="s">
        <v>824</v>
      </c>
      <c r="X212">
        <v>9</v>
      </c>
      <c r="Y212">
        <v>41000</v>
      </c>
      <c r="AA212" t="s">
        <v>577</v>
      </c>
      <c r="AB212">
        <v>20190220</v>
      </c>
      <c r="AE212">
        <f t="shared" si="3"/>
        <v>32000</v>
      </c>
      <c r="AF212">
        <v>0</v>
      </c>
      <c r="AG212">
        <v>32000</v>
      </c>
      <c r="AH212">
        <v>0</v>
      </c>
      <c r="AI212" s="121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32000</v>
      </c>
    </row>
    <row r="213" spans="1:41">
      <c r="A213">
        <v>201903</v>
      </c>
      <c r="B213">
        <v>25</v>
      </c>
      <c r="C213" t="s">
        <v>502</v>
      </c>
      <c r="D213">
        <v>3190432065051</v>
      </c>
      <c r="E213" t="s">
        <v>53</v>
      </c>
      <c r="F213" t="s">
        <v>569</v>
      </c>
      <c r="G213" t="s">
        <v>570</v>
      </c>
      <c r="H213" t="s">
        <v>571</v>
      </c>
      <c r="I213" t="s">
        <v>621</v>
      </c>
      <c r="J213" t="s">
        <v>621</v>
      </c>
      <c r="K213" t="s">
        <v>622</v>
      </c>
      <c r="L213" t="s">
        <v>629</v>
      </c>
      <c r="M213" t="s">
        <v>630</v>
      </c>
      <c r="N213" t="s">
        <v>904</v>
      </c>
      <c r="P213" t="s">
        <v>575</v>
      </c>
      <c r="Q213" t="s">
        <v>540</v>
      </c>
      <c r="R213" t="s">
        <v>955</v>
      </c>
      <c r="S213">
        <v>20180626</v>
      </c>
      <c r="T213" t="s">
        <v>947</v>
      </c>
      <c r="X213">
        <v>9</v>
      </c>
      <c r="Y213">
        <v>11492</v>
      </c>
      <c r="AA213" t="s">
        <v>577</v>
      </c>
      <c r="AB213">
        <v>20190220</v>
      </c>
      <c r="AE213">
        <f t="shared" si="3"/>
        <v>884</v>
      </c>
      <c r="AF213">
        <v>0</v>
      </c>
      <c r="AG213">
        <v>884</v>
      </c>
      <c r="AH213">
        <v>0</v>
      </c>
      <c r="AI213" s="121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884</v>
      </c>
    </row>
    <row r="214" spans="1:41">
      <c r="A214">
        <v>201903</v>
      </c>
      <c r="B214">
        <v>25</v>
      </c>
      <c r="C214" t="s">
        <v>502</v>
      </c>
      <c r="D214">
        <v>3190432137181</v>
      </c>
      <c r="E214" t="s">
        <v>53</v>
      </c>
      <c r="F214" t="s">
        <v>569</v>
      </c>
      <c r="G214" t="s">
        <v>570</v>
      </c>
      <c r="H214" t="s">
        <v>571</v>
      </c>
      <c r="I214" t="s">
        <v>578</v>
      </c>
      <c r="J214" t="s">
        <v>578</v>
      </c>
      <c r="K214" t="s">
        <v>579</v>
      </c>
      <c r="L214" t="s">
        <v>586</v>
      </c>
      <c r="M214" t="s">
        <v>587</v>
      </c>
      <c r="N214" t="s">
        <v>1198</v>
      </c>
      <c r="P214" t="s">
        <v>575</v>
      </c>
      <c r="Q214" t="s">
        <v>620</v>
      </c>
      <c r="R214" t="s">
        <v>961</v>
      </c>
      <c r="S214">
        <v>20180626</v>
      </c>
      <c r="T214" t="s">
        <v>1136</v>
      </c>
      <c r="X214">
        <v>9</v>
      </c>
      <c r="Y214">
        <v>15000</v>
      </c>
      <c r="AA214" t="s">
        <v>577</v>
      </c>
      <c r="AB214">
        <v>20190225</v>
      </c>
      <c r="AE214">
        <f t="shared" si="3"/>
        <v>12180</v>
      </c>
      <c r="AF214">
        <v>0</v>
      </c>
      <c r="AG214">
        <v>12180</v>
      </c>
      <c r="AH214">
        <v>0</v>
      </c>
      <c r="AI214" s="121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12180</v>
      </c>
    </row>
    <row r="215" spans="1:41">
      <c r="A215">
        <v>201903</v>
      </c>
      <c r="B215">
        <v>25</v>
      </c>
      <c r="C215" t="s">
        <v>502</v>
      </c>
      <c r="D215">
        <v>3190048754871</v>
      </c>
      <c r="E215" t="s">
        <v>53</v>
      </c>
      <c r="F215" t="s">
        <v>569</v>
      </c>
      <c r="G215" t="s">
        <v>570</v>
      </c>
      <c r="H215" t="s">
        <v>571</v>
      </c>
      <c r="I215" t="s">
        <v>674</v>
      </c>
      <c r="J215" t="s">
        <v>674</v>
      </c>
      <c r="K215" t="s">
        <v>675</v>
      </c>
      <c r="L215" t="s">
        <v>489</v>
      </c>
      <c r="M215" t="s">
        <v>488</v>
      </c>
      <c r="N215" t="s">
        <v>902</v>
      </c>
      <c r="P215" t="s">
        <v>575</v>
      </c>
      <c r="Q215" t="s">
        <v>620</v>
      </c>
      <c r="R215" t="s">
        <v>1019</v>
      </c>
      <c r="S215">
        <v>20160722</v>
      </c>
      <c r="T215" t="s">
        <v>1029</v>
      </c>
      <c r="X215">
        <v>32</v>
      </c>
      <c r="Y215">
        <v>61000</v>
      </c>
      <c r="AA215" t="s">
        <v>577</v>
      </c>
      <c r="AB215">
        <v>20190220</v>
      </c>
      <c r="AE215">
        <f t="shared" si="3"/>
        <v>0</v>
      </c>
      <c r="AF215">
        <v>0</v>
      </c>
      <c r="AG215">
        <v>0</v>
      </c>
      <c r="AH215">
        <v>0</v>
      </c>
      <c r="AI215" s="121">
        <v>305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305</v>
      </c>
    </row>
    <row r="216" spans="1:41">
      <c r="A216">
        <v>201903</v>
      </c>
      <c r="B216">
        <v>25</v>
      </c>
      <c r="C216" t="s">
        <v>502</v>
      </c>
      <c r="D216">
        <v>3190048917641</v>
      </c>
      <c r="E216" t="s">
        <v>53</v>
      </c>
      <c r="F216" t="s">
        <v>569</v>
      </c>
      <c r="G216" t="s">
        <v>570</v>
      </c>
      <c r="H216" t="s">
        <v>571</v>
      </c>
      <c r="I216" t="s">
        <v>674</v>
      </c>
      <c r="J216" t="s">
        <v>674</v>
      </c>
      <c r="K216" t="s">
        <v>675</v>
      </c>
      <c r="L216" t="s">
        <v>489</v>
      </c>
      <c r="M216" t="s">
        <v>488</v>
      </c>
      <c r="N216" t="s">
        <v>902</v>
      </c>
      <c r="P216" t="s">
        <v>575</v>
      </c>
      <c r="Q216" t="s">
        <v>620</v>
      </c>
      <c r="R216" t="s">
        <v>1019</v>
      </c>
      <c r="S216">
        <v>20160725</v>
      </c>
      <c r="T216" t="s">
        <v>1030</v>
      </c>
      <c r="X216">
        <v>32</v>
      </c>
      <c r="Y216">
        <v>23000</v>
      </c>
      <c r="AA216" t="s">
        <v>577</v>
      </c>
      <c r="AB216">
        <v>20190228</v>
      </c>
      <c r="AE216">
        <f t="shared" si="3"/>
        <v>0</v>
      </c>
      <c r="AF216">
        <v>0</v>
      </c>
      <c r="AG216">
        <v>0</v>
      </c>
      <c r="AH216">
        <v>0</v>
      </c>
      <c r="AI216" s="121">
        <v>230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230</v>
      </c>
    </row>
    <row r="217" spans="1:41">
      <c r="A217">
        <v>201903</v>
      </c>
      <c r="B217">
        <v>25</v>
      </c>
      <c r="C217" t="s">
        <v>502</v>
      </c>
      <c r="D217">
        <v>3190048924181</v>
      </c>
      <c r="E217" t="s">
        <v>53</v>
      </c>
      <c r="F217" t="s">
        <v>569</v>
      </c>
      <c r="G217" t="s">
        <v>570</v>
      </c>
      <c r="H217" t="s">
        <v>571</v>
      </c>
      <c r="I217" t="s">
        <v>674</v>
      </c>
      <c r="J217" t="s">
        <v>674</v>
      </c>
      <c r="K217" t="s">
        <v>675</v>
      </c>
      <c r="L217" t="s">
        <v>489</v>
      </c>
      <c r="M217" t="s">
        <v>488</v>
      </c>
      <c r="N217" t="s">
        <v>902</v>
      </c>
      <c r="P217" t="s">
        <v>575</v>
      </c>
      <c r="Q217" t="s">
        <v>620</v>
      </c>
      <c r="R217" t="s">
        <v>1019</v>
      </c>
      <c r="S217">
        <v>20160722</v>
      </c>
      <c r="T217" t="s">
        <v>1029</v>
      </c>
      <c r="X217">
        <v>32</v>
      </c>
      <c r="Y217">
        <v>20000</v>
      </c>
      <c r="AA217" t="s">
        <v>577</v>
      </c>
      <c r="AB217">
        <v>20190220</v>
      </c>
      <c r="AE217">
        <f t="shared" si="3"/>
        <v>0</v>
      </c>
      <c r="AF217">
        <v>0</v>
      </c>
      <c r="AG217">
        <v>0</v>
      </c>
      <c r="AH217">
        <v>0</v>
      </c>
      <c r="AI217" s="121">
        <v>100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100</v>
      </c>
    </row>
    <row r="218" spans="1:41">
      <c r="A218">
        <v>201903</v>
      </c>
      <c r="B218">
        <v>25</v>
      </c>
      <c r="C218" t="s">
        <v>502</v>
      </c>
      <c r="D218">
        <v>3190048927561</v>
      </c>
      <c r="E218" t="s">
        <v>53</v>
      </c>
      <c r="F218" t="s">
        <v>569</v>
      </c>
      <c r="G218" t="s">
        <v>570</v>
      </c>
      <c r="H218" t="s">
        <v>571</v>
      </c>
      <c r="I218" t="s">
        <v>674</v>
      </c>
      <c r="J218" t="s">
        <v>674</v>
      </c>
      <c r="K218" t="s">
        <v>675</v>
      </c>
      <c r="L218" t="s">
        <v>489</v>
      </c>
      <c r="M218" t="s">
        <v>488</v>
      </c>
      <c r="N218" t="s">
        <v>902</v>
      </c>
      <c r="P218" t="s">
        <v>575</v>
      </c>
      <c r="Q218" t="s">
        <v>620</v>
      </c>
      <c r="R218" t="s">
        <v>1019</v>
      </c>
      <c r="S218">
        <v>20160722</v>
      </c>
      <c r="T218" t="s">
        <v>1031</v>
      </c>
      <c r="X218">
        <v>32</v>
      </c>
      <c r="Y218">
        <v>30000</v>
      </c>
      <c r="AA218" t="s">
        <v>577</v>
      </c>
      <c r="AB218">
        <v>20190220</v>
      </c>
      <c r="AE218">
        <f t="shared" si="3"/>
        <v>0</v>
      </c>
      <c r="AF218">
        <v>0</v>
      </c>
      <c r="AG218">
        <v>0</v>
      </c>
      <c r="AH218">
        <v>0</v>
      </c>
      <c r="AI218" s="121">
        <v>150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150</v>
      </c>
    </row>
    <row r="219" spans="1:41">
      <c r="A219">
        <v>201903</v>
      </c>
      <c r="B219">
        <v>25</v>
      </c>
      <c r="C219" t="s">
        <v>502</v>
      </c>
      <c r="D219">
        <v>3190049100461</v>
      </c>
      <c r="E219" t="s">
        <v>53</v>
      </c>
      <c r="F219" t="s">
        <v>569</v>
      </c>
      <c r="G219" t="s">
        <v>570</v>
      </c>
      <c r="H219" t="s">
        <v>571</v>
      </c>
      <c r="I219" t="s">
        <v>674</v>
      </c>
      <c r="J219" t="s">
        <v>674</v>
      </c>
      <c r="K219" t="s">
        <v>675</v>
      </c>
      <c r="L219" t="s">
        <v>489</v>
      </c>
      <c r="M219" t="s">
        <v>488</v>
      </c>
      <c r="N219" t="s">
        <v>902</v>
      </c>
      <c r="P219" t="s">
        <v>575</v>
      </c>
      <c r="Q219" t="s">
        <v>620</v>
      </c>
      <c r="R219" t="s">
        <v>1009</v>
      </c>
      <c r="S219">
        <v>20160725</v>
      </c>
      <c r="T219" t="s">
        <v>797</v>
      </c>
      <c r="X219">
        <v>32</v>
      </c>
      <c r="Y219">
        <v>103000</v>
      </c>
      <c r="AA219" t="s">
        <v>577</v>
      </c>
      <c r="AB219">
        <v>20190225</v>
      </c>
      <c r="AE219">
        <f t="shared" si="3"/>
        <v>0</v>
      </c>
      <c r="AF219">
        <v>0</v>
      </c>
      <c r="AG219">
        <v>0</v>
      </c>
      <c r="AH219">
        <v>0</v>
      </c>
      <c r="AI219" s="121">
        <v>772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772</v>
      </c>
    </row>
    <row r="220" spans="1:41">
      <c r="A220">
        <v>201903</v>
      </c>
      <c r="B220">
        <v>25</v>
      </c>
      <c r="C220" t="s">
        <v>502</v>
      </c>
      <c r="D220">
        <v>3190049243791</v>
      </c>
      <c r="E220" t="s">
        <v>53</v>
      </c>
      <c r="F220" t="s">
        <v>569</v>
      </c>
      <c r="G220" t="s">
        <v>570</v>
      </c>
      <c r="H220" t="s">
        <v>571</v>
      </c>
      <c r="I220" t="s">
        <v>674</v>
      </c>
      <c r="J220" t="s">
        <v>674</v>
      </c>
      <c r="K220" t="s">
        <v>675</v>
      </c>
      <c r="L220" t="s">
        <v>489</v>
      </c>
      <c r="M220" t="s">
        <v>488</v>
      </c>
      <c r="N220" t="s">
        <v>902</v>
      </c>
      <c r="P220" t="s">
        <v>575</v>
      </c>
      <c r="Q220" t="s">
        <v>620</v>
      </c>
      <c r="R220" t="s">
        <v>1019</v>
      </c>
      <c r="S220">
        <v>20160726</v>
      </c>
      <c r="T220" t="s">
        <v>1044</v>
      </c>
      <c r="X220">
        <v>32</v>
      </c>
      <c r="Y220">
        <v>20000</v>
      </c>
      <c r="AA220" t="s">
        <v>577</v>
      </c>
      <c r="AB220">
        <v>20190220</v>
      </c>
      <c r="AE220">
        <f t="shared" si="3"/>
        <v>0</v>
      </c>
      <c r="AF220">
        <v>0</v>
      </c>
      <c r="AG220">
        <v>0</v>
      </c>
      <c r="AH220">
        <v>0</v>
      </c>
      <c r="AI220" s="121">
        <v>100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100</v>
      </c>
    </row>
    <row r="221" spans="1:41">
      <c r="A221">
        <v>201903</v>
      </c>
      <c r="B221">
        <v>25</v>
      </c>
      <c r="C221" t="s">
        <v>502</v>
      </c>
      <c r="D221">
        <v>3190049585211</v>
      </c>
      <c r="E221" t="s">
        <v>53</v>
      </c>
      <c r="F221" t="s">
        <v>569</v>
      </c>
      <c r="G221" t="s">
        <v>570</v>
      </c>
      <c r="H221" t="s">
        <v>571</v>
      </c>
      <c r="I221" t="s">
        <v>578</v>
      </c>
      <c r="J221" t="s">
        <v>578</v>
      </c>
      <c r="K221" t="s">
        <v>579</v>
      </c>
      <c r="L221" t="s">
        <v>580</v>
      </c>
      <c r="M221" t="s">
        <v>581</v>
      </c>
      <c r="N221" t="s">
        <v>915</v>
      </c>
      <c r="P221" t="s">
        <v>575</v>
      </c>
      <c r="Q221" t="s">
        <v>620</v>
      </c>
      <c r="R221" t="s">
        <v>1019</v>
      </c>
      <c r="S221">
        <v>20160801</v>
      </c>
      <c r="T221" t="s">
        <v>1124</v>
      </c>
      <c r="X221">
        <v>31</v>
      </c>
      <c r="Y221">
        <v>30000</v>
      </c>
      <c r="AA221" t="s">
        <v>577</v>
      </c>
      <c r="AB221">
        <v>20190225</v>
      </c>
      <c r="AE221">
        <f t="shared" si="3"/>
        <v>0</v>
      </c>
      <c r="AF221">
        <v>0</v>
      </c>
      <c r="AG221">
        <v>0</v>
      </c>
      <c r="AH221">
        <v>0</v>
      </c>
      <c r="AI221" s="121">
        <v>150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150</v>
      </c>
    </row>
    <row r="222" spans="1:41">
      <c r="A222">
        <v>201903</v>
      </c>
      <c r="B222">
        <v>25</v>
      </c>
      <c r="C222" t="s">
        <v>502</v>
      </c>
      <c r="D222">
        <v>3190049847921</v>
      </c>
      <c r="E222" t="s">
        <v>53</v>
      </c>
      <c r="F222" t="s">
        <v>569</v>
      </c>
      <c r="G222" t="s">
        <v>570</v>
      </c>
      <c r="H222" t="s">
        <v>571</v>
      </c>
      <c r="I222" t="s">
        <v>674</v>
      </c>
      <c r="J222" t="s">
        <v>674</v>
      </c>
      <c r="K222" t="s">
        <v>675</v>
      </c>
      <c r="L222" t="s">
        <v>489</v>
      </c>
      <c r="M222" t="s">
        <v>488</v>
      </c>
      <c r="N222" t="s">
        <v>902</v>
      </c>
      <c r="P222" t="s">
        <v>575</v>
      </c>
      <c r="Q222" t="s">
        <v>620</v>
      </c>
      <c r="R222" t="s">
        <v>1009</v>
      </c>
      <c r="S222">
        <v>20160805</v>
      </c>
      <c r="T222" t="s">
        <v>819</v>
      </c>
      <c r="X222">
        <v>31</v>
      </c>
      <c r="Y222">
        <v>112000</v>
      </c>
      <c r="AA222" t="s">
        <v>577</v>
      </c>
      <c r="AB222">
        <v>20190220</v>
      </c>
      <c r="AE222">
        <f t="shared" si="3"/>
        <v>0</v>
      </c>
      <c r="AF222">
        <v>0</v>
      </c>
      <c r="AG222">
        <v>0</v>
      </c>
      <c r="AH222">
        <v>0</v>
      </c>
      <c r="AI222" s="121">
        <v>840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840</v>
      </c>
    </row>
    <row r="223" spans="1:41">
      <c r="A223">
        <v>201903</v>
      </c>
      <c r="B223">
        <v>25</v>
      </c>
      <c r="C223" t="s">
        <v>502</v>
      </c>
      <c r="D223">
        <v>3190049848351</v>
      </c>
      <c r="E223" t="s">
        <v>53</v>
      </c>
      <c r="F223" t="s">
        <v>569</v>
      </c>
      <c r="G223" t="s">
        <v>570</v>
      </c>
      <c r="H223" t="s">
        <v>571</v>
      </c>
      <c r="I223" t="s">
        <v>674</v>
      </c>
      <c r="J223" t="s">
        <v>674</v>
      </c>
      <c r="K223" t="s">
        <v>675</v>
      </c>
      <c r="L223" t="s">
        <v>489</v>
      </c>
      <c r="M223" t="s">
        <v>488</v>
      </c>
      <c r="N223" t="s">
        <v>902</v>
      </c>
      <c r="P223" t="s">
        <v>575</v>
      </c>
      <c r="Q223" t="s">
        <v>620</v>
      </c>
      <c r="R223" t="s">
        <v>1009</v>
      </c>
      <c r="S223">
        <v>20160805</v>
      </c>
      <c r="T223" t="s">
        <v>819</v>
      </c>
      <c r="X223">
        <v>31</v>
      </c>
      <c r="Y223">
        <v>170000</v>
      </c>
      <c r="AA223" t="s">
        <v>577</v>
      </c>
      <c r="AB223">
        <v>20190220</v>
      </c>
      <c r="AE223">
        <f t="shared" si="3"/>
        <v>0</v>
      </c>
      <c r="AF223">
        <v>0</v>
      </c>
      <c r="AG223">
        <v>0</v>
      </c>
      <c r="AH223">
        <v>0</v>
      </c>
      <c r="AI223" s="121">
        <v>1275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1275</v>
      </c>
    </row>
    <row r="224" spans="1:41">
      <c r="A224">
        <v>201903</v>
      </c>
      <c r="B224">
        <v>25</v>
      </c>
      <c r="C224" t="s">
        <v>502</v>
      </c>
      <c r="D224">
        <v>3190050042861</v>
      </c>
      <c r="E224" t="s">
        <v>53</v>
      </c>
      <c r="F224" t="s">
        <v>569</v>
      </c>
      <c r="G224" t="s">
        <v>570</v>
      </c>
      <c r="H224" t="s">
        <v>571</v>
      </c>
      <c r="I224" t="s">
        <v>674</v>
      </c>
      <c r="J224" t="s">
        <v>674</v>
      </c>
      <c r="K224" t="s">
        <v>675</v>
      </c>
      <c r="L224" t="s">
        <v>489</v>
      </c>
      <c r="M224" t="s">
        <v>488</v>
      </c>
      <c r="N224" t="s">
        <v>902</v>
      </c>
      <c r="P224" t="s">
        <v>575</v>
      </c>
      <c r="Q224" t="s">
        <v>620</v>
      </c>
      <c r="R224" t="s">
        <v>1019</v>
      </c>
      <c r="S224">
        <v>20160805</v>
      </c>
      <c r="T224" t="s">
        <v>834</v>
      </c>
      <c r="X224">
        <v>31</v>
      </c>
      <c r="Y224">
        <v>30000</v>
      </c>
      <c r="AA224" t="s">
        <v>577</v>
      </c>
      <c r="AB224">
        <v>20190225</v>
      </c>
      <c r="AE224">
        <f t="shared" si="3"/>
        <v>0</v>
      </c>
      <c r="AF224">
        <v>0</v>
      </c>
      <c r="AG224">
        <v>0</v>
      </c>
      <c r="AH224">
        <v>0</v>
      </c>
      <c r="AI224" s="121">
        <v>150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150</v>
      </c>
    </row>
    <row r="225" spans="1:41">
      <c r="A225">
        <v>201903</v>
      </c>
      <c r="B225">
        <v>25</v>
      </c>
      <c r="C225" t="s">
        <v>502</v>
      </c>
      <c r="D225">
        <v>3190050044541</v>
      </c>
      <c r="E225" t="s">
        <v>53</v>
      </c>
      <c r="F225" t="s">
        <v>569</v>
      </c>
      <c r="G225" t="s">
        <v>570</v>
      </c>
      <c r="H225" t="s">
        <v>571</v>
      </c>
      <c r="I225" t="s">
        <v>578</v>
      </c>
      <c r="J225" t="s">
        <v>578</v>
      </c>
      <c r="K225" t="s">
        <v>579</v>
      </c>
      <c r="L225" t="s">
        <v>613</v>
      </c>
      <c r="M225" t="s">
        <v>614</v>
      </c>
      <c r="N225" t="s">
        <v>927</v>
      </c>
      <c r="P225" t="s">
        <v>575</v>
      </c>
      <c r="Q225" t="s">
        <v>620</v>
      </c>
      <c r="R225" t="s">
        <v>1019</v>
      </c>
      <c r="S225">
        <v>20160805</v>
      </c>
      <c r="T225" t="s">
        <v>1155</v>
      </c>
      <c r="X225">
        <v>31</v>
      </c>
      <c r="Y225">
        <v>39000</v>
      </c>
      <c r="AA225" t="s">
        <v>577</v>
      </c>
      <c r="AB225">
        <v>20190225</v>
      </c>
      <c r="AE225">
        <f t="shared" si="3"/>
        <v>0</v>
      </c>
      <c r="AF225">
        <v>0</v>
      </c>
      <c r="AG225">
        <v>0</v>
      </c>
      <c r="AH225">
        <v>0</v>
      </c>
      <c r="AI225" s="121">
        <v>195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195</v>
      </c>
    </row>
    <row r="226" spans="1:41">
      <c r="A226">
        <v>201903</v>
      </c>
      <c r="B226">
        <v>25</v>
      </c>
      <c r="C226" t="s">
        <v>502</v>
      </c>
      <c r="D226">
        <v>3190050399981</v>
      </c>
      <c r="E226" t="s">
        <v>53</v>
      </c>
      <c r="F226" t="s">
        <v>569</v>
      </c>
      <c r="G226" t="s">
        <v>570</v>
      </c>
      <c r="H226" t="s">
        <v>571</v>
      </c>
      <c r="I226" t="s">
        <v>578</v>
      </c>
      <c r="J226" t="s">
        <v>578</v>
      </c>
      <c r="K226" t="s">
        <v>579</v>
      </c>
      <c r="L226" t="s">
        <v>586</v>
      </c>
      <c r="M226" t="s">
        <v>587</v>
      </c>
      <c r="N226" t="s">
        <v>1198</v>
      </c>
      <c r="P226" t="s">
        <v>575</v>
      </c>
      <c r="Q226" t="s">
        <v>620</v>
      </c>
      <c r="R226" t="s">
        <v>1019</v>
      </c>
      <c r="S226">
        <v>20160812</v>
      </c>
      <c r="T226" t="s">
        <v>875</v>
      </c>
      <c r="X226">
        <v>31</v>
      </c>
      <c r="Y226">
        <v>44000</v>
      </c>
      <c r="AA226" t="s">
        <v>577</v>
      </c>
      <c r="AB226">
        <v>20190225</v>
      </c>
      <c r="AE226">
        <f t="shared" si="3"/>
        <v>0</v>
      </c>
      <c r="AF226">
        <v>0</v>
      </c>
      <c r="AG226">
        <v>0</v>
      </c>
      <c r="AH226">
        <v>0</v>
      </c>
      <c r="AI226" s="121">
        <v>220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220</v>
      </c>
    </row>
    <row r="227" spans="1:41">
      <c r="A227">
        <v>201903</v>
      </c>
      <c r="B227">
        <v>25</v>
      </c>
      <c r="C227" t="s">
        <v>502</v>
      </c>
      <c r="D227">
        <v>3190488077841</v>
      </c>
      <c r="E227" t="s">
        <v>53</v>
      </c>
      <c r="F227" t="s">
        <v>662</v>
      </c>
      <c r="G227" t="s">
        <v>570</v>
      </c>
      <c r="H227" t="s">
        <v>571</v>
      </c>
      <c r="I227" t="s">
        <v>633</v>
      </c>
      <c r="J227" t="s">
        <v>633</v>
      </c>
      <c r="K227" t="s">
        <v>634</v>
      </c>
      <c r="L227" t="s">
        <v>670</v>
      </c>
      <c r="M227" t="s">
        <v>671</v>
      </c>
      <c r="N227" t="s">
        <v>936</v>
      </c>
      <c r="P227" t="s">
        <v>663</v>
      </c>
      <c r="Q227" t="s">
        <v>620</v>
      </c>
      <c r="R227" t="s">
        <v>1154</v>
      </c>
      <c r="S227">
        <v>20190201</v>
      </c>
      <c r="T227" t="s">
        <v>802</v>
      </c>
      <c r="X227">
        <v>1</v>
      </c>
      <c r="Y227">
        <v>31500</v>
      </c>
      <c r="Z227">
        <v>52290</v>
      </c>
      <c r="AA227" t="s">
        <v>577</v>
      </c>
      <c r="AB227">
        <v>20190201</v>
      </c>
      <c r="AE227">
        <f t="shared" si="3"/>
        <v>112423</v>
      </c>
      <c r="AF227">
        <v>112423</v>
      </c>
      <c r="AG227">
        <v>0</v>
      </c>
      <c r="AH227">
        <v>0</v>
      </c>
      <c r="AI227" s="121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112423</v>
      </c>
    </row>
    <row r="228" spans="1:41">
      <c r="A228">
        <v>201903</v>
      </c>
      <c r="B228">
        <v>25</v>
      </c>
      <c r="C228" t="s">
        <v>502</v>
      </c>
      <c r="D228">
        <v>3190488280321</v>
      </c>
      <c r="E228" t="s">
        <v>53</v>
      </c>
      <c r="F228" t="s">
        <v>662</v>
      </c>
      <c r="G228" t="s">
        <v>570</v>
      </c>
      <c r="H228" t="s">
        <v>571</v>
      </c>
      <c r="I228" t="s">
        <v>646</v>
      </c>
      <c r="L228" t="s">
        <v>677</v>
      </c>
      <c r="M228" t="s">
        <v>678</v>
      </c>
      <c r="N228" t="s">
        <v>938</v>
      </c>
      <c r="P228" t="s">
        <v>663</v>
      </c>
      <c r="Q228" t="s">
        <v>620</v>
      </c>
      <c r="R228" t="s">
        <v>956</v>
      </c>
      <c r="S228">
        <v>20190220</v>
      </c>
      <c r="T228" t="s">
        <v>1131</v>
      </c>
      <c r="X228">
        <v>1</v>
      </c>
      <c r="Y228">
        <v>28800</v>
      </c>
      <c r="Z228">
        <v>67953</v>
      </c>
      <c r="AA228" t="s">
        <v>577</v>
      </c>
      <c r="AB228">
        <v>20190220</v>
      </c>
      <c r="AE228">
        <f t="shared" si="3"/>
        <v>146098</v>
      </c>
      <c r="AF228">
        <v>146098</v>
      </c>
      <c r="AG228">
        <v>0</v>
      </c>
      <c r="AH228">
        <v>0</v>
      </c>
      <c r="AI228" s="121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146098</v>
      </c>
    </row>
    <row r="229" spans="1:41">
      <c r="A229">
        <v>201903</v>
      </c>
      <c r="B229">
        <v>25</v>
      </c>
      <c r="C229" t="s">
        <v>502</v>
      </c>
      <c r="D229">
        <v>3190488879191</v>
      </c>
      <c r="E229" t="s">
        <v>53</v>
      </c>
      <c r="F229" t="s">
        <v>662</v>
      </c>
      <c r="G229" t="s">
        <v>570</v>
      </c>
      <c r="H229" t="s">
        <v>571</v>
      </c>
      <c r="I229" t="s">
        <v>691</v>
      </c>
      <c r="J229" t="s">
        <v>692</v>
      </c>
      <c r="L229" t="s">
        <v>693</v>
      </c>
      <c r="M229" t="s">
        <v>694</v>
      </c>
      <c r="N229" t="s">
        <v>949</v>
      </c>
      <c r="P229" t="s">
        <v>663</v>
      </c>
      <c r="Q229" t="s">
        <v>620</v>
      </c>
      <c r="R229" t="s">
        <v>984</v>
      </c>
      <c r="S229">
        <v>20190208</v>
      </c>
      <c r="T229" t="s">
        <v>742</v>
      </c>
      <c r="V229">
        <v>0</v>
      </c>
      <c r="W229">
        <v>0</v>
      </c>
      <c r="X229">
        <v>1</v>
      </c>
      <c r="Y229">
        <v>38700</v>
      </c>
      <c r="Z229">
        <v>45279</v>
      </c>
      <c r="AA229" t="s">
        <v>577</v>
      </c>
      <c r="AB229">
        <v>20190208</v>
      </c>
      <c r="AE229">
        <f t="shared" si="3"/>
        <v>97349</v>
      </c>
      <c r="AF229">
        <v>97349</v>
      </c>
      <c r="AG229">
        <v>0</v>
      </c>
      <c r="AH229">
        <v>0</v>
      </c>
      <c r="AI229" s="121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97349</v>
      </c>
    </row>
    <row r="230" spans="1:41">
      <c r="A230">
        <v>201903</v>
      </c>
      <c r="B230">
        <v>25</v>
      </c>
      <c r="C230" t="s">
        <v>502</v>
      </c>
      <c r="D230">
        <v>3190488967071</v>
      </c>
      <c r="E230" t="s">
        <v>53</v>
      </c>
      <c r="F230" t="s">
        <v>662</v>
      </c>
      <c r="G230" t="s">
        <v>570</v>
      </c>
      <c r="H230" t="s">
        <v>571</v>
      </c>
      <c r="I230" t="s">
        <v>633</v>
      </c>
      <c r="L230" t="s">
        <v>641</v>
      </c>
      <c r="M230" t="s">
        <v>642</v>
      </c>
      <c r="N230" t="s">
        <v>921</v>
      </c>
      <c r="P230" t="s">
        <v>663</v>
      </c>
      <c r="Q230" t="s">
        <v>540</v>
      </c>
      <c r="R230" t="s">
        <v>985</v>
      </c>
      <c r="S230">
        <v>20190208</v>
      </c>
      <c r="T230" t="s">
        <v>986</v>
      </c>
      <c r="X230">
        <v>1</v>
      </c>
      <c r="Y230">
        <v>12182</v>
      </c>
      <c r="Z230">
        <v>2680</v>
      </c>
      <c r="AA230" t="s">
        <v>577</v>
      </c>
      <c r="AB230">
        <v>20190208</v>
      </c>
      <c r="AE230">
        <f t="shared" si="3"/>
        <v>5762</v>
      </c>
      <c r="AF230">
        <v>5762</v>
      </c>
      <c r="AG230">
        <v>0</v>
      </c>
      <c r="AH230">
        <v>0</v>
      </c>
      <c r="AI230" s="121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5762</v>
      </c>
    </row>
    <row r="231" spans="1:41">
      <c r="A231">
        <v>201903</v>
      </c>
      <c r="B231">
        <v>25</v>
      </c>
      <c r="C231" t="s">
        <v>502</v>
      </c>
      <c r="D231">
        <v>3190489004801</v>
      </c>
      <c r="E231" t="s">
        <v>53</v>
      </c>
      <c r="F231" t="s">
        <v>662</v>
      </c>
      <c r="G231" t="s">
        <v>570</v>
      </c>
      <c r="H231" t="s">
        <v>571</v>
      </c>
      <c r="I231" t="s">
        <v>633</v>
      </c>
      <c r="L231" t="s">
        <v>641</v>
      </c>
      <c r="M231" t="s">
        <v>642</v>
      </c>
      <c r="N231" t="s">
        <v>921</v>
      </c>
      <c r="P231" t="s">
        <v>663</v>
      </c>
      <c r="Q231" t="s">
        <v>620</v>
      </c>
      <c r="R231" t="s">
        <v>957</v>
      </c>
      <c r="S231">
        <v>20190208</v>
      </c>
      <c r="T231" t="s">
        <v>986</v>
      </c>
      <c r="X231">
        <v>1</v>
      </c>
      <c r="Y231">
        <v>111012</v>
      </c>
      <c r="Z231">
        <v>261988</v>
      </c>
      <c r="AA231" t="s">
        <v>577</v>
      </c>
      <c r="AB231">
        <v>20190208</v>
      </c>
      <c r="AE231">
        <f t="shared" si="3"/>
        <v>563274</v>
      </c>
      <c r="AF231">
        <v>563274</v>
      </c>
      <c r="AG231">
        <v>0</v>
      </c>
      <c r="AH231">
        <v>0</v>
      </c>
      <c r="AI231" s="12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563274</v>
      </c>
    </row>
    <row r="232" spans="1:41">
      <c r="A232">
        <v>201903</v>
      </c>
      <c r="B232">
        <v>25</v>
      </c>
      <c r="C232" t="s">
        <v>502</v>
      </c>
      <c r="D232">
        <v>3190489585011</v>
      </c>
      <c r="E232" t="s">
        <v>53</v>
      </c>
      <c r="F232" t="s">
        <v>662</v>
      </c>
      <c r="G232" t="s">
        <v>570</v>
      </c>
      <c r="H232" t="s">
        <v>571</v>
      </c>
      <c r="I232" t="s">
        <v>646</v>
      </c>
      <c r="L232" t="s">
        <v>677</v>
      </c>
      <c r="M232" t="s">
        <v>678</v>
      </c>
      <c r="N232" t="s">
        <v>938</v>
      </c>
      <c r="P232" t="s">
        <v>663</v>
      </c>
      <c r="Q232" t="s">
        <v>620</v>
      </c>
      <c r="R232" t="s">
        <v>956</v>
      </c>
      <c r="S232">
        <v>20190212</v>
      </c>
      <c r="T232" t="s">
        <v>784</v>
      </c>
      <c r="X232">
        <v>1</v>
      </c>
      <c r="Y232">
        <v>20100</v>
      </c>
      <c r="Z232">
        <v>47382</v>
      </c>
      <c r="AA232" t="s">
        <v>577</v>
      </c>
      <c r="AB232">
        <v>20190212</v>
      </c>
      <c r="AE232">
        <f t="shared" si="3"/>
        <v>101871</v>
      </c>
      <c r="AF232">
        <v>101871</v>
      </c>
      <c r="AG232">
        <v>0</v>
      </c>
      <c r="AH232">
        <v>0</v>
      </c>
      <c r="AI232" s="121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101871</v>
      </c>
    </row>
    <row r="233" spans="1:41">
      <c r="A233">
        <v>201903</v>
      </c>
      <c r="B233">
        <v>25</v>
      </c>
      <c r="C233" t="s">
        <v>502</v>
      </c>
      <c r="D233">
        <v>3190490199001</v>
      </c>
      <c r="E233" t="s">
        <v>53</v>
      </c>
      <c r="F233" t="s">
        <v>662</v>
      </c>
      <c r="G233" t="s">
        <v>570</v>
      </c>
      <c r="H233" t="s">
        <v>571</v>
      </c>
      <c r="I233" t="s">
        <v>633</v>
      </c>
      <c r="J233" t="s">
        <v>633</v>
      </c>
      <c r="K233" t="s">
        <v>634</v>
      </c>
      <c r="L233" t="s">
        <v>651</v>
      </c>
      <c r="M233" t="s">
        <v>652</v>
      </c>
      <c r="N233" t="s">
        <v>946</v>
      </c>
      <c r="P233" t="s">
        <v>663</v>
      </c>
      <c r="Q233" t="s">
        <v>620</v>
      </c>
      <c r="R233" t="s">
        <v>957</v>
      </c>
      <c r="S233">
        <v>20190214</v>
      </c>
      <c r="T233" t="s">
        <v>809</v>
      </c>
      <c r="X233">
        <v>1</v>
      </c>
      <c r="Y233">
        <v>54566</v>
      </c>
      <c r="Z233">
        <v>128776</v>
      </c>
      <c r="AA233" t="s">
        <v>577</v>
      </c>
      <c r="AB233">
        <v>20190214</v>
      </c>
      <c r="AE233">
        <f t="shared" si="3"/>
        <v>276868</v>
      </c>
      <c r="AF233">
        <v>276868</v>
      </c>
      <c r="AG233">
        <v>0</v>
      </c>
      <c r="AH233">
        <v>0</v>
      </c>
      <c r="AI233" s="121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276868</v>
      </c>
    </row>
    <row r="234" spans="1:41">
      <c r="A234">
        <v>201903</v>
      </c>
      <c r="B234">
        <v>25</v>
      </c>
      <c r="C234" t="s">
        <v>502</v>
      </c>
      <c r="D234">
        <v>3190490232631</v>
      </c>
      <c r="E234" t="s">
        <v>53</v>
      </c>
      <c r="F234" t="s">
        <v>662</v>
      </c>
      <c r="G234" t="s">
        <v>570</v>
      </c>
      <c r="H234" t="s">
        <v>571</v>
      </c>
      <c r="I234" t="s">
        <v>646</v>
      </c>
      <c r="J234" t="s">
        <v>1137</v>
      </c>
      <c r="L234" t="s">
        <v>668</v>
      </c>
      <c r="M234" t="s">
        <v>669</v>
      </c>
      <c r="N234" t="s">
        <v>994</v>
      </c>
      <c r="P234" t="s">
        <v>663</v>
      </c>
      <c r="Q234" t="s">
        <v>620</v>
      </c>
      <c r="R234" t="s">
        <v>956</v>
      </c>
      <c r="S234">
        <v>20190213</v>
      </c>
      <c r="T234" t="s">
        <v>790</v>
      </c>
      <c r="X234">
        <v>1</v>
      </c>
      <c r="Y234">
        <v>25000</v>
      </c>
      <c r="Z234">
        <v>58917</v>
      </c>
      <c r="AA234" t="s">
        <v>577</v>
      </c>
      <c r="AB234">
        <v>20190213</v>
      </c>
      <c r="AE234">
        <f t="shared" si="3"/>
        <v>126671</v>
      </c>
      <c r="AF234">
        <v>126671</v>
      </c>
      <c r="AG234">
        <v>0</v>
      </c>
      <c r="AH234">
        <v>0</v>
      </c>
      <c r="AI234" s="121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126671</v>
      </c>
    </row>
    <row r="235" spans="1:41">
      <c r="A235">
        <v>201903</v>
      </c>
      <c r="B235">
        <v>25</v>
      </c>
      <c r="C235" t="s">
        <v>502</v>
      </c>
      <c r="D235">
        <v>3190490268051</v>
      </c>
      <c r="E235" t="s">
        <v>53</v>
      </c>
      <c r="F235" t="s">
        <v>662</v>
      </c>
      <c r="G235" t="s">
        <v>570</v>
      </c>
      <c r="H235" t="s">
        <v>571</v>
      </c>
      <c r="I235" t="s">
        <v>633</v>
      </c>
      <c r="L235" t="s">
        <v>641</v>
      </c>
      <c r="M235" t="s">
        <v>642</v>
      </c>
      <c r="N235" t="s">
        <v>921</v>
      </c>
      <c r="P235" t="s">
        <v>663</v>
      </c>
      <c r="Q235" t="s">
        <v>620</v>
      </c>
      <c r="R235" t="s">
        <v>957</v>
      </c>
      <c r="S235">
        <v>20190215</v>
      </c>
      <c r="T235" t="s">
        <v>995</v>
      </c>
      <c r="X235">
        <v>1</v>
      </c>
      <c r="Y235">
        <v>75656</v>
      </c>
      <c r="Z235">
        <v>178548</v>
      </c>
      <c r="AA235" t="s">
        <v>577</v>
      </c>
      <c r="AB235">
        <v>20190215</v>
      </c>
      <c r="AE235">
        <f t="shared" si="3"/>
        <v>383878</v>
      </c>
      <c r="AF235">
        <v>383878</v>
      </c>
      <c r="AG235">
        <v>0</v>
      </c>
      <c r="AH235">
        <v>0</v>
      </c>
      <c r="AI235" s="121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383878</v>
      </c>
    </row>
    <row r="236" spans="1:41">
      <c r="A236">
        <v>201903</v>
      </c>
      <c r="B236">
        <v>25</v>
      </c>
      <c r="C236" t="s">
        <v>502</v>
      </c>
      <c r="D236">
        <v>3190490364511</v>
      </c>
      <c r="E236" t="s">
        <v>53</v>
      </c>
      <c r="F236" t="s">
        <v>662</v>
      </c>
      <c r="G236" t="s">
        <v>570</v>
      </c>
      <c r="H236" t="s">
        <v>571</v>
      </c>
      <c r="I236" t="s">
        <v>633</v>
      </c>
      <c r="J236" t="s">
        <v>633</v>
      </c>
      <c r="K236" t="s">
        <v>634</v>
      </c>
      <c r="L236" t="s">
        <v>672</v>
      </c>
      <c r="M236" t="s">
        <v>673</v>
      </c>
      <c r="N236" t="s">
        <v>934</v>
      </c>
      <c r="P236" t="s">
        <v>663</v>
      </c>
      <c r="Q236" t="s">
        <v>620</v>
      </c>
      <c r="R236" t="s">
        <v>956</v>
      </c>
      <c r="S236">
        <v>20190213</v>
      </c>
      <c r="T236" t="s">
        <v>1234</v>
      </c>
      <c r="X236">
        <v>1</v>
      </c>
      <c r="Y236">
        <v>30600</v>
      </c>
      <c r="Z236">
        <v>72165</v>
      </c>
      <c r="AA236" t="s">
        <v>577</v>
      </c>
      <c r="AB236">
        <v>20190213</v>
      </c>
      <c r="AE236">
        <f t="shared" si="3"/>
        <v>155154</v>
      </c>
      <c r="AF236">
        <v>155154</v>
      </c>
      <c r="AG236">
        <v>0</v>
      </c>
      <c r="AH236">
        <v>0</v>
      </c>
      <c r="AI236" s="121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155154</v>
      </c>
    </row>
    <row r="237" spans="1:41">
      <c r="A237">
        <v>201903</v>
      </c>
      <c r="B237">
        <v>25</v>
      </c>
      <c r="C237" t="s">
        <v>502</v>
      </c>
      <c r="D237">
        <v>3190494284241</v>
      </c>
      <c r="E237" t="s">
        <v>53</v>
      </c>
      <c r="F237" t="s">
        <v>662</v>
      </c>
      <c r="G237" t="s">
        <v>570</v>
      </c>
      <c r="H237" t="s">
        <v>571</v>
      </c>
      <c r="I237" t="s">
        <v>633</v>
      </c>
      <c r="L237" t="s">
        <v>641</v>
      </c>
      <c r="M237" t="s">
        <v>642</v>
      </c>
      <c r="N237" t="s">
        <v>921</v>
      </c>
      <c r="P237" t="s">
        <v>663</v>
      </c>
      <c r="Q237" t="s">
        <v>620</v>
      </c>
      <c r="R237" t="s">
        <v>957</v>
      </c>
      <c r="S237">
        <v>20190227</v>
      </c>
      <c r="T237" t="s">
        <v>1235</v>
      </c>
      <c r="X237">
        <v>1</v>
      </c>
      <c r="Y237">
        <v>43016</v>
      </c>
      <c r="Z237">
        <v>101518</v>
      </c>
      <c r="AA237" t="s">
        <v>577</v>
      </c>
      <c r="AB237">
        <v>20190227</v>
      </c>
      <c r="AE237">
        <f t="shared" si="3"/>
        <v>218263</v>
      </c>
      <c r="AF237">
        <v>218263</v>
      </c>
      <c r="AG237">
        <v>0</v>
      </c>
      <c r="AH237">
        <v>0</v>
      </c>
      <c r="AI237" s="121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218263</v>
      </c>
    </row>
    <row r="238" spans="1:41">
      <c r="A238">
        <v>201903</v>
      </c>
      <c r="B238">
        <v>25</v>
      </c>
      <c r="C238" t="s">
        <v>502</v>
      </c>
      <c r="D238">
        <v>3190494511831</v>
      </c>
      <c r="E238" t="s">
        <v>53</v>
      </c>
      <c r="F238" t="s">
        <v>662</v>
      </c>
      <c r="G238" t="s">
        <v>570</v>
      </c>
      <c r="H238" t="s">
        <v>571</v>
      </c>
      <c r="I238" t="s">
        <v>633</v>
      </c>
      <c r="L238" t="s">
        <v>641</v>
      </c>
      <c r="M238" t="s">
        <v>642</v>
      </c>
      <c r="N238" t="s">
        <v>921</v>
      </c>
      <c r="P238" t="s">
        <v>663</v>
      </c>
      <c r="Q238" t="s">
        <v>620</v>
      </c>
      <c r="R238" t="s">
        <v>957</v>
      </c>
      <c r="S238">
        <v>20190225</v>
      </c>
      <c r="T238" t="s">
        <v>855</v>
      </c>
      <c r="X238">
        <v>1</v>
      </c>
      <c r="Y238">
        <v>59185</v>
      </c>
      <c r="Z238">
        <v>139677</v>
      </c>
      <c r="AA238" t="s">
        <v>577</v>
      </c>
      <c r="AB238">
        <v>20190225</v>
      </c>
      <c r="AE238">
        <f t="shared" si="3"/>
        <v>300305</v>
      </c>
      <c r="AF238">
        <v>300305</v>
      </c>
      <c r="AG238">
        <v>0</v>
      </c>
      <c r="AH238">
        <v>0</v>
      </c>
      <c r="AI238" s="121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300305</v>
      </c>
    </row>
    <row r="239" spans="1:41">
      <c r="A239">
        <v>201903</v>
      </c>
      <c r="B239">
        <v>25</v>
      </c>
      <c r="C239" t="s">
        <v>502</v>
      </c>
      <c r="D239">
        <v>3190495804911</v>
      </c>
      <c r="E239" t="s">
        <v>53</v>
      </c>
      <c r="F239" t="s">
        <v>662</v>
      </c>
      <c r="G239" t="s">
        <v>570</v>
      </c>
      <c r="H239" t="s">
        <v>571</v>
      </c>
      <c r="I239" t="s">
        <v>633</v>
      </c>
      <c r="L239" t="s">
        <v>641</v>
      </c>
      <c r="M239" t="s">
        <v>642</v>
      </c>
      <c r="N239" t="s">
        <v>921</v>
      </c>
      <c r="P239" t="s">
        <v>663</v>
      </c>
      <c r="Q239" t="s">
        <v>620</v>
      </c>
      <c r="R239" t="s">
        <v>957</v>
      </c>
      <c r="S239">
        <v>20190228</v>
      </c>
      <c r="T239" t="s">
        <v>809</v>
      </c>
      <c r="X239">
        <v>1</v>
      </c>
      <c r="Y239">
        <v>79497</v>
      </c>
      <c r="Z239">
        <v>187613</v>
      </c>
      <c r="AA239" t="s">
        <v>577</v>
      </c>
      <c r="AB239">
        <v>20190228</v>
      </c>
      <c r="AE239">
        <f t="shared" si="3"/>
        <v>403367</v>
      </c>
      <c r="AF239">
        <v>403367</v>
      </c>
      <c r="AG239">
        <v>0</v>
      </c>
      <c r="AH239">
        <v>0</v>
      </c>
      <c r="AI239" s="121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403367</v>
      </c>
    </row>
    <row r="240" spans="1:41">
      <c r="A240">
        <v>201903</v>
      </c>
      <c r="B240">
        <v>25</v>
      </c>
      <c r="C240" t="s">
        <v>502</v>
      </c>
      <c r="D240">
        <v>3190432148491</v>
      </c>
      <c r="E240" t="s">
        <v>53</v>
      </c>
      <c r="F240" t="s">
        <v>569</v>
      </c>
      <c r="G240" t="s">
        <v>570</v>
      </c>
      <c r="H240" t="s">
        <v>571</v>
      </c>
      <c r="I240" t="s">
        <v>578</v>
      </c>
      <c r="J240" t="s">
        <v>578</v>
      </c>
      <c r="K240" t="s">
        <v>579</v>
      </c>
      <c r="L240" t="s">
        <v>586</v>
      </c>
      <c r="M240" t="s">
        <v>587</v>
      </c>
      <c r="N240" t="s">
        <v>1198</v>
      </c>
      <c r="P240" t="s">
        <v>575</v>
      </c>
      <c r="Q240" t="s">
        <v>620</v>
      </c>
      <c r="R240" t="s">
        <v>961</v>
      </c>
      <c r="S240">
        <v>20180626</v>
      </c>
      <c r="T240" t="s">
        <v>1109</v>
      </c>
      <c r="X240">
        <v>9</v>
      </c>
      <c r="Y240">
        <v>21000</v>
      </c>
      <c r="AA240" t="s">
        <v>577</v>
      </c>
      <c r="AB240">
        <v>20190225</v>
      </c>
      <c r="AE240">
        <f t="shared" si="3"/>
        <v>17052</v>
      </c>
      <c r="AF240">
        <v>0</v>
      </c>
      <c r="AG240">
        <v>17052</v>
      </c>
      <c r="AH240">
        <v>0</v>
      </c>
      <c r="AI240" s="121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17052</v>
      </c>
    </row>
    <row r="241" spans="1:41">
      <c r="A241">
        <v>201903</v>
      </c>
      <c r="B241">
        <v>25</v>
      </c>
      <c r="C241" t="s">
        <v>502</v>
      </c>
      <c r="D241">
        <v>3190432340801</v>
      </c>
      <c r="E241" t="s">
        <v>53</v>
      </c>
      <c r="F241" t="s">
        <v>569</v>
      </c>
      <c r="G241" t="s">
        <v>570</v>
      </c>
      <c r="H241" t="s">
        <v>571</v>
      </c>
      <c r="I241" t="s">
        <v>621</v>
      </c>
      <c r="J241" t="s">
        <v>621</v>
      </c>
      <c r="K241" t="s">
        <v>622</v>
      </c>
      <c r="L241" t="s">
        <v>629</v>
      </c>
      <c r="M241" t="s">
        <v>630</v>
      </c>
      <c r="N241" t="s">
        <v>904</v>
      </c>
      <c r="P241" t="s">
        <v>575</v>
      </c>
      <c r="Q241" t="s">
        <v>620</v>
      </c>
      <c r="R241" t="s">
        <v>1001</v>
      </c>
      <c r="S241">
        <v>20180626</v>
      </c>
      <c r="T241" t="s">
        <v>947</v>
      </c>
      <c r="X241">
        <v>8</v>
      </c>
      <c r="Y241">
        <v>143000</v>
      </c>
      <c r="AA241" t="s">
        <v>577</v>
      </c>
      <c r="AB241">
        <v>20190213</v>
      </c>
      <c r="AE241">
        <f t="shared" si="3"/>
        <v>120620</v>
      </c>
      <c r="AF241">
        <v>0</v>
      </c>
      <c r="AG241">
        <v>120620</v>
      </c>
      <c r="AH241">
        <v>0</v>
      </c>
      <c r="AI241" s="12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120620</v>
      </c>
    </row>
    <row r="242" spans="1:41">
      <c r="A242">
        <v>201903</v>
      </c>
      <c r="B242">
        <v>25</v>
      </c>
      <c r="C242" t="s">
        <v>502</v>
      </c>
      <c r="D242">
        <v>3190433732071</v>
      </c>
      <c r="E242" t="s">
        <v>53</v>
      </c>
      <c r="F242" t="s">
        <v>569</v>
      </c>
      <c r="G242" t="s">
        <v>570</v>
      </c>
      <c r="H242" t="s">
        <v>571</v>
      </c>
      <c r="I242" t="s">
        <v>578</v>
      </c>
      <c r="J242" t="s">
        <v>578</v>
      </c>
      <c r="K242" t="s">
        <v>579</v>
      </c>
      <c r="L242" t="s">
        <v>586</v>
      </c>
      <c r="M242" t="s">
        <v>587</v>
      </c>
      <c r="N242" t="s">
        <v>1198</v>
      </c>
      <c r="P242" t="s">
        <v>575</v>
      </c>
      <c r="Q242" t="s">
        <v>620</v>
      </c>
      <c r="R242" t="s">
        <v>961</v>
      </c>
      <c r="S242">
        <v>20180703</v>
      </c>
      <c r="T242" t="s">
        <v>794</v>
      </c>
      <c r="X242">
        <v>6</v>
      </c>
      <c r="Y242">
        <v>22000</v>
      </c>
      <c r="AA242" t="s">
        <v>577</v>
      </c>
      <c r="AB242">
        <v>20190226</v>
      </c>
      <c r="AE242">
        <f t="shared" si="3"/>
        <v>0</v>
      </c>
      <c r="AF242">
        <v>0</v>
      </c>
      <c r="AG242">
        <v>0</v>
      </c>
      <c r="AH242">
        <v>0</v>
      </c>
      <c r="AI242" s="121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</row>
    <row r="243" spans="1:41">
      <c r="A243">
        <v>201903</v>
      </c>
      <c r="B243">
        <v>25</v>
      </c>
      <c r="C243" t="s">
        <v>502</v>
      </c>
      <c r="D243">
        <v>3190433777151</v>
      </c>
      <c r="E243" t="s">
        <v>53</v>
      </c>
      <c r="F243" t="s">
        <v>569</v>
      </c>
      <c r="G243" t="s">
        <v>570</v>
      </c>
      <c r="H243" t="s">
        <v>571</v>
      </c>
      <c r="I243" t="s">
        <v>578</v>
      </c>
      <c r="J243" t="s">
        <v>578</v>
      </c>
      <c r="K243" t="s">
        <v>579</v>
      </c>
      <c r="L243" t="s">
        <v>586</v>
      </c>
      <c r="M243" t="s">
        <v>587</v>
      </c>
      <c r="N243" t="s">
        <v>1198</v>
      </c>
      <c r="P243" t="s">
        <v>575</v>
      </c>
      <c r="Q243" t="s">
        <v>620</v>
      </c>
      <c r="R243" t="s">
        <v>961</v>
      </c>
      <c r="S243">
        <v>20180703</v>
      </c>
      <c r="T243" t="s">
        <v>1109</v>
      </c>
      <c r="X243">
        <v>8</v>
      </c>
      <c r="Y243">
        <v>24000</v>
      </c>
      <c r="AA243" t="s">
        <v>577</v>
      </c>
      <c r="AB243">
        <v>20190227</v>
      </c>
      <c r="AE243">
        <f t="shared" si="3"/>
        <v>38976</v>
      </c>
      <c r="AF243">
        <v>0</v>
      </c>
      <c r="AG243">
        <v>38976</v>
      </c>
      <c r="AH243">
        <v>0</v>
      </c>
      <c r="AI243" s="121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38976</v>
      </c>
    </row>
    <row r="244" spans="1:41">
      <c r="A244">
        <v>201903</v>
      </c>
      <c r="B244">
        <v>25</v>
      </c>
      <c r="C244" t="s">
        <v>502</v>
      </c>
      <c r="D244">
        <v>3190433899871</v>
      </c>
      <c r="E244" t="s">
        <v>53</v>
      </c>
      <c r="F244" t="s">
        <v>569</v>
      </c>
      <c r="G244" t="s">
        <v>570</v>
      </c>
      <c r="H244" t="s">
        <v>571</v>
      </c>
      <c r="I244" t="s">
        <v>674</v>
      </c>
      <c r="J244" t="s">
        <v>674</v>
      </c>
      <c r="K244" t="s">
        <v>675</v>
      </c>
      <c r="L244" t="s">
        <v>489</v>
      </c>
      <c r="M244" t="s">
        <v>488</v>
      </c>
      <c r="N244" t="s">
        <v>902</v>
      </c>
      <c r="P244" t="s">
        <v>575</v>
      </c>
      <c r="Q244" t="s">
        <v>620</v>
      </c>
      <c r="R244" t="s">
        <v>951</v>
      </c>
      <c r="S244">
        <v>20180703</v>
      </c>
      <c r="T244" t="s">
        <v>883</v>
      </c>
      <c r="X244">
        <v>8</v>
      </c>
      <c r="Y244">
        <v>30000</v>
      </c>
      <c r="AA244" t="s">
        <v>577</v>
      </c>
      <c r="AB244">
        <v>20190225</v>
      </c>
      <c r="AE244">
        <f t="shared" si="3"/>
        <v>21210</v>
      </c>
      <c r="AF244">
        <v>0</v>
      </c>
      <c r="AG244">
        <v>21210</v>
      </c>
      <c r="AH244">
        <v>0</v>
      </c>
      <c r="AI244" s="121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21210</v>
      </c>
    </row>
    <row r="245" spans="1:41">
      <c r="A245">
        <v>201903</v>
      </c>
      <c r="B245">
        <v>25</v>
      </c>
      <c r="C245" t="s">
        <v>502</v>
      </c>
      <c r="D245">
        <v>3190433949111</v>
      </c>
      <c r="E245" t="s">
        <v>53</v>
      </c>
      <c r="F245" t="s">
        <v>569</v>
      </c>
      <c r="G245" t="s">
        <v>570</v>
      </c>
      <c r="H245" t="s">
        <v>571</v>
      </c>
      <c r="I245" t="s">
        <v>674</v>
      </c>
      <c r="J245" t="s">
        <v>674</v>
      </c>
      <c r="K245" t="s">
        <v>675</v>
      </c>
      <c r="L245" t="s">
        <v>489</v>
      </c>
      <c r="M245" t="s">
        <v>488</v>
      </c>
      <c r="N245" t="s">
        <v>902</v>
      </c>
      <c r="P245" t="s">
        <v>575</v>
      </c>
      <c r="Q245" t="s">
        <v>620</v>
      </c>
      <c r="R245" t="s">
        <v>951</v>
      </c>
      <c r="S245">
        <v>20180703</v>
      </c>
      <c r="T245" t="s">
        <v>834</v>
      </c>
      <c r="X245">
        <v>8</v>
      </c>
      <c r="Y245">
        <v>50000</v>
      </c>
      <c r="AA245" t="s">
        <v>577</v>
      </c>
      <c r="AB245">
        <v>20190225</v>
      </c>
      <c r="AE245">
        <f t="shared" si="3"/>
        <v>35350</v>
      </c>
      <c r="AF245">
        <v>0</v>
      </c>
      <c r="AG245">
        <v>35350</v>
      </c>
      <c r="AH245">
        <v>0</v>
      </c>
      <c r="AI245" s="121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35350</v>
      </c>
    </row>
    <row r="246" spans="1:41">
      <c r="A246">
        <v>201903</v>
      </c>
      <c r="B246">
        <v>25</v>
      </c>
      <c r="C246" t="s">
        <v>502</v>
      </c>
      <c r="D246">
        <v>3190435387371</v>
      </c>
      <c r="E246" t="s">
        <v>53</v>
      </c>
      <c r="F246" t="s">
        <v>569</v>
      </c>
      <c r="G246" t="s">
        <v>570</v>
      </c>
      <c r="H246" t="s">
        <v>571</v>
      </c>
      <c r="I246" t="s">
        <v>674</v>
      </c>
      <c r="J246" t="s">
        <v>674</v>
      </c>
      <c r="K246" t="s">
        <v>675</v>
      </c>
      <c r="L246" t="s">
        <v>489</v>
      </c>
      <c r="M246" t="s">
        <v>488</v>
      </c>
      <c r="N246" t="s">
        <v>902</v>
      </c>
      <c r="P246" t="s">
        <v>575</v>
      </c>
      <c r="Q246" t="s">
        <v>620</v>
      </c>
      <c r="R246" t="s">
        <v>951</v>
      </c>
      <c r="S246">
        <v>20180711</v>
      </c>
      <c r="T246" t="s">
        <v>794</v>
      </c>
      <c r="X246">
        <v>8</v>
      </c>
      <c r="Y246">
        <v>30000</v>
      </c>
      <c r="AA246" t="s">
        <v>577</v>
      </c>
      <c r="AB246">
        <v>20190220</v>
      </c>
      <c r="AE246">
        <f t="shared" si="3"/>
        <v>21210</v>
      </c>
      <c r="AF246">
        <v>0</v>
      </c>
      <c r="AG246">
        <v>21210</v>
      </c>
      <c r="AH246">
        <v>0</v>
      </c>
      <c r="AI246" s="121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21210</v>
      </c>
    </row>
    <row r="247" spans="1:41">
      <c r="A247">
        <v>201903</v>
      </c>
      <c r="B247">
        <v>25</v>
      </c>
      <c r="C247" t="s">
        <v>502</v>
      </c>
      <c r="D247">
        <v>3190437710681</v>
      </c>
      <c r="E247" t="s">
        <v>53</v>
      </c>
      <c r="F247" t="s">
        <v>569</v>
      </c>
      <c r="G247" t="s">
        <v>570</v>
      </c>
      <c r="H247" t="s">
        <v>571</v>
      </c>
      <c r="I247" t="s">
        <v>674</v>
      </c>
      <c r="L247" t="s">
        <v>491</v>
      </c>
      <c r="M247" t="s">
        <v>490</v>
      </c>
      <c r="N247" t="s">
        <v>907</v>
      </c>
      <c r="P247" t="s">
        <v>575</v>
      </c>
      <c r="Q247" t="s">
        <v>620</v>
      </c>
      <c r="R247" t="s">
        <v>952</v>
      </c>
      <c r="S247">
        <v>20180720</v>
      </c>
      <c r="T247" t="s">
        <v>964</v>
      </c>
      <c r="X247">
        <v>8</v>
      </c>
      <c r="Y247">
        <v>85944</v>
      </c>
      <c r="AA247" t="s">
        <v>577</v>
      </c>
      <c r="AB247">
        <v>20190215</v>
      </c>
      <c r="AE247">
        <f t="shared" si="3"/>
        <v>70989</v>
      </c>
      <c r="AF247">
        <v>0</v>
      </c>
      <c r="AG247">
        <v>70989</v>
      </c>
      <c r="AH247">
        <v>0</v>
      </c>
      <c r="AI247" s="121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70989</v>
      </c>
    </row>
    <row r="248" spans="1:41">
      <c r="A248">
        <v>201903</v>
      </c>
      <c r="B248">
        <v>25</v>
      </c>
      <c r="C248" t="s">
        <v>502</v>
      </c>
      <c r="D248">
        <v>3190438980351</v>
      </c>
      <c r="E248" t="s">
        <v>53</v>
      </c>
      <c r="F248" t="s">
        <v>569</v>
      </c>
      <c r="G248" t="s">
        <v>570</v>
      </c>
      <c r="H248" t="s">
        <v>571</v>
      </c>
      <c r="I248" t="s">
        <v>674</v>
      </c>
      <c r="J248" t="s">
        <v>674</v>
      </c>
      <c r="K248" t="s">
        <v>675</v>
      </c>
      <c r="L248" t="s">
        <v>489</v>
      </c>
      <c r="M248" t="s">
        <v>488</v>
      </c>
      <c r="N248" t="s">
        <v>902</v>
      </c>
      <c r="P248" t="s">
        <v>575</v>
      </c>
      <c r="Q248" t="s">
        <v>620</v>
      </c>
      <c r="R248" t="s">
        <v>951</v>
      </c>
      <c r="S248">
        <v>20180727</v>
      </c>
      <c r="T248" t="s">
        <v>1094</v>
      </c>
      <c r="X248">
        <v>8</v>
      </c>
      <c r="Y248">
        <v>63000</v>
      </c>
      <c r="AA248" t="s">
        <v>577</v>
      </c>
      <c r="AB248">
        <v>20190220</v>
      </c>
      <c r="AE248">
        <f t="shared" si="3"/>
        <v>44541</v>
      </c>
      <c r="AF248">
        <v>0</v>
      </c>
      <c r="AG248">
        <v>44541</v>
      </c>
      <c r="AH248">
        <v>0</v>
      </c>
      <c r="AI248" s="121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44541</v>
      </c>
    </row>
    <row r="249" spans="1:41">
      <c r="A249">
        <v>201903</v>
      </c>
      <c r="B249">
        <v>25</v>
      </c>
      <c r="C249" t="s">
        <v>502</v>
      </c>
      <c r="D249">
        <v>3190442077991</v>
      </c>
      <c r="E249" t="s">
        <v>53</v>
      </c>
      <c r="F249" t="s">
        <v>569</v>
      </c>
      <c r="G249" t="s">
        <v>570</v>
      </c>
      <c r="H249" t="s">
        <v>571</v>
      </c>
      <c r="I249" t="s">
        <v>578</v>
      </c>
      <c r="L249" t="s">
        <v>572</v>
      </c>
      <c r="M249" t="s">
        <v>573</v>
      </c>
      <c r="N249" t="s">
        <v>958</v>
      </c>
      <c r="P249" t="s">
        <v>575</v>
      </c>
      <c r="Q249" t="s">
        <v>620</v>
      </c>
      <c r="R249" t="s">
        <v>951</v>
      </c>
      <c r="S249">
        <v>20180814</v>
      </c>
      <c r="T249" t="s">
        <v>810</v>
      </c>
      <c r="X249">
        <v>7</v>
      </c>
      <c r="Y249">
        <v>35000</v>
      </c>
      <c r="AA249" t="s">
        <v>577</v>
      </c>
      <c r="AB249">
        <v>20190220</v>
      </c>
      <c r="AE249">
        <f t="shared" si="3"/>
        <v>24745</v>
      </c>
      <c r="AF249">
        <v>0</v>
      </c>
      <c r="AG249">
        <v>24745</v>
      </c>
      <c r="AH249">
        <v>0</v>
      </c>
      <c r="AI249" s="121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24745</v>
      </c>
    </row>
    <row r="250" spans="1:41">
      <c r="A250">
        <v>201903</v>
      </c>
      <c r="B250">
        <v>25</v>
      </c>
      <c r="C250" t="s">
        <v>502</v>
      </c>
      <c r="D250">
        <v>3190442507581</v>
      </c>
      <c r="E250" t="s">
        <v>53</v>
      </c>
      <c r="F250" t="s">
        <v>569</v>
      </c>
      <c r="G250" t="s">
        <v>570</v>
      </c>
      <c r="H250" t="s">
        <v>571</v>
      </c>
      <c r="I250" t="s">
        <v>633</v>
      </c>
      <c r="J250" t="s">
        <v>633</v>
      </c>
      <c r="K250" t="s">
        <v>634</v>
      </c>
      <c r="L250" t="s">
        <v>637</v>
      </c>
      <c r="M250" t="s">
        <v>638</v>
      </c>
      <c r="N250" t="s">
        <v>972</v>
      </c>
      <c r="P250" t="s">
        <v>575</v>
      </c>
      <c r="Q250" t="s">
        <v>620</v>
      </c>
      <c r="R250" t="s">
        <v>973</v>
      </c>
      <c r="S250">
        <v>20180817</v>
      </c>
      <c r="T250" t="s">
        <v>671</v>
      </c>
      <c r="V250">
        <v>0</v>
      </c>
      <c r="W250">
        <v>0</v>
      </c>
      <c r="X250">
        <v>7</v>
      </c>
      <c r="Y250">
        <v>64493</v>
      </c>
      <c r="AA250" t="s">
        <v>577</v>
      </c>
      <c r="AB250">
        <v>20190228</v>
      </c>
      <c r="AE250">
        <f t="shared" si="3"/>
        <v>47853</v>
      </c>
      <c r="AF250">
        <v>0</v>
      </c>
      <c r="AG250">
        <v>47853</v>
      </c>
      <c r="AH250">
        <v>0</v>
      </c>
      <c r="AI250" s="121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47853</v>
      </c>
    </row>
    <row r="251" spans="1:41">
      <c r="A251">
        <v>201903</v>
      </c>
      <c r="B251">
        <v>25</v>
      </c>
      <c r="C251" t="s">
        <v>502</v>
      </c>
      <c r="D251">
        <v>3190444115361</v>
      </c>
      <c r="E251" t="s">
        <v>53</v>
      </c>
      <c r="F251" t="s">
        <v>569</v>
      </c>
      <c r="G251" t="s">
        <v>570</v>
      </c>
      <c r="H251" t="s">
        <v>571</v>
      </c>
      <c r="I251" t="s">
        <v>578</v>
      </c>
      <c r="J251" t="s">
        <v>578</v>
      </c>
      <c r="K251" t="s">
        <v>579</v>
      </c>
      <c r="L251" t="s">
        <v>609</v>
      </c>
      <c r="M251" t="s">
        <v>610</v>
      </c>
      <c r="N251" t="s">
        <v>945</v>
      </c>
      <c r="P251" t="s">
        <v>575</v>
      </c>
      <c r="Q251" t="s">
        <v>620</v>
      </c>
      <c r="R251" t="s">
        <v>951</v>
      </c>
      <c r="S251">
        <v>20180824</v>
      </c>
      <c r="T251" t="s">
        <v>815</v>
      </c>
      <c r="X251">
        <v>7</v>
      </c>
      <c r="Y251">
        <v>54000</v>
      </c>
      <c r="AA251" t="s">
        <v>577</v>
      </c>
      <c r="AB251">
        <v>20190225</v>
      </c>
      <c r="AE251">
        <f t="shared" si="3"/>
        <v>38178</v>
      </c>
      <c r="AF251">
        <v>0</v>
      </c>
      <c r="AG251">
        <v>38178</v>
      </c>
      <c r="AH251">
        <v>0</v>
      </c>
      <c r="AI251" s="12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38178</v>
      </c>
    </row>
    <row r="252" spans="1:41">
      <c r="A252">
        <v>201903</v>
      </c>
      <c r="B252">
        <v>25</v>
      </c>
      <c r="C252" t="s">
        <v>502</v>
      </c>
      <c r="D252">
        <v>3190444471911</v>
      </c>
      <c r="E252" t="s">
        <v>53</v>
      </c>
      <c r="F252" t="s">
        <v>569</v>
      </c>
      <c r="G252" t="s">
        <v>570</v>
      </c>
      <c r="H252" t="s">
        <v>571</v>
      </c>
      <c r="I252" t="s">
        <v>578</v>
      </c>
      <c r="J252" t="s">
        <v>578</v>
      </c>
      <c r="K252" t="s">
        <v>579</v>
      </c>
      <c r="L252" t="s">
        <v>583</v>
      </c>
      <c r="M252" t="s">
        <v>584</v>
      </c>
      <c r="N252" t="s">
        <v>1042</v>
      </c>
      <c r="P252" t="s">
        <v>575</v>
      </c>
      <c r="Q252" t="s">
        <v>620</v>
      </c>
      <c r="R252" t="s">
        <v>961</v>
      </c>
      <c r="S252">
        <v>20180824</v>
      </c>
      <c r="T252" t="s">
        <v>1202</v>
      </c>
      <c r="X252">
        <v>7</v>
      </c>
      <c r="Y252">
        <v>24000</v>
      </c>
      <c r="AA252" t="s">
        <v>577</v>
      </c>
      <c r="AB252">
        <v>20190225</v>
      </c>
      <c r="AE252">
        <f t="shared" si="3"/>
        <v>19488</v>
      </c>
      <c r="AF252">
        <v>0</v>
      </c>
      <c r="AG252">
        <v>19488</v>
      </c>
      <c r="AH252">
        <v>0</v>
      </c>
      <c r="AI252" s="121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19488</v>
      </c>
    </row>
    <row r="253" spans="1:41">
      <c r="A253">
        <v>201903</v>
      </c>
      <c r="B253">
        <v>25</v>
      </c>
      <c r="C253" t="s">
        <v>502</v>
      </c>
      <c r="D253">
        <v>3190444483031</v>
      </c>
      <c r="E253" t="s">
        <v>53</v>
      </c>
      <c r="F253" t="s">
        <v>569</v>
      </c>
      <c r="G253" t="s">
        <v>570</v>
      </c>
      <c r="H253" t="s">
        <v>571</v>
      </c>
      <c r="I253" t="s">
        <v>578</v>
      </c>
      <c r="J253" t="s">
        <v>578</v>
      </c>
      <c r="K253" t="s">
        <v>579</v>
      </c>
      <c r="L253" t="s">
        <v>611</v>
      </c>
      <c r="M253" t="s">
        <v>612</v>
      </c>
      <c r="N253" t="s">
        <v>979</v>
      </c>
      <c r="P253" t="s">
        <v>575</v>
      </c>
      <c r="Q253" t="s">
        <v>620</v>
      </c>
      <c r="R253" t="s">
        <v>961</v>
      </c>
      <c r="S253">
        <v>20180824</v>
      </c>
      <c r="T253" t="s">
        <v>1053</v>
      </c>
      <c r="X253">
        <v>7</v>
      </c>
      <c r="Y253">
        <v>29399</v>
      </c>
      <c r="AA253" t="s">
        <v>577</v>
      </c>
      <c r="AB253">
        <v>20190228</v>
      </c>
      <c r="AE253">
        <f t="shared" si="3"/>
        <v>23872</v>
      </c>
      <c r="AF253">
        <v>0</v>
      </c>
      <c r="AG253">
        <v>23872</v>
      </c>
      <c r="AH253">
        <v>0</v>
      </c>
      <c r="AI253" s="121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23872</v>
      </c>
    </row>
    <row r="254" spans="1:41">
      <c r="A254">
        <v>201903</v>
      </c>
      <c r="B254">
        <v>25</v>
      </c>
      <c r="C254" t="s">
        <v>502</v>
      </c>
      <c r="D254">
        <v>3190444490531</v>
      </c>
      <c r="E254" t="s">
        <v>53</v>
      </c>
      <c r="F254" t="s">
        <v>569</v>
      </c>
      <c r="G254" t="s">
        <v>570</v>
      </c>
      <c r="H254" t="s">
        <v>571</v>
      </c>
      <c r="I254" t="s">
        <v>674</v>
      </c>
      <c r="J254" t="s">
        <v>674</v>
      </c>
      <c r="K254" t="s">
        <v>675</v>
      </c>
      <c r="L254" t="s">
        <v>489</v>
      </c>
      <c r="M254" t="s">
        <v>488</v>
      </c>
      <c r="N254" t="s">
        <v>902</v>
      </c>
      <c r="P254" t="s">
        <v>575</v>
      </c>
      <c r="Q254" t="s">
        <v>620</v>
      </c>
      <c r="R254" t="s">
        <v>961</v>
      </c>
      <c r="S254">
        <v>20180824</v>
      </c>
      <c r="T254" t="s">
        <v>815</v>
      </c>
      <c r="X254">
        <v>7</v>
      </c>
      <c r="Y254">
        <v>19000</v>
      </c>
      <c r="AA254" t="s">
        <v>577</v>
      </c>
      <c r="AB254">
        <v>20190228</v>
      </c>
      <c r="AE254">
        <f t="shared" si="3"/>
        <v>15428</v>
      </c>
      <c r="AF254">
        <v>0</v>
      </c>
      <c r="AG254">
        <v>15428</v>
      </c>
      <c r="AH254">
        <v>0</v>
      </c>
      <c r="AI254" s="121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15428</v>
      </c>
    </row>
    <row r="255" spans="1:41">
      <c r="A255">
        <v>201903</v>
      </c>
      <c r="B255">
        <v>25</v>
      </c>
      <c r="C255" t="s">
        <v>502</v>
      </c>
      <c r="D255">
        <v>3190444561001</v>
      </c>
      <c r="E255" t="s">
        <v>53</v>
      </c>
      <c r="F255" t="s">
        <v>569</v>
      </c>
      <c r="G255" t="s">
        <v>570</v>
      </c>
      <c r="H255" t="s">
        <v>571</v>
      </c>
      <c r="I255" t="s">
        <v>674</v>
      </c>
      <c r="J255" t="s">
        <v>674</v>
      </c>
      <c r="K255" t="s">
        <v>675</v>
      </c>
      <c r="L255" t="s">
        <v>489</v>
      </c>
      <c r="M255" t="s">
        <v>488</v>
      </c>
      <c r="N255" t="s">
        <v>902</v>
      </c>
      <c r="P255" t="s">
        <v>575</v>
      </c>
      <c r="Q255" t="s">
        <v>620</v>
      </c>
      <c r="R255" t="s">
        <v>961</v>
      </c>
      <c r="S255">
        <v>20180824</v>
      </c>
      <c r="T255" t="s">
        <v>804</v>
      </c>
      <c r="X255">
        <v>7</v>
      </c>
      <c r="Y255">
        <v>27000</v>
      </c>
      <c r="AA255" t="s">
        <v>577</v>
      </c>
      <c r="AB255">
        <v>20190228</v>
      </c>
      <c r="AE255">
        <f t="shared" si="3"/>
        <v>21924</v>
      </c>
      <c r="AF255">
        <v>0</v>
      </c>
      <c r="AG255">
        <v>21924</v>
      </c>
      <c r="AH255">
        <v>0</v>
      </c>
      <c r="AI255" s="121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21924</v>
      </c>
    </row>
    <row r="256" spans="1:41">
      <c r="A256">
        <v>201903</v>
      </c>
      <c r="B256">
        <v>25</v>
      </c>
      <c r="C256" t="s">
        <v>502</v>
      </c>
      <c r="D256">
        <v>3190445253501</v>
      </c>
      <c r="E256" t="s">
        <v>53</v>
      </c>
      <c r="F256" t="s">
        <v>569</v>
      </c>
      <c r="G256" t="s">
        <v>570</v>
      </c>
      <c r="H256" t="s">
        <v>571</v>
      </c>
      <c r="I256" t="s">
        <v>728</v>
      </c>
      <c r="J256" t="s">
        <v>728</v>
      </c>
      <c r="K256" t="s">
        <v>729</v>
      </c>
      <c r="L256" t="s">
        <v>734</v>
      </c>
      <c r="M256" t="s">
        <v>735</v>
      </c>
      <c r="N256" t="s">
        <v>1222</v>
      </c>
      <c r="P256" t="s">
        <v>575</v>
      </c>
      <c r="Q256" t="s">
        <v>620</v>
      </c>
      <c r="R256" t="s">
        <v>951</v>
      </c>
      <c r="S256">
        <v>20180829</v>
      </c>
      <c r="T256" t="s">
        <v>871</v>
      </c>
      <c r="X256">
        <v>7</v>
      </c>
      <c r="Y256">
        <v>53000</v>
      </c>
      <c r="AA256" t="s">
        <v>577</v>
      </c>
      <c r="AB256">
        <v>20190225</v>
      </c>
      <c r="AE256">
        <f t="shared" si="3"/>
        <v>37471</v>
      </c>
      <c r="AF256">
        <v>0</v>
      </c>
      <c r="AG256">
        <v>37471</v>
      </c>
      <c r="AH256">
        <v>0</v>
      </c>
      <c r="AI256" s="121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37471</v>
      </c>
    </row>
    <row r="257" spans="1:41">
      <c r="A257">
        <v>201903</v>
      </c>
      <c r="B257">
        <v>25</v>
      </c>
      <c r="C257" t="s">
        <v>502</v>
      </c>
      <c r="D257">
        <v>3190445922981</v>
      </c>
      <c r="E257" t="s">
        <v>53</v>
      </c>
      <c r="F257" t="s">
        <v>569</v>
      </c>
      <c r="G257" t="s">
        <v>570</v>
      </c>
      <c r="H257" t="s">
        <v>571</v>
      </c>
      <c r="I257" t="s">
        <v>621</v>
      </c>
      <c r="J257" t="s">
        <v>621</v>
      </c>
      <c r="K257" t="s">
        <v>622</v>
      </c>
      <c r="L257" t="s">
        <v>629</v>
      </c>
      <c r="M257" t="s">
        <v>630</v>
      </c>
      <c r="N257" t="s">
        <v>904</v>
      </c>
      <c r="P257" t="s">
        <v>575</v>
      </c>
      <c r="Q257" t="s">
        <v>620</v>
      </c>
      <c r="R257" t="s">
        <v>952</v>
      </c>
      <c r="S257">
        <v>20180831</v>
      </c>
      <c r="T257" t="s">
        <v>856</v>
      </c>
      <c r="X257">
        <v>7</v>
      </c>
      <c r="Y257">
        <v>36705</v>
      </c>
      <c r="AA257" t="s">
        <v>577</v>
      </c>
      <c r="AB257">
        <v>20190220</v>
      </c>
      <c r="AE257">
        <f t="shared" si="3"/>
        <v>30318</v>
      </c>
      <c r="AF257">
        <v>0</v>
      </c>
      <c r="AG257">
        <v>30318</v>
      </c>
      <c r="AH257">
        <v>0</v>
      </c>
      <c r="AI257" s="121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30318</v>
      </c>
    </row>
    <row r="258" spans="1:41">
      <c r="A258">
        <v>201903</v>
      </c>
      <c r="B258">
        <v>25</v>
      </c>
      <c r="C258" t="s">
        <v>502</v>
      </c>
      <c r="D258">
        <v>3190446096011</v>
      </c>
      <c r="E258" t="s">
        <v>53</v>
      </c>
      <c r="F258" t="s">
        <v>569</v>
      </c>
      <c r="G258" t="s">
        <v>570</v>
      </c>
      <c r="H258" t="s">
        <v>571</v>
      </c>
      <c r="I258" t="s">
        <v>646</v>
      </c>
      <c r="L258" t="s">
        <v>677</v>
      </c>
      <c r="M258" t="s">
        <v>678</v>
      </c>
      <c r="N258" t="s">
        <v>938</v>
      </c>
      <c r="P258" t="s">
        <v>575</v>
      </c>
      <c r="Q258" t="s">
        <v>620</v>
      </c>
      <c r="R258" t="s">
        <v>961</v>
      </c>
      <c r="S258">
        <v>20180911</v>
      </c>
      <c r="T258" t="s">
        <v>1121</v>
      </c>
      <c r="X258">
        <v>6</v>
      </c>
      <c r="Y258">
        <v>18423</v>
      </c>
      <c r="AA258" t="s">
        <v>577</v>
      </c>
      <c r="AB258">
        <v>20190220</v>
      </c>
      <c r="AE258">
        <f t="shared" si="3"/>
        <v>0</v>
      </c>
      <c r="AF258">
        <v>0</v>
      </c>
      <c r="AG258">
        <v>0</v>
      </c>
      <c r="AH258">
        <v>0</v>
      </c>
      <c r="AI258" s="121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</row>
    <row r="259" spans="1:41">
      <c r="A259">
        <v>201903</v>
      </c>
      <c r="B259">
        <v>25</v>
      </c>
      <c r="C259" t="s">
        <v>502</v>
      </c>
      <c r="D259">
        <v>3190446373411</v>
      </c>
      <c r="E259" t="s">
        <v>53</v>
      </c>
      <c r="F259" t="s">
        <v>569</v>
      </c>
      <c r="G259" t="s">
        <v>570</v>
      </c>
      <c r="H259" t="s">
        <v>571</v>
      </c>
      <c r="I259" t="s">
        <v>578</v>
      </c>
      <c r="J259" t="s">
        <v>578</v>
      </c>
      <c r="K259" t="s">
        <v>579</v>
      </c>
      <c r="L259" t="s">
        <v>658</v>
      </c>
      <c r="M259" t="s">
        <v>659</v>
      </c>
      <c r="N259" t="s">
        <v>1006</v>
      </c>
      <c r="P259" t="s">
        <v>575</v>
      </c>
      <c r="Q259" t="s">
        <v>699</v>
      </c>
      <c r="R259" t="s">
        <v>974</v>
      </c>
      <c r="S259">
        <v>20180910</v>
      </c>
      <c r="T259" t="s">
        <v>820</v>
      </c>
      <c r="X259">
        <v>6</v>
      </c>
      <c r="Y259">
        <v>20000</v>
      </c>
      <c r="AA259" t="s">
        <v>577</v>
      </c>
      <c r="AB259">
        <v>20190220</v>
      </c>
      <c r="AE259">
        <f t="shared" ref="AE259:AE322" si="4">AO259-AI259</f>
        <v>0</v>
      </c>
      <c r="AF259">
        <v>0</v>
      </c>
      <c r="AG259">
        <v>0</v>
      </c>
      <c r="AH259">
        <v>0</v>
      </c>
      <c r="AI259" s="121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</row>
    <row r="260" spans="1:41">
      <c r="A260">
        <v>201903</v>
      </c>
      <c r="B260">
        <v>25</v>
      </c>
      <c r="C260" t="s">
        <v>502</v>
      </c>
      <c r="D260">
        <v>3190050952921</v>
      </c>
      <c r="E260" t="s">
        <v>53</v>
      </c>
      <c r="F260" t="s">
        <v>569</v>
      </c>
      <c r="G260" t="s">
        <v>570</v>
      </c>
      <c r="H260" t="s">
        <v>571</v>
      </c>
      <c r="I260" t="s">
        <v>618</v>
      </c>
      <c r="J260" t="s">
        <v>618</v>
      </c>
      <c r="L260" t="s">
        <v>649</v>
      </c>
      <c r="M260" t="s">
        <v>650</v>
      </c>
      <c r="N260" t="s">
        <v>1220</v>
      </c>
      <c r="P260" t="s">
        <v>575</v>
      </c>
      <c r="Q260" t="s">
        <v>711</v>
      </c>
      <c r="R260" t="s">
        <v>1221</v>
      </c>
      <c r="S260">
        <v>20160819</v>
      </c>
      <c r="T260" t="s">
        <v>848</v>
      </c>
      <c r="X260">
        <v>31</v>
      </c>
      <c r="Y260">
        <v>300000</v>
      </c>
      <c r="AA260" t="s">
        <v>577</v>
      </c>
      <c r="AB260">
        <v>20190225</v>
      </c>
      <c r="AE260">
        <f t="shared" si="4"/>
        <v>0</v>
      </c>
      <c r="AF260">
        <v>0</v>
      </c>
      <c r="AG260">
        <v>0</v>
      </c>
      <c r="AH260">
        <v>0</v>
      </c>
      <c r="AI260" s="121">
        <v>450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450</v>
      </c>
    </row>
    <row r="261" spans="1:41">
      <c r="A261">
        <v>201903</v>
      </c>
      <c r="B261">
        <v>25</v>
      </c>
      <c r="C261" t="s">
        <v>502</v>
      </c>
      <c r="D261">
        <v>3190051621381</v>
      </c>
      <c r="E261" t="s">
        <v>53</v>
      </c>
      <c r="F261" t="s">
        <v>569</v>
      </c>
      <c r="G261" t="s">
        <v>570</v>
      </c>
      <c r="H261" t="s">
        <v>571</v>
      </c>
      <c r="I261" t="s">
        <v>674</v>
      </c>
      <c r="J261" t="s">
        <v>674</v>
      </c>
      <c r="K261" t="s">
        <v>675</v>
      </c>
      <c r="L261" t="s">
        <v>489</v>
      </c>
      <c r="M261" t="s">
        <v>488</v>
      </c>
      <c r="N261" t="s">
        <v>902</v>
      </c>
      <c r="P261" t="s">
        <v>575</v>
      </c>
      <c r="Q261" t="s">
        <v>620</v>
      </c>
      <c r="R261" t="s">
        <v>1009</v>
      </c>
      <c r="S261">
        <v>20160825</v>
      </c>
      <c r="T261" t="s">
        <v>1076</v>
      </c>
      <c r="X261">
        <v>31</v>
      </c>
      <c r="Y261">
        <v>89000</v>
      </c>
      <c r="AA261" t="s">
        <v>577</v>
      </c>
      <c r="AB261">
        <v>20190225</v>
      </c>
      <c r="AE261">
        <f t="shared" si="4"/>
        <v>0</v>
      </c>
      <c r="AF261">
        <v>0</v>
      </c>
      <c r="AG261">
        <v>0</v>
      </c>
      <c r="AH261">
        <v>0</v>
      </c>
      <c r="AI261" s="121">
        <v>667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667</v>
      </c>
    </row>
    <row r="262" spans="1:41">
      <c r="A262">
        <v>201903</v>
      </c>
      <c r="B262">
        <v>25</v>
      </c>
      <c r="C262" t="s">
        <v>502</v>
      </c>
      <c r="D262">
        <v>3190052998171</v>
      </c>
      <c r="E262" t="s">
        <v>53</v>
      </c>
      <c r="F262" t="s">
        <v>569</v>
      </c>
      <c r="G262" t="s">
        <v>570</v>
      </c>
      <c r="H262" t="s">
        <v>571</v>
      </c>
      <c r="I262" t="s">
        <v>674</v>
      </c>
      <c r="J262" t="s">
        <v>674</v>
      </c>
      <c r="K262" t="s">
        <v>675</v>
      </c>
      <c r="L262" t="s">
        <v>489</v>
      </c>
      <c r="M262" t="s">
        <v>488</v>
      </c>
      <c r="N262" t="s">
        <v>902</v>
      </c>
      <c r="P262" t="s">
        <v>575</v>
      </c>
      <c r="Q262" t="s">
        <v>699</v>
      </c>
      <c r="R262" t="s">
        <v>1012</v>
      </c>
      <c r="S262">
        <v>20160921</v>
      </c>
      <c r="T262" t="s">
        <v>782</v>
      </c>
      <c r="X262">
        <v>30</v>
      </c>
      <c r="Y262">
        <v>15000</v>
      </c>
      <c r="AA262" t="s">
        <v>577</v>
      </c>
      <c r="AB262">
        <v>20190220</v>
      </c>
      <c r="AE262">
        <f t="shared" si="4"/>
        <v>0</v>
      </c>
      <c r="AF262">
        <v>0</v>
      </c>
      <c r="AG262">
        <v>0</v>
      </c>
      <c r="AH262">
        <v>0</v>
      </c>
      <c r="AI262" s="121">
        <v>75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75</v>
      </c>
    </row>
    <row r="263" spans="1:41">
      <c r="A263">
        <v>201903</v>
      </c>
      <c r="B263">
        <v>25</v>
      </c>
      <c r="C263" t="s">
        <v>502</v>
      </c>
      <c r="D263">
        <v>3190053098211</v>
      </c>
      <c r="E263" t="s">
        <v>53</v>
      </c>
      <c r="F263" t="s">
        <v>569</v>
      </c>
      <c r="G263" t="s">
        <v>570</v>
      </c>
      <c r="H263" t="s">
        <v>571</v>
      </c>
      <c r="I263" t="s">
        <v>578</v>
      </c>
      <c r="J263" t="s">
        <v>578</v>
      </c>
      <c r="K263" t="s">
        <v>579</v>
      </c>
      <c r="L263" t="s">
        <v>658</v>
      </c>
      <c r="M263" t="s">
        <v>659</v>
      </c>
      <c r="N263" t="s">
        <v>1006</v>
      </c>
      <c r="P263" t="s">
        <v>575</v>
      </c>
      <c r="Q263" t="s">
        <v>699</v>
      </c>
      <c r="R263" t="s">
        <v>1012</v>
      </c>
      <c r="S263">
        <v>20160920</v>
      </c>
      <c r="T263" t="s">
        <v>1224</v>
      </c>
      <c r="X263">
        <v>30</v>
      </c>
      <c r="Y263">
        <v>30000</v>
      </c>
      <c r="AA263" t="s">
        <v>577</v>
      </c>
      <c r="AB263">
        <v>20190225</v>
      </c>
      <c r="AE263">
        <f t="shared" si="4"/>
        <v>0</v>
      </c>
      <c r="AF263">
        <v>0</v>
      </c>
      <c r="AG263">
        <v>0</v>
      </c>
      <c r="AH263">
        <v>0</v>
      </c>
      <c r="AI263" s="121">
        <v>150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150</v>
      </c>
    </row>
    <row r="264" spans="1:41">
      <c r="A264">
        <v>201903</v>
      </c>
      <c r="B264">
        <v>25</v>
      </c>
      <c r="C264" t="s">
        <v>502</v>
      </c>
      <c r="D264">
        <v>3190053453041</v>
      </c>
      <c r="E264" t="s">
        <v>53</v>
      </c>
      <c r="F264" t="s">
        <v>569</v>
      </c>
      <c r="G264" t="s">
        <v>570</v>
      </c>
      <c r="H264" t="s">
        <v>571</v>
      </c>
      <c r="I264" t="s">
        <v>578</v>
      </c>
      <c r="J264" t="s">
        <v>578</v>
      </c>
      <c r="K264" t="s">
        <v>579</v>
      </c>
      <c r="L264" t="s">
        <v>594</v>
      </c>
      <c r="M264" t="s">
        <v>595</v>
      </c>
      <c r="N264" t="s">
        <v>908</v>
      </c>
      <c r="P264" t="s">
        <v>575</v>
      </c>
      <c r="Q264" t="s">
        <v>699</v>
      </c>
      <c r="R264" t="s">
        <v>1012</v>
      </c>
      <c r="S264">
        <v>20160923</v>
      </c>
      <c r="T264" t="s">
        <v>836</v>
      </c>
      <c r="X264">
        <v>30</v>
      </c>
      <c r="Y264">
        <v>50000</v>
      </c>
      <c r="AA264" t="s">
        <v>577</v>
      </c>
      <c r="AB264">
        <v>20190220</v>
      </c>
      <c r="AE264">
        <f t="shared" si="4"/>
        <v>0</v>
      </c>
      <c r="AF264">
        <v>0</v>
      </c>
      <c r="AG264">
        <v>0</v>
      </c>
      <c r="AH264">
        <v>0</v>
      </c>
      <c r="AI264" s="121">
        <v>250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250</v>
      </c>
    </row>
    <row r="265" spans="1:41">
      <c r="A265">
        <v>201903</v>
      </c>
      <c r="B265">
        <v>25</v>
      </c>
      <c r="C265" t="s">
        <v>502</v>
      </c>
      <c r="D265">
        <v>3190053651421</v>
      </c>
      <c r="E265" t="s">
        <v>53</v>
      </c>
      <c r="F265" t="s">
        <v>569</v>
      </c>
      <c r="G265" t="s">
        <v>570</v>
      </c>
      <c r="H265" t="s">
        <v>571</v>
      </c>
      <c r="I265" t="s">
        <v>674</v>
      </c>
      <c r="J265" t="s">
        <v>674</v>
      </c>
      <c r="K265" t="s">
        <v>675</v>
      </c>
      <c r="L265" t="s">
        <v>489</v>
      </c>
      <c r="M265" t="s">
        <v>488</v>
      </c>
      <c r="N265" t="s">
        <v>902</v>
      </c>
      <c r="P265" t="s">
        <v>575</v>
      </c>
      <c r="Q265" t="s">
        <v>699</v>
      </c>
      <c r="R265" t="s">
        <v>1012</v>
      </c>
      <c r="S265">
        <v>20160927</v>
      </c>
      <c r="T265" t="s">
        <v>851</v>
      </c>
      <c r="X265">
        <v>30</v>
      </c>
      <c r="Y265">
        <v>30000</v>
      </c>
      <c r="AA265" t="s">
        <v>577</v>
      </c>
      <c r="AB265">
        <v>20190220</v>
      </c>
      <c r="AE265">
        <f t="shared" si="4"/>
        <v>0</v>
      </c>
      <c r="AF265">
        <v>0</v>
      </c>
      <c r="AG265">
        <v>0</v>
      </c>
      <c r="AH265">
        <v>0</v>
      </c>
      <c r="AI265" s="121">
        <v>150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150</v>
      </c>
    </row>
    <row r="266" spans="1:41">
      <c r="A266">
        <v>201903</v>
      </c>
      <c r="B266">
        <v>25</v>
      </c>
      <c r="C266" t="s">
        <v>502</v>
      </c>
      <c r="D266">
        <v>3190053654771</v>
      </c>
      <c r="E266" t="s">
        <v>53</v>
      </c>
      <c r="F266" t="s">
        <v>569</v>
      </c>
      <c r="G266" t="s">
        <v>570</v>
      </c>
      <c r="H266" t="s">
        <v>571</v>
      </c>
      <c r="I266" t="s">
        <v>674</v>
      </c>
      <c r="J266" t="s">
        <v>674</v>
      </c>
      <c r="K266" t="s">
        <v>675</v>
      </c>
      <c r="L266" t="s">
        <v>489</v>
      </c>
      <c r="M266" t="s">
        <v>488</v>
      </c>
      <c r="N266" t="s">
        <v>902</v>
      </c>
      <c r="P266" t="s">
        <v>575</v>
      </c>
      <c r="Q266" t="s">
        <v>699</v>
      </c>
      <c r="R266" t="s">
        <v>1112</v>
      </c>
      <c r="S266">
        <v>20160927</v>
      </c>
      <c r="T266" t="s">
        <v>795</v>
      </c>
      <c r="X266">
        <v>30</v>
      </c>
      <c r="Y266">
        <v>30000</v>
      </c>
      <c r="AA266" t="s">
        <v>577</v>
      </c>
      <c r="AB266">
        <v>20190220</v>
      </c>
      <c r="AE266">
        <f t="shared" si="4"/>
        <v>0</v>
      </c>
      <c r="AF266">
        <v>0</v>
      </c>
      <c r="AG266">
        <v>0</v>
      </c>
      <c r="AH266">
        <v>0</v>
      </c>
      <c r="AI266" s="121">
        <v>150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150</v>
      </c>
    </row>
    <row r="267" spans="1:41">
      <c r="A267">
        <v>201903</v>
      </c>
      <c r="B267">
        <v>25</v>
      </c>
      <c r="C267" t="s">
        <v>502</v>
      </c>
      <c r="D267">
        <v>3190053678451</v>
      </c>
      <c r="E267" t="s">
        <v>53</v>
      </c>
      <c r="F267" t="s">
        <v>569</v>
      </c>
      <c r="G267" t="s">
        <v>570</v>
      </c>
      <c r="H267" t="s">
        <v>571</v>
      </c>
      <c r="I267" t="s">
        <v>578</v>
      </c>
      <c r="J267" t="s">
        <v>578</v>
      </c>
      <c r="K267" t="s">
        <v>579</v>
      </c>
      <c r="L267" t="s">
        <v>615</v>
      </c>
      <c r="M267" t="s">
        <v>616</v>
      </c>
      <c r="N267" t="s">
        <v>919</v>
      </c>
      <c r="P267" t="s">
        <v>575</v>
      </c>
      <c r="Q267" t="s">
        <v>699</v>
      </c>
      <c r="R267" t="s">
        <v>1012</v>
      </c>
      <c r="S267">
        <v>20160928</v>
      </c>
      <c r="T267" t="s">
        <v>918</v>
      </c>
      <c r="X267">
        <v>30</v>
      </c>
      <c r="Y267">
        <v>30000</v>
      </c>
      <c r="AA267" t="s">
        <v>577</v>
      </c>
      <c r="AB267">
        <v>20190228</v>
      </c>
      <c r="AE267">
        <f t="shared" si="4"/>
        <v>0</v>
      </c>
      <c r="AF267">
        <v>0</v>
      </c>
      <c r="AG267">
        <v>0</v>
      </c>
      <c r="AH267">
        <v>0</v>
      </c>
      <c r="AI267" s="121">
        <v>300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300</v>
      </c>
    </row>
    <row r="268" spans="1:41">
      <c r="A268">
        <v>201903</v>
      </c>
      <c r="B268">
        <v>25</v>
      </c>
      <c r="C268" t="s">
        <v>502</v>
      </c>
      <c r="D268">
        <v>3190054299421</v>
      </c>
      <c r="E268" t="s">
        <v>53</v>
      </c>
      <c r="F268" t="s">
        <v>569</v>
      </c>
      <c r="G268" t="s">
        <v>570</v>
      </c>
      <c r="H268" t="s">
        <v>571</v>
      </c>
      <c r="I268" t="s">
        <v>578</v>
      </c>
      <c r="J268" t="s">
        <v>578</v>
      </c>
      <c r="K268" t="s">
        <v>579</v>
      </c>
      <c r="L268" t="s">
        <v>615</v>
      </c>
      <c r="M268" t="s">
        <v>616</v>
      </c>
      <c r="N268" t="s">
        <v>919</v>
      </c>
      <c r="P268" t="s">
        <v>575</v>
      </c>
      <c r="Q268" t="s">
        <v>699</v>
      </c>
      <c r="R268" t="s">
        <v>1012</v>
      </c>
      <c r="S268">
        <v>20161005</v>
      </c>
      <c r="T268" t="s">
        <v>822</v>
      </c>
      <c r="X268">
        <v>29</v>
      </c>
      <c r="Y268">
        <v>30000</v>
      </c>
      <c r="AA268" t="s">
        <v>577</v>
      </c>
      <c r="AB268">
        <v>20190220</v>
      </c>
      <c r="AE268">
        <f t="shared" si="4"/>
        <v>0</v>
      </c>
      <c r="AF268">
        <v>0</v>
      </c>
      <c r="AG268">
        <v>0</v>
      </c>
      <c r="AH268">
        <v>0</v>
      </c>
      <c r="AI268" s="121">
        <v>150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150</v>
      </c>
    </row>
    <row r="269" spans="1:41">
      <c r="A269">
        <v>201903</v>
      </c>
      <c r="B269">
        <v>25</v>
      </c>
      <c r="C269" t="s">
        <v>502</v>
      </c>
      <c r="D269">
        <v>3190054357511</v>
      </c>
      <c r="E269" t="s">
        <v>53</v>
      </c>
      <c r="F269" t="s">
        <v>569</v>
      </c>
      <c r="G269" t="s">
        <v>570</v>
      </c>
      <c r="H269" t="s">
        <v>571</v>
      </c>
      <c r="I269" t="s">
        <v>578</v>
      </c>
      <c r="J269" t="s">
        <v>578</v>
      </c>
      <c r="K269" t="s">
        <v>579</v>
      </c>
      <c r="L269" t="s">
        <v>580</v>
      </c>
      <c r="M269" t="s">
        <v>581</v>
      </c>
      <c r="N269" t="s">
        <v>915</v>
      </c>
      <c r="P269" t="s">
        <v>575</v>
      </c>
      <c r="Q269" t="s">
        <v>699</v>
      </c>
      <c r="R269" t="s">
        <v>1112</v>
      </c>
      <c r="S269">
        <v>20161006</v>
      </c>
      <c r="T269" t="s">
        <v>1153</v>
      </c>
      <c r="X269">
        <v>29</v>
      </c>
      <c r="Y269">
        <v>104000</v>
      </c>
      <c r="AA269" t="s">
        <v>577</v>
      </c>
      <c r="AB269">
        <v>20190220</v>
      </c>
      <c r="AE269">
        <f t="shared" si="4"/>
        <v>0</v>
      </c>
      <c r="AF269">
        <v>0</v>
      </c>
      <c r="AG269">
        <v>0</v>
      </c>
      <c r="AH269">
        <v>0</v>
      </c>
      <c r="AI269" s="121">
        <v>520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520</v>
      </c>
    </row>
    <row r="270" spans="1:41">
      <c r="A270">
        <v>201903</v>
      </c>
      <c r="B270">
        <v>25</v>
      </c>
      <c r="C270" t="s">
        <v>502</v>
      </c>
      <c r="D270">
        <v>3190059418571</v>
      </c>
      <c r="E270" t="s">
        <v>53</v>
      </c>
      <c r="F270" t="s">
        <v>569</v>
      </c>
      <c r="G270" t="s">
        <v>570</v>
      </c>
      <c r="H270" t="s">
        <v>571</v>
      </c>
      <c r="I270" t="s">
        <v>578</v>
      </c>
      <c r="J270" t="s">
        <v>578</v>
      </c>
      <c r="K270" t="s">
        <v>579</v>
      </c>
      <c r="L270" t="s">
        <v>615</v>
      </c>
      <c r="M270" t="s">
        <v>616</v>
      </c>
      <c r="N270" t="s">
        <v>919</v>
      </c>
      <c r="P270" t="s">
        <v>575</v>
      </c>
      <c r="Q270" t="s">
        <v>620</v>
      </c>
      <c r="R270" t="s">
        <v>1009</v>
      </c>
      <c r="S270">
        <v>20161209</v>
      </c>
      <c r="T270" t="s">
        <v>1069</v>
      </c>
      <c r="X270">
        <v>27</v>
      </c>
      <c r="Y270">
        <v>81400</v>
      </c>
      <c r="AA270" t="s">
        <v>577</v>
      </c>
      <c r="AB270">
        <v>20190225</v>
      </c>
      <c r="AE270">
        <f t="shared" si="4"/>
        <v>0</v>
      </c>
      <c r="AF270">
        <v>0</v>
      </c>
      <c r="AG270">
        <v>0</v>
      </c>
      <c r="AH270">
        <v>0</v>
      </c>
      <c r="AI270" s="121">
        <v>610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610</v>
      </c>
    </row>
    <row r="271" spans="1:41">
      <c r="A271">
        <v>201903</v>
      </c>
      <c r="B271">
        <v>25</v>
      </c>
      <c r="C271" t="s">
        <v>502</v>
      </c>
      <c r="D271">
        <v>3190061107911</v>
      </c>
      <c r="E271" t="s">
        <v>53</v>
      </c>
      <c r="F271" t="s">
        <v>569</v>
      </c>
      <c r="G271" t="s">
        <v>570</v>
      </c>
      <c r="H271" t="s">
        <v>571</v>
      </c>
      <c r="I271" t="s">
        <v>578</v>
      </c>
      <c r="J271" t="s">
        <v>578</v>
      </c>
      <c r="K271" t="s">
        <v>579</v>
      </c>
      <c r="L271" t="s">
        <v>586</v>
      </c>
      <c r="M271" t="s">
        <v>587</v>
      </c>
      <c r="N271" t="s">
        <v>1198</v>
      </c>
      <c r="P271" t="s">
        <v>575</v>
      </c>
      <c r="Q271" t="s">
        <v>620</v>
      </c>
      <c r="R271" t="s">
        <v>1010</v>
      </c>
      <c r="S271">
        <v>20170111</v>
      </c>
      <c r="T271" t="s">
        <v>1073</v>
      </c>
      <c r="X271">
        <v>26</v>
      </c>
      <c r="Y271">
        <v>25000</v>
      </c>
      <c r="AA271" t="s">
        <v>577</v>
      </c>
      <c r="AB271">
        <v>20190225</v>
      </c>
      <c r="AE271">
        <f t="shared" si="4"/>
        <v>0</v>
      </c>
      <c r="AF271">
        <v>0</v>
      </c>
      <c r="AG271">
        <v>0</v>
      </c>
      <c r="AH271">
        <v>0</v>
      </c>
      <c r="AI271" s="121">
        <v>125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125</v>
      </c>
    </row>
    <row r="272" spans="1:41">
      <c r="A272">
        <v>201903</v>
      </c>
      <c r="B272">
        <v>25</v>
      </c>
      <c r="C272" t="s">
        <v>502</v>
      </c>
      <c r="D272">
        <v>3190061188991</v>
      </c>
      <c r="E272" t="s">
        <v>53</v>
      </c>
      <c r="F272" t="s">
        <v>569</v>
      </c>
      <c r="G272" t="s">
        <v>570</v>
      </c>
      <c r="H272" t="s">
        <v>571</v>
      </c>
      <c r="I272" t="s">
        <v>578</v>
      </c>
      <c r="J272" t="s">
        <v>578</v>
      </c>
      <c r="K272" t="s">
        <v>579</v>
      </c>
      <c r="L272" t="s">
        <v>586</v>
      </c>
      <c r="M272" t="s">
        <v>587</v>
      </c>
      <c r="N272" t="s">
        <v>1198</v>
      </c>
      <c r="P272" t="s">
        <v>575</v>
      </c>
      <c r="Q272" t="s">
        <v>620</v>
      </c>
      <c r="R272" t="s">
        <v>1019</v>
      </c>
      <c r="S272">
        <v>20170105</v>
      </c>
      <c r="T272" t="s">
        <v>855</v>
      </c>
      <c r="X272">
        <v>26</v>
      </c>
      <c r="Y272">
        <v>71000</v>
      </c>
      <c r="AA272" t="s">
        <v>577</v>
      </c>
      <c r="AB272">
        <v>20190225</v>
      </c>
      <c r="AE272">
        <f t="shared" si="4"/>
        <v>0</v>
      </c>
      <c r="AF272">
        <v>0</v>
      </c>
      <c r="AG272">
        <v>0</v>
      </c>
      <c r="AH272">
        <v>0</v>
      </c>
      <c r="AI272" s="121">
        <v>355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355</v>
      </c>
    </row>
    <row r="273" spans="1:41">
      <c r="A273">
        <v>201903</v>
      </c>
      <c r="B273">
        <v>25</v>
      </c>
      <c r="C273" t="s">
        <v>502</v>
      </c>
      <c r="D273">
        <v>3190061674211</v>
      </c>
      <c r="E273" t="s">
        <v>53</v>
      </c>
      <c r="F273" t="s">
        <v>569</v>
      </c>
      <c r="G273" t="s">
        <v>570</v>
      </c>
      <c r="H273" t="s">
        <v>571</v>
      </c>
      <c r="I273" t="s">
        <v>674</v>
      </c>
      <c r="J273" t="s">
        <v>674</v>
      </c>
      <c r="K273" t="s">
        <v>675</v>
      </c>
      <c r="L273" t="s">
        <v>489</v>
      </c>
      <c r="M273" t="s">
        <v>488</v>
      </c>
      <c r="N273" t="s">
        <v>902</v>
      </c>
      <c r="P273" t="s">
        <v>575</v>
      </c>
      <c r="Q273" t="s">
        <v>620</v>
      </c>
      <c r="R273" t="s">
        <v>1225</v>
      </c>
      <c r="S273">
        <v>20170109</v>
      </c>
      <c r="T273" t="s">
        <v>1083</v>
      </c>
      <c r="X273">
        <v>26</v>
      </c>
      <c r="Y273">
        <v>42312</v>
      </c>
      <c r="AA273" t="s">
        <v>577</v>
      </c>
      <c r="AB273">
        <v>20190220</v>
      </c>
      <c r="AE273">
        <f t="shared" si="4"/>
        <v>0</v>
      </c>
      <c r="AF273">
        <v>0</v>
      </c>
      <c r="AG273">
        <v>0</v>
      </c>
      <c r="AH273">
        <v>0</v>
      </c>
      <c r="AI273" s="121">
        <v>211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211</v>
      </c>
    </row>
    <row r="274" spans="1:41">
      <c r="A274">
        <v>201903</v>
      </c>
      <c r="B274">
        <v>25</v>
      </c>
      <c r="C274" t="s">
        <v>502</v>
      </c>
      <c r="D274">
        <v>3190062041511</v>
      </c>
      <c r="E274" t="s">
        <v>53</v>
      </c>
      <c r="F274" t="s">
        <v>569</v>
      </c>
      <c r="G274" t="s">
        <v>570</v>
      </c>
      <c r="H274" t="s">
        <v>571</v>
      </c>
      <c r="I274" t="s">
        <v>633</v>
      </c>
      <c r="L274" t="s">
        <v>641</v>
      </c>
      <c r="M274" t="s">
        <v>642</v>
      </c>
      <c r="N274" t="s">
        <v>921</v>
      </c>
      <c r="P274" t="s">
        <v>575</v>
      </c>
      <c r="Q274" t="s">
        <v>620</v>
      </c>
      <c r="R274" t="s">
        <v>1011</v>
      </c>
      <c r="S274">
        <v>20170112</v>
      </c>
      <c r="T274" t="s">
        <v>1099</v>
      </c>
      <c r="X274">
        <v>25</v>
      </c>
      <c r="Y274">
        <v>150794</v>
      </c>
      <c r="AA274" t="s">
        <v>577</v>
      </c>
      <c r="AB274">
        <v>20190219</v>
      </c>
      <c r="AE274">
        <f t="shared" si="4"/>
        <v>0</v>
      </c>
      <c r="AF274">
        <v>0</v>
      </c>
      <c r="AG274">
        <v>0</v>
      </c>
      <c r="AH274">
        <v>0</v>
      </c>
      <c r="AI274" s="121">
        <v>1130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1130</v>
      </c>
    </row>
    <row r="275" spans="1:41">
      <c r="A275">
        <v>201903</v>
      </c>
      <c r="B275">
        <v>25</v>
      </c>
      <c r="C275" t="s">
        <v>502</v>
      </c>
      <c r="D275">
        <v>3190062238471</v>
      </c>
      <c r="E275" t="s">
        <v>53</v>
      </c>
      <c r="F275" t="s">
        <v>569</v>
      </c>
      <c r="G275" t="s">
        <v>570</v>
      </c>
      <c r="H275" t="s">
        <v>571</v>
      </c>
      <c r="I275" t="s">
        <v>633</v>
      </c>
      <c r="L275" t="s">
        <v>641</v>
      </c>
      <c r="M275" t="s">
        <v>642</v>
      </c>
      <c r="N275" t="s">
        <v>921</v>
      </c>
      <c r="P275" t="s">
        <v>575</v>
      </c>
      <c r="Q275" t="s">
        <v>620</v>
      </c>
      <c r="R275" t="s">
        <v>1011</v>
      </c>
      <c r="S275">
        <v>20170111</v>
      </c>
      <c r="T275" t="s">
        <v>1100</v>
      </c>
      <c r="X275">
        <v>26</v>
      </c>
      <c r="Y275">
        <v>31000</v>
      </c>
      <c r="AA275" t="s">
        <v>577</v>
      </c>
      <c r="AB275">
        <v>20190215</v>
      </c>
      <c r="AE275">
        <f t="shared" si="4"/>
        <v>0</v>
      </c>
      <c r="AF275">
        <v>0</v>
      </c>
      <c r="AG275">
        <v>0</v>
      </c>
      <c r="AH275">
        <v>0</v>
      </c>
      <c r="AI275" s="121">
        <v>232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232</v>
      </c>
    </row>
    <row r="276" spans="1:41">
      <c r="A276">
        <v>201903</v>
      </c>
      <c r="B276">
        <v>25</v>
      </c>
      <c r="C276" t="s">
        <v>502</v>
      </c>
      <c r="D276">
        <v>3190062614301</v>
      </c>
      <c r="E276" t="s">
        <v>53</v>
      </c>
      <c r="F276" t="s">
        <v>569</v>
      </c>
      <c r="G276" t="s">
        <v>570</v>
      </c>
      <c r="H276" t="s">
        <v>571</v>
      </c>
      <c r="I276" t="s">
        <v>674</v>
      </c>
      <c r="L276" t="s">
        <v>491</v>
      </c>
      <c r="M276" t="s">
        <v>490</v>
      </c>
      <c r="N276" t="s">
        <v>907</v>
      </c>
      <c r="P276" t="s">
        <v>575</v>
      </c>
      <c r="Q276" t="s">
        <v>620</v>
      </c>
      <c r="R276" t="s">
        <v>1113</v>
      </c>
      <c r="S276">
        <v>20170113</v>
      </c>
      <c r="T276" t="s">
        <v>918</v>
      </c>
      <c r="X276">
        <v>26</v>
      </c>
      <c r="Y276">
        <v>27709</v>
      </c>
      <c r="AA276" t="s">
        <v>577</v>
      </c>
      <c r="AB276">
        <v>20190220</v>
      </c>
      <c r="AE276">
        <f t="shared" si="4"/>
        <v>0</v>
      </c>
      <c r="AF276">
        <v>0</v>
      </c>
      <c r="AG276">
        <v>0</v>
      </c>
      <c r="AH276">
        <v>0</v>
      </c>
      <c r="AI276" s="121">
        <v>138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138</v>
      </c>
    </row>
    <row r="277" spans="1:41">
      <c r="A277">
        <v>201903</v>
      </c>
      <c r="B277">
        <v>25</v>
      </c>
      <c r="C277" t="s">
        <v>502</v>
      </c>
      <c r="D277">
        <v>3190062669741</v>
      </c>
      <c r="E277" t="s">
        <v>53</v>
      </c>
      <c r="F277" t="s">
        <v>569</v>
      </c>
      <c r="G277" t="s">
        <v>570</v>
      </c>
      <c r="H277" t="s">
        <v>571</v>
      </c>
      <c r="I277" t="s">
        <v>578</v>
      </c>
      <c r="J277" t="s">
        <v>578</v>
      </c>
      <c r="K277" t="s">
        <v>579</v>
      </c>
      <c r="L277" t="s">
        <v>741</v>
      </c>
      <c r="M277" t="s">
        <v>710</v>
      </c>
      <c r="N277" t="s">
        <v>913</v>
      </c>
      <c r="P277" t="s">
        <v>575</v>
      </c>
      <c r="Q277" t="s">
        <v>620</v>
      </c>
      <c r="R277" t="s">
        <v>1011</v>
      </c>
      <c r="S277">
        <v>20170116</v>
      </c>
      <c r="T277" t="s">
        <v>1114</v>
      </c>
      <c r="X277">
        <v>26</v>
      </c>
      <c r="Y277">
        <v>39436</v>
      </c>
      <c r="AA277" t="s">
        <v>577</v>
      </c>
      <c r="AB277">
        <v>20190211</v>
      </c>
      <c r="AE277">
        <f t="shared" si="4"/>
        <v>0</v>
      </c>
      <c r="AF277">
        <v>0</v>
      </c>
      <c r="AG277">
        <v>0</v>
      </c>
      <c r="AH277">
        <v>0</v>
      </c>
      <c r="AI277" s="121">
        <v>295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295</v>
      </c>
    </row>
    <row r="278" spans="1:41">
      <c r="A278">
        <v>201903</v>
      </c>
      <c r="B278">
        <v>25</v>
      </c>
      <c r="C278" t="s">
        <v>502</v>
      </c>
      <c r="D278">
        <v>3190446748081</v>
      </c>
      <c r="E278" t="s">
        <v>53</v>
      </c>
      <c r="F278" t="s">
        <v>569</v>
      </c>
      <c r="G278" t="s">
        <v>570</v>
      </c>
      <c r="H278" t="s">
        <v>571</v>
      </c>
      <c r="I278" t="s">
        <v>578</v>
      </c>
      <c r="J278" t="s">
        <v>578</v>
      </c>
      <c r="K278" t="s">
        <v>579</v>
      </c>
      <c r="L278" t="s">
        <v>580</v>
      </c>
      <c r="M278" t="s">
        <v>581</v>
      </c>
      <c r="N278" t="s">
        <v>915</v>
      </c>
      <c r="P278" t="s">
        <v>575</v>
      </c>
      <c r="Q278" t="s">
        <v>620</v>
      </c>
      <c r="R278" t="s">
        <v>951</v>
      </c>
      <c r="S278">
        <v>20180906</v>
      </c>
      <c r="T278" t="s">
        <v>870</v>
      </c>
      <c r="X278">
        <v>6</v>
      </c>
      <c r="Y278">
        <v>50000</v>
      </c>
      <c r="AA278" t="s">
        <v>577</v>
      </c>
      <c r="AB278">
        <v>20190220</v>
      </c>
      <c r="AE278">
        <f t="shared" si="4"/>
        <v>0</v>
      </c>
      <c r="AF278">
        <v>0</v>
      </c>
      <c r="AG278">
        <v>0</v>
      </c>
      <c r="AH278">
        <v>0</v>
      </c>
      <c r="AI278" s="121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</row>
    <row r="279" spans="1:41">
      <c r="A279">
        <v>201903</v>
      </c>
      <c r="B279">
        <v>25</v>
      </c>
      <c r="C279" t="s">
        <v>502</v>
      </c>
      <c r="D279">
        <v>3190448024881</v>
      </c>
      <c r="E279" t="s">
        <v>53</v>
      </c>
      <c r="F279" t="s">
        <v>569</v>
      </c>
      <c r="G279" t="s">
        <v>570</v>
      </c>
      <c r="H279" t="s">
        <v>571</v>
      </c>
      <c r="I279" t="s">
        <v>674</v>
      </c>
      <c r="L279" t="s">
        <v>491</v>
      </c>
      <c r="M279" t="s">
        <v>490</v>
      </c>
      <c r="N279" t="s">
        <v>907</v>
      </c>
      <c r="P279" t="s">
        <v>575</v>
      </c>
      <c r="Q279" t="s">
        <v>620</v>
      </c>
      <c r="R279" t="s">
        <v>968</v>
      </c>
      <c r="S279">
        <v>20180910</v>
      </c>
      <c r="T279" t="s">
        <v>794</v>
      </c>
      <c r="X279">
        <v>6</v>
      </c>
      <c r="Y279">
        <v>114000</v>
      </c>
      <c r="AA279" t="s">
        <v>577</v>
      </c>
      <c r="AB279">
        <v>20190228</v>
      </c>
      <c r="AE279">
        <f t="shared" si="4"/>
        <v>0</v>
      </c>
      <c r="AF279">
        <v>0</v>
      </c>
      <c r="AG279">
        <v>0</v>
      </c>
      <c r="AH279">
        <v>0</v>
      </c>
      <c r="AI279" s="121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</row>
    <row r="280" spans="1:41">
      <c r="A280">
        <v>201903</v>
      </c>
      <c r="B280">
        <v>25</v>
      </c>
      <c r="C280" t="s">
        <v>502</v>
      </c>
      <c r="D280">
        <v>3190448283891</v>
      </c>
      <c r="E280" t="s">
        <v>53</v>
      </c>
      <c r="F280" t="s">
        <v>569</v>
      </c>
      <c r="G280" t="s">
        <v>570</v>
      </c>
      <c r="H280" t="s">
        <v>571</v>
      </c>
      <c r="I280" t="s">
        <v>674</v>
      </c>
      <c r="L280" t="s">
        <v>491</v>
      </c>
      <c r="M280" t="s">
        <v>490</v>
      </c>
      <c r="N280" t="s">
        <v>907</v>
      </c>
      <c r="P280" t="s">
        <v>575</v>
      </c>
      <c r="Q280" t="s">
        <v>620</v>
      </c>
      <c r="R280" t="s">
        <v>952</v>
      </c>
      <c r="S280">
        <v>20180913</v>
      </c>
      <c r="T280" t="s">
        <v>801</v>
      </c>
      <c r="X280">
        <v>6</v>
      </c>
      <c r="Y280">
        <v>33551</v>
      </c>
      <c r="AA280" t="s">
        <v>577</v>
      </c>
      <c r="AB280">
        <v>20190225</v>
      </c>
      <c r="AE280">
        <f t="shared" si="4"/>
        <v>0</v>
      </c>
      <c r="AF280">
        <v>0</v>
      </c>
      <c r="AG280">
        <v>0</v>
      </c>
      <c r="AH280">
        <v>0</v>
      </c>
      <c r="AI280" s="121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</row>
    <row r="281" spans="1:41">
      <c r="A281">
        <v>201903</v>
      </c>
      <c r="B281">
        <v>25</v>
      </c>
      <c r="C281" t="s">
        <v>502</v>
      </c>
      <c r="D281">
        <v>3190448757961</v>
      </c>
      <c r="E281" t="s">
        <v>53</v>
      </c>
      <c r="F281" t="s">
        <v>569</v>
      </c>
      <c r="G281" t="s">
        <v>570</v>
      </c>
      <c r="H281" t="s">
        <v>571</v>
      </c>
      <c r="I281" t="s">
        <v>674</v>
      </c>
      <c r="J281" t="s">
        <v>674</v>
      </c>
      <c r="K281" t="s">
        <v>675</v>
      </c>
      <c r="L281" t="s">
        <v>489</v>
      </c>
      <c r="M281" t="s">
        <v>488</v>
      </c>
      <c r="N281" t="s">
        <v>902</v>
      </c>
      <c r="P281" t="s">
        <v>575</v>
      </c>
      <c r="Q281" t="s">
        <v>620</v>
      </c>
      <c r="R281" t="s">
        <v>951</v>
      </c>
      <c r="S281">
        <v>20180911</v>
      </c>
      <c r="T281" t="s">
        <v>838</v>
      </c>
      <c r="X281">
        <v>6</v>
      </c>
      <c r="Y281">
        <v>58000</v>
      </c>
      <c r="AA281" t="s">
        <v>577</v>
      </c>
      <c r="AB281">
        <v>20190220</v>
      </c>
      <c r="AE281">
        <f t="shared" si="4"/>
        <v>0</v>
      </c>
      <c r="AF281">
        <v>0</v>
      </c>
      <c r="AG281">
        <v>0</v>
      </c>
      <c r="AH281">
        <v>0</v>
      </c>
      <c r="AI281" s="12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</row>
    <row r="282" spans="1:41">
      <c r="A282">
        <v>201903</v>
      </c>
      <c r="B282">
        <v>25</v>
      </c>
      <c r="C282" t="s">
        <v>502</v>
      </c>
      <c r="D282">
        <v>3190449113781</v>
      </c>
      <c r="E282" t="s">
        <v>53</v>
      </c>
      <c r="F282" t="s">
        <v>569</v>
      </c>
      <c r="G282" t="s">
        <v>570</v>
      </c>
      <c r="H282" t="s">
        <v>571</v>
      </c>
      <c r="I282" t="s">
        <v>633</v>
      </c>
      <c r="J282" t="s">
        <v>633</v>
      </c>
      <c r="K282" t="s">
        <v>634</v>
      </c>
      <c r="L282" t="s">
        <v>670</v>
      </c>
      <c r="M282" t="s">
        <v>671</v>
      </c>
      <c r="N282" t="s">
        <v>936</v>
      </c>
      <c r="P282" t="s">
        <v>575</v>
      </c>
      <c r="Q282" t="s">
        <v>540</v>
      </c>
      <c r="R282" t="s">
        <v>955</v>
      </c>
      <c r="S282">
        <v>20180914</v>
      </c>
      <c r="T282" t="s">
        <v>798</v>
      </c>
      <c r="X282">
        <v>6</v>
      </c>
      <c r="Y282">
        <v>13390</v>
      </c>
      <c r="AA282" t="s">
        <v>577</v>
      </c>
      <c r="AB282">
        <v>20190215</v>
      </c>
      <c r="AE282">
        <f t="shared" si="4"/>
        <v>0</v>
      </c>
      <c r="AF282">
        <v>0</v>
      </c>
      <c r="AG282">
        <v>0</v>
      </c>
      <c r="AH282">
        <v>0</v>
      </c>
      <c r="AI282" s="121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</row>
    <row r="283" spans="1:41">
      <c r="A283">
        <v>201903</v>
      </c>
      <c r="B283">
        <v>25</v>
      </c>
      <c r="C283" t="s">
        <v>502</v>
      </c>
      <c r="D283">
        <v>3190062761881</v>
      </c>
      <c r="E283" t="s">
        <v>53</v>
      </c>
      <c r="F283" t="s">
        <v>569</v>
      </c>
      <c r="G283" t="s">
        <v>570</v>
      </c>
      <c r="H283" t="s">
        <v>571</v>
      </c>
      <c r="I283" t="s">
        <v>674</v>
      </c>
      <c r="J283" t="s">
        <v>674</v>
      </c>
      <c r="K283" t="s">
        <v>675</v>
      </c>
      <c r="L283" t="s">
        <v>487</v>
      </c>
      <c r="M283" t="s">
        <v>486</v>
      </c>
      <c r="N283" t="s">
        <v>937</v>
      </c>
      <c r="P283" t="s">
        <v>575</v>
      </c>
      <c r="Q283" t="s">
        <v>620</v>
      </c>
      <c r="R283" t="s">
        <v>1010</v>
      </c>
      <c r="S283">
        <v>20170116</v>
      </c>
      <c r="T283" t="s">
        <v>1056</v>
      </c>
      <c r="X283">
        <v>26</v>
      </c>
      <c r="Y283">
        <v>48999</v>
      </c>
      <c r="AA283" t="s">
        <v>577</v>
      </c>
      <c r="AB283">
        <v>20190225</v>
      </c>
      <c r="AE283">
        <f t="shared" si="4"/>
        <v>0</v>
      </c>
      <c r="AF283">
        <v>0</v>
      </c>
      <c r="AG283">
        <v>0</v>
      </c>
      <c r="AH283">
        <v>0</v>
      </c>
      <c r="AI283" s="121">
        <v>244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244</v>
      </c>
    </row>
    <row r="284" spans="1:41">
      <c r="A284">
        <v>201903</v>
      </c>
      <c r="B284">
        <v>25</v>
      </c>
      <c r="C284" t="s">
        <v>502</v>
      </c>
      <c r="D284">
        <v>3190062953051</v>
      </c>
      <c r="E284" t="s">
        <v>53</v>
      </c>
      <c r="F284" t="s">
        <v>569</v>
      </c>
      <c r="G284" t="s">
        <v>570</v>
      </c>
      <c r="H284" t="s">
        <v>571</v>
      </c>
      <c r="I284" t="s">
        <v>621</v>
      </c>
      <c r="J284" t="s">
        <v>621</v>
      </c>
      <c r="K284" t="s">
        <v>622</v>
      </c>
      <c r="L284" t="s">
        <v>625</v>
      </c>
      <c r="M284" t="s">
        <v>626</v>
      </c>
      <c r="N284" t="s">
        <v>929</v>
      </c>
      <c r="P284" t="s">
        <v>575</v>
      </c>
      <c r="Q284" t="s">
        <v>620</v>
      </c>
      <c r="R284" t="s">
        <v>1010</v>
      </c>
      <c r="S284">
        <v>20170117</v>
      </c>
      <c r="T284" t="s">
        <v>833</v>
      </c>
      <c r="X284">
        <v>26</v>
      </c>
      <c r="Y284">
        <v>21500</v>
      </c>
      <c r="AA284" t="s">
        <v>577</v>
      </c>
      <c r="AB284">
        <v>20190225</v>
      </c>
      <c r="AE284">
        <f t="shared" si="4"/>
        <v>0</v>
      </c>
      <c r="AF284">
        <v>0</v>
      </c>
      <c r="AG284">
        <v>0</v>
      </c>
      <c r="AH284">
        <v>0</v>
      </c>
      <c r="AI284" s="121">
        <v>107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107</v>
      </c>
    </row>
    <row r="285" spans="1:41">
      <c r="A285">
        <v>201903</v>
      </c>
      <c r="B285">
        <v>25</v>
      </c>
      <c r="C285" t="s">
        <v>502</v>
      </c>
      <c r="D285">
        <v>3190062970021</v>
      </c>
      <c r="E285" t="s">
        <v>53</v>
      </c>
      <c r="F285" t="s">
        <v>569</v>
      </c>
      <c r="G285" t="s">
        <v>570</v>
      </c>
      <c r="H285" t="s">
        <v>571</v>
      </c>
      <c r="I285" t="s">
        <v>691</v>
      </c>
      <c r="J285" t="s">
        <v>692</v>
      </c>
      <c r="K285" t="s">
        <v>700</v>
      </c>
      <c r="L285" t="s">
        <v>705</v>
      </c>
      <c r="M285" t="s">
        <v>687</v>
      </c>
      <c r="N285" t="s">
        <v>1227</v>
      </c>
      <c r="P285" t="s">
        <v>575</v>
      </c>
      <c r="Q285" t="s">
        <v>620</v>
      </c>
      <c r="R285" t="s">
        <v>1010</v>
      </c>
      <c r="S285">
        <v>20170117</v>
      </c>
      <c r="T285" t="s">
        <v>822</v>
      </c>
      <c r="X285">
        <v>25</v>
      </c>
      <c r="Y285">
        <v>80400</v>
      </c>
      <c r="AA285" t="s">
        <v>577</v>
      </c>
      <c r="AB285">
        <v>20190228</v>
      </c>
      <c r="AE285">
        <f t="shared" si="4"/>
        <v>0</v>
      </c>
      <c r="AF285">
        <v>0</v>
      </c>
      <c r="AG285">
        <v>0</v>
      </c>
      <c r="AH285">
        <v>0</v>
      </c>
      <c r="AI285" s="121">
        <v>804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804</v>
      </c>
    </row>
    <row r="286" spans="1:41">
      <c r="A286">
        <v>201903</v>
      </c>
      <c r="B286">
        <v>25</v>
      </c>
      <c r="C286" t="s">
        <v>502</v>
      </c>
      <c r="D286">
        <v>3190062978881</v>
      </c>
      <c r="E286" t="s">
        <v>53</v>
      </c>
      <c r="F286" t="s">
        <v>569</v>
      </c>
      <c r="G286" t="s">
        <v>570</v>
      </c>
      <c r="H286" t="s">
        <v>571</v>
      </c>
      <c r="I286" t="s">
        <v>691</v>
      </c>
      <c r="J286" t="s">
        <v>692</v>
      </c>
      <c r="K286" t="s">
        <v>700</v>
      </c>
      <c r="L286" t="s">
        <v>705</v>
      </c>
      <c r="M286" t="s">
        <v>687</v>
      </c>
      <c r="N286" t="s">
        <v>1227</v>
      </c>
      <c r="P286" t="s">
        <v>575</v>
      </c>
      <c r="Q286" t="s">
        <v>620</v>
      </c>
      <c r="R286" t="s">
        <v>1010</v>
      </c>
      <c r="S286">
        <v>20170117</v>
      </c>
      <c r="T286" t="s">
        <v>828</v>
      </c>
      <c r="X286">
        <v>24</v>
      </c>
      <c r="Y286">
        <v>63100</v>
      </c>
      <c r="AA286" t="s">
        <v>577</v>
      </c>
      <c r="AB286">
        <v>20190228</v>
      </c>
      <c r="AE286">
        <f t="shared" si="4"/>
        <v>0</v>
      </c>
      <c r="AF286">
        <v>0</v>
      </c>
      <c r="AG286">
        <v>0</v>
      </c>
      <c r="AH286">
        <v>0</v>
      </c>
      <c r="AI286" s="121">
        <v>315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315</v>
      </c>
    </row>
    <row r="287" spans="1:41">
      <c r="A287">
        <v>201903</v>
      </c>
      <c r="B287">
        <v>25</v>
      </c>
      <c r="C287" t="s">
        <v>502</v>
      </c>
      <c r="D287">
        <v>3190063120501</v>
      </c>
      <c r="E287" t="s">
        <v>53</v>
      </c>
      <c r="F287" t="s">
        <v>569</v>
      </c>
      <c r="G287" t="s">
        <v>570</v>
      </c>
      <c r="H287" t="s">
        <v>571</v>
      </c>
      <c r="I287" t="s">
        <v>633</v>
      </c>
      <c r="J287" t="s">
        <v>633</v>
      </c>
      <c r="K287" t="s">
        <v>634</v>
      </c>
      <c r="L287" t="s">
        <v>651</v>
      </c>
      <c r="M287" t="s">
        <v>652</v>
      </c>
      <c r="N287" t="s">
        <v>946</v>
      </c>
      <c r="P287" t="s">
        <v>575</v>
      </c>
      <c r="Q287" t="s">
        <v>620</v>
      </c>
      <c r="R287" t="s">
        <v>1011</v>
      </c>
      <c r="S287">
        <v>20170125</v>
      </c>
      <c r="T287" t="s">
        <v>877</v>
      </c>
      <c r="X287">
        <v>26</v>
      </c>
      <c r="Y287">
        <v>75000</v>
      </c>
      <c r="AA287" t="s">
        <v>577</v>
      </c>
      <c r="AB287">
        <v>20190215</v>
      </c>
      <c r="AE287">
        <f t="shared" si="4"/>
        <v>0</v>
      </c>
      <c r="AF287">
        <v>0</v>
      </c>
      <c r="AG287">
        <v>0</v>
      </c>
      <c r="AH287">
        <v>0</v>
      </c>
      <c r="AI287" s="121">
        <v>562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562</v>
      </c>
    </row>
    <row r="288" spans="1:41">
      <c r="A288">
        <v>201903</v>
      </c>
      <c r="B288">
        <v>25</v>
      </c>
      <c r="C288" t="s">
        <v>502</v>
      </c>
      <c r="D288">
        <v>3190063283521</v>
      </c>
      <c r="E288" t="s">
        <v>53</v>
      </c>
      <c r="F288" t="s">
        <v>569</v>
      </c>
      <c r="G288" t="s">
        <v>570</v>
      </c>
      <c r="H288" t="s">
        <v>571</v>
      </c>
      <c r="I288" t="s">
        <v>633</v>
      </c>
      <c r="J288" t="s">
        <v>633</v>
      </c>
      <c r="K288" t="s">
        <v>634</v>
      </c>
      <c r="L288" t="s">
        <v>651</v>
      </c>
      <c r="M288" t="s">
        <v>652</v>
      </c>
      <c r="N288" t="s">
        <v>946</v>
      </c>
      <c r="P288" t="s">
        <v>575</v>
      </c>
      <c r="Q288" t="s">
        <v>699</v>
      </c>
      <c r="R288" t="s">
        <v>1012</v>
      </c>
      <c r="S288">
        <v>20170125</v>
      </c>
      <c r="T288" t="s">
        <v>877</v>
      </c>
      <c r="X288">
        <v>26</v>
      </c>
      <c r="Y288">
        <v>16000</v>
      </c>
      <c r="AA288" t="s">
        <v>577</v>
      </c>
      <c r="AB288">
        <v>20190215</v>
      </c>
      <c r="AE288">
        <f t="shared" si="4"/>
        <v>0</v>
      </c>
      <c r="AF288">
        <v>0</v>
      </c>
      <c r="AG288">
        <v>0</v>
      </c>
      <c r="AH288">
        <v>0</v>
      </c>
      <c r="AI288" s="121">
        <v>80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80</v>
      </c>
    </row>
    <row r="289" spans="1:41">
      <c r="A289">
        <v>201903</v>
      </c>
      <c r="B289">
        <v>25</v>
      </c>
      <c r="C289" t="s">
        <v>502</v>
      </c>
      <c r="D289">
        <v>3190063292401</v>
      </c>
      <c r="E289" t="s">
        <v>53</v>
      </c>
      <c r="F289" t="s">
        <v>569</v>
      </c>
      <c r="G289" t="s">
        <v>570</v>
      </c>
      <c r="H289" t="s">
        <v>571</v>
      </c>
      <c r="I289" t="s">
        <v>621</v>
      </c>
      <c r="J289" t="s">
        <v>621</v>
      </c>
      <c r="K289" t="s">
        <v>622</v>
      </c>
      <c r="L289" t="s">
        <v>631</v>
      </c>
      <c r="M289" t="s">
        <v>632</v>
      </c>
      <c r="N289" t="s">
        <v>941</v>
      </c>
      <c r="P289" t="s">
        <v>575</v>
      </c>
      <c r="Q289" t="s">
        <v>620</v>
      </c>
      <c r="R289" t="s">
        <v>1010</v>
      </c>
      <c r="S289">
        <v>20170120</v>
      </c>
      <c r="T289" t="s">
        <v>1204</v>
      </c>
      <c r="X289">
        <v>26</v>
      </c>
      <c r="Y289">
        <v>23000</v>
      </c>
      <c r="AA289" t="s">
        <v>577</v>
      </c>
      <c r="AB289">
        <v>20190220</v>
      </c>
      <c r="AE289">
        <f t="shared" si="4"/>
        <v>0</v>
      </c>
      <c r="AF289">
        <v>0</v>
      </c>
      <c r="AG289">
        <v>0</v>
      </c>
      <c r="AH289">
        <v>0</v>
      </c>
      <c r="AI289" s="121">
        <v>115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115</v>
      </c>
    </row>
    <row r="290" spans="1:41">
      <c r="A290">
        <v>201903</v>
      </c>
      <c r="B290">
        <v>25</v>
      </c>
      <c r="C290" t="s">
        <v>502</v>
      </c>
      <c r="D290">
        <v>3190063295301</v>
      </c>
      <c r="E290" t="s">
        <v>53</v>
      </c>
      <c r="F290" t="s">
        <v>569</v>
      </c>
      <c r="G290" t="s">
        <v>570</v>
      </c>
      <c r="H290" t="s">
        <v>571</v>
      </c>
      <c r="I290" t="s">
        <v>633</v>
      </c>
      <c r="L290" t="s">
        <v>641</v>
      </c>
      <c r="M290" t="s">
        <v>642</v>
      </c>
      <c r="N290" t="s">
        <v>921</v>
      </c>
      <c r="P290" t="s">
        <v>575</v>
      </c>
      <c r="Q290" t="s">
        <v>699</v>
      </c>
      <c r="R290" t="s">
        <v>1012</v>
      </c>
      <c r="S290">
        <v>20170120</v>
      </c>
      <c r="T290" t="s">
        <v>875</v>
      </c>
      <c r="X290">
        <v>26</v>
      </c>
      <c r="Y290">
        <v>50000</v>
      </c>
      <c r="AA290" t="s">
        <v>577</v>
      </c>
      <c r="AB290">
        <v>20190215</v>
      </c>
      <c r="AE290">
        <f t="shared" si="4"/>
        <v>0</v>
      </c>
      <c r="AF290">
        <v>0</v>
      </c>
      <c r="AG290">
        <v>0</v>
      </c>
      <c r="AH290">
        <v>0</v>
      </c>
      <c r="AI290" s="121">
        <v>250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250</v>
      </c>
    </row>
    <row r="291" spans="1:41">
      <c r="A291">
        <v>201903</v>
      </c>
      <c r="B291">
        <v>25</v>
      </c>
      <c r="C291" t="s">
        <v>502</v>
      </c>
      <c r="D291">
        <v>3190063444891</v>
      </c>
      <c r="E291" t="s">
        <v>53</v>
      </c>
      <c r="F291" t="s">
        <v>569</v>
      </c>
      <c r="G291" t="s">
        <v>570</v>
      </c>
      <c r="H291" t="s">
        <v>571</v>
      </c>
      <c r="I291" t="s">
        <v>633</v>
      </c>
      <c r="J291" t="s">
        <v>633</v>
      </c>
      <c r="K291" t="s">
        <v>634</v>
      </c>
      <c r="L291" t="s">
        <v>635</v>
      </c>
      <c r="M291" t="s">
        <v>636</v>
      </c>
      <c r="N291" t="s">
        <v>950</v>
      </c>
      <c r="P291" t="s">
        <v>575</v>
      </c>
      <c r="Q291" t="s">
        <v>620</v>
      </c>
      <c r="R291" t="s">
        <v>1011</v>
      </c>
      <c r="S291">
        <v>20170120</v>
      </c>
      <c r="T291" t="s">
        <v>1021</v>
      </c>
      <c r="X291">
        <v>26</v>
      </c>
      <c r="Y291">
        <v>126000</v>
      </c>
      <c r="AA291" t="s">
        <v>577</v>
      </c>
      <c r="AB291">
        <v>20190215</v>
      </c>
      <c r="AE291">
        <f t="shared" si="4"/>
        <v>0</v>
      </c>
      <c r="AF291">
        <v>0</v>
      </c>
      <c r="AG291">
        <v>0</v>
      </c>
      <c r="AH291">
        <v>0</v>
      </c>
      <c r="AI291" s="121">
        <v>945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945</v>
      </c>
    </row>
    <row r="292" spans="1:41">
      <c r="A292">
        <v>201903</v>
      </c>
      <c r="B292">
        <v>25</v>
      </c>
      <c r="C292" t="s">
        <v>502</v>
      </c>
      <c r="D292">
        <v>3190064024141</v>
      </c>
      <c r="E292" t="s">
        <v>53</v>
      </c>
      <c r="F292" t="s">
        <v>569</v>
      </c>
      <c r="G292" t="s">
        <v>570</v>
      </c>
      <c r="H292" t="s">
        <v>571</v>
      </c>
      <c r="I292" t="s">
        <v>691</v>
      </c>
      <c r="J292" t="s">
        <v>692</v>
      </c>
      <c r="K292" t="s">
        <v>700</v>
      </c>
      <c r="L292" t="s">
        <v>705</v>
      </c>
      <c r="M292" t="s">
        <v>687</v>
      </c>
      <c r="N292" t="s">
        <v>1227</v>
      </c>
      <c r="P292" t="s">
        <v>575</v>
      </c>
      <c r="Q292" t="s">
        <v>620</v>
      </c>
      <c r="R292" t="s">
        <v>1010</v>
      </c>
      <c r="S292">
        <v>20170124</v>
      </c>
      <c r="T292" t="s">
        <v>811</v>
      </c>
      <c r="X292">
        <v>26</v>
      </c>
      <c r="Y292">
        <v>85200</v>
      </c>
      <c r="AA292" t="s">
        <v>577</v>
      </c>
      <c r="AB292">
        <v>20190225</v>
      </c>
      <c r="AE292">
        <f t="shared" si="4"/>
        <v>0</v>
      </c>
      <c r="AF292">
        <v>0</v>
      </c>
      <c r="AG292">
        <v>0</v>
      </c>
      <c r="AH292">
        <v>0</v>
      </c>
      <c r="AI292" s="121">
        <v>426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426</v>
      </c>
    </row>
    <row r="293" spans="1:41">
      <c r="A293">
        <v>201903</v>
      </c>
      <c r="B293">
        <v>25</v>
      </c>
      <c r="C293" t="s">
        <v>502</v>
      </c>
      <c r="D293">
        <v>3190064426981</v>
      </c>
      <c r="E293" t="s">
        <v>53</v>
      </c>
      <c r="F293" t="s">
        <v>569</v>
      </c>
      <c r="G293" t="s">
        <v>570</v>
      </c>
      <c r="H293" t="s">
        <v>571</v>
      </c>
      <c r="I293" t="s">
        <v>691</v>
      </c>
      <c r="J293" t="s">
        <v>692</v>
      </c>
      <c r="K293" t="s">
        <v>700</v>
      </c>
      <c r="L293" t="s">
        <v>705</v>
      </c>
      <c r="M293" t="s">
        <v>687</v>
      </c>
      <c r="N293" t="s">
        <v>1227</v>
      </c>
      <c r="P293" t="s">
        <v>575</v>
      </c>
      <c r="Q293" t="s">
        <v>620</v>
      </c>
      <c r="R293" t="s">
        <v>1010</v>
      </c>
      <c r="S293">
        <v>20170131</v>
      </c>
      <c r="T293" t="s">
        <v>843</v>
      </c>
      <c r="X293">
        <v>26</v>
      </c>
      <c r="Y293">
        <v>32500</v>
      </c>
      <c r="AA293" t="s">
        <v>577</v>
      </c>
      <c r="AB293">
        <v>20190225</v>
      </c>
      <c r="AE293">
        <f t="shared" si="4"/>
        <v>0</v>
      </c>
      <c r="AF293">
        <v>0</v>
      </c>
      <c r="AG293">
        <v>0</v>
      </c>
      <c r="AH293">
        <v>0</v>
      </c>
      <c r="AI293" s="121">
        <v>162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162</v>
      </c>
    </row>
    <row r="294" spans="1:41">
      <c r="A294">
        <v>201903</v>
      </c>
      <c r="B294">
        <v>25</v>
      </c>
      <c r="C294" t="s">
        <v>502</v>
      </c>
      <c r="D294">
        <v>3190064441171</v>
      </c>
      <c r="E294" t="s">
        <v>53</v>
      </c>
      <c r="F294" t="s">
        <v>569</v>
      </c>
      <c r="G294" t="s">
        <v>570</v>
      </c>
      <c r="H294" t="s">
        <v>571</v>
      </c>
      <c r="I294" t="s">
        <v>691</v>
      </c>
      <c r="J294" t="s">
        <v>692</v>
      </c>
      <c r="K294" t="s">
        <v>700</v>
      </c>
      <c r="L294" t="s">
        <v>705</v>
      </c>
      <c r="M294" t="s">
        <v>687</v>
      </c>
      <c r="N294" t="s">
        <v>1227</v>
      </c>
      <c r="P294" t="s">
        <v>575</v>
      </c>
      <c r="Q294" t="s">
        <v>620</v>
      </c>
      <c r="R294" t="s">
        <v>1010</v>
      </c>
      <c r="S294">
        <v>20170131</v>
      </c>
      <c r="T294" t="s">
        <v>1032</v>
      </c>
      <c r="X294">
        <v>26</v>
      </c>
      <c r="Y294">
        <v>33300</v>
      </c>
      <c r="AA294" t="s">
        <v>577</v>
      </c>
      <c r="AB294">
        <v>20190225</v>
      </c>
      <c r="AE294">
        <f t="shared" si="4"/>
        <v>0</v>
      </c>
      <c r="AF294">
        <v>0</v>
      </c>
      <c r="AG294">
        <v>0</v>
      </c>
      <c r="AH294">
        <v>0</v>
      </c>
      <c r="AI294" s="121">
        <v>166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166</v>
      </c>
    </row>
    <row r="295" spans="1:41">
      <c r="A295">
        <v>201903</v>
      </c>
      <c r="B295">
        <v>25</v>
      </c>
      <c r="C295" t="s">
        <v>502</v>
      </c>
      <c r="D295">
        <v>3190064457851</v>
      </c>
      <c r="E295" t="s">
        <v>53</v>
      </c>
      <c r="F295" t="s">
        <v>569</v>
      </c>
      <c r="G295" t="s">
        <v>570</v>
      </c>
      <c r="H295" t="s">
        <v>571</v>
      </c>
      <c r="I295" t="s">
        <v>691</v>
      </c>
      <c r="J295" t="s">
        <v>692</v>
      </c>
      <c r="K295" t="s">
        <v>700</v>
      </c>
      <c r="L295" t="s">
        <v>705</v>
      </c>
      <c r="M295" t="s">
        <v>687</v>
      </c>
      <c r="N295" t="s">
        <v>1227</v>
      </c>
      <c r="P295" t="s">
        <v>575</v>
      </c>
      <c r="Q295" t="s">
        <v>620</v>
      </c>
      <c r="R295" t="s">
        <v>1010</v>
      </c>
      <c r="S295">
        <v>20170131</v>
      </c>
      <c r="T295" t="s">
        <v>855</v>
      </c>
      <c r="X295">
        <v>26</v>
      </c>
      <c r="Y295">
        <v>30000</v>
      </c>
      <c r="AA295" t="s">
        <v>577</v>
      </c>
      <c r="AB295">
        <v>20190220</v>
      </c>
      <c r="AE295">
        <f t="shared" si="4"/>
        <v>0</v>
      </c>
      <c r="AF295">
        <v>0</v>
      </c>
      <c r="AG295">
        <v>0</v>
      </c>
      <c r="AH295">
        <v>0</v>
      </c>
      <c r="AI295" s="121">
        <v>150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150</v>
      </c>
    </row>
    <row r="296" spans="1:41">
      <c r="A296">
        <v>201903</v>
      </c>
      <c r="B296">
        <v>25</v>
      </c>
      <c r="C296" t="s">
        <v>502</v>
      </c>
      <c r="D296">
        <v>3190064474821</v>
      </c>
      <c r="E296" t="s">
        <v>53</v>
      </c>
      <c r="F296" t="s">
        <v>569</v>
      </c>
      <c r="G296" t="s">
        <v>570</v>
      </c>
      <c r="H296" t="s">
        <v>571</v>
      </c>
      <c r="I296" t="s">
        <v>633</v>
      </c>
      <c r="L296" t="s">
        <v>641</v>
      </c>
      <c r="M296" t="s">
        <v>642</v>
      </c>
      <c r="N296" t="s">
        <v>921</v>
      </c>
      <c r="P296" t="s">
        <v>575</v>
      </c>
      <c r="Q296" t="s">
        <v>620</v>
      </c>
      <c r="R296" t="s">
        <v>1011</v>
      </c>
      <c r="S296">
        <v>20170131</v>
      </c>
      <c r="T296" t="s">
        <v>1219</v>
      </c>
      <c r="X296">
        <v>26</v>
      </c>
      <c r="Y296">
        <v>29826</v>
      </c>
      <c r="AA296" t="s">
        <v>577</v>
      </c>
      <c r="AB296">
        <v>20190220</v>
      </c>
      <c r="AE296">
        <f t="shared" si="4"/>
        <v>0</v>
      </c>
      <c r="AF296">
        <v>0</v>
      </c>
      <c r="AG296">
        <v>0</v>
      </c>
      <c r="AH296">
        <v>0</v>
      </c>
      <c r="AI296" s="121">
        <v>223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223</v>
      </c>
    </row>
    <row r="297" spans="1:41">
      <c r="A297">
        <v>201903</v>
      </c>
      <c r="B297">
        <v>25</v>
      </c>
      <c r="C297" t="s">
        <v>502</v>
      </c>
      <c r="D297">
        <v>3190466946701</v>
      </c>
      <c r="E297" t="s">
        <v>53</v>
      </c>
      <c r="F297" t="s">
        <v>569</v>
      </c>
      <c r="G297" t="s">
        <v>570</v>
      </c>
      <c r="H297" t="s">
        <v>571</v>
      </c>
      <c r="I297" t="s">
        <v>674</v>
      </c>
      <c r="J297" t="s">
        <v>674</v>
      </c>
      <c r="K297" t="s">
        <v>675</v>
      </c>
      <c r="L297" t="s">
        <v>482</v>
      </c>
      <c r="M297" t="s">
        <v>481</v>
      </c>
      <c r="N297" t="s">
        <v>967</v>
      </c>
      <c r="P297" t="s">
        <v>575</v>
      </c>
      <c r="Q297" t="s">
        <v>620</v>
      </c>
      <c r="R297" t="s">
        <v>952</v>
      </c>
      <c r="S297">
        <v>20181116</v>
      </c>
      <c r="T297" t="s">
        <v>843</v>
      </c>
      <c r="X297">
        <v>4</v>
      </c>
      <c r="Y297">
        <v>154755</v>
      </c>
      <c r="AA297" t="s">
        <v>577</v>
      </c>
      <c r="AB297">
        <v>20190225</v>
      </c>
      <c r="AE297">
        <f t="shared" si="4"/>
        <v>0</v>
      </c>
      <c r="AF297">
        <v>0</v>
      </c>
      <c r="AG297">
        <v>0</v>
      </c>
      <c r="AH297">
        <v>0</v>
      </c>
      <c r="AI297" s="121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</row>
    <row r="298" spans="1:41">
      <c r="A298">
        <v>201903</v>
      </c>
      <c r="B298">
        <v>25</v>
      </c>
      <c r="C298" t="s">
        <v>502</v>
      </c>
      <c r="D298">
        <v>3190467509561</v>
      </c>
      <c r="E298" t="s">
        <v>53</v>
      </c>
      <c r="F298" t="s">
        <v>569</v>
      </c>
      <c r="G298" t="s">
        <v>570</v>
      </c>
      <c r="H298" t="s">
        <v>571</v>
      </c>
      <c r="I298" t="s">
        <v>633</v>
      </c>
      <c r="J298" t="s">
        <v>633</v>
      </c>
      <c r="K298" t="s">
        <v>634</v>
      </c>
      <c r="L298" t="s">
        <v>670</v>
      </c>
      <c r="M298" t="s">
        <v>671</v>
      </c>
      <c r="N298" t="s">
        <v>936</v>
      </c>
      <c r="P298" t="s">
        <v>575</v>
      </c>
      <c r="Q298" t="s">
        <v>620</v>
      </c>
      <c r="R298" t="s">
        <v>952</v>
      </c>
      <c r="S298">
        <v>20181116</v>
      </c>
      <c r="T298" t="s">
        <v>802</v>
      </c>
      <c r="X298">
        <v>4</v>
      </c>
      <c r="Y298">
        <v>25601</v>
      </c>
      <c r="AA298" t="s">
        <v>577</v>
      </c>
      <c r="AB298">
        <v>20190228</v>
      </c>
      <c r="AE298">
        <f t="shared" si="4"/>
        <v>0</v>
      </c>
      <c r="AF298">
        <v>0</v>
      </c>
      <c r="AG298">
        <v>0</v>
      </c>
      <c r="AH298">
        <v>0</v>
      </c>
      <c r="AI298" s="121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</row>
    <row r="299" spans="1:41">
      <c r="A299">
        <v>201903</v>
      </c>
      <c r="B299">
        <v>25</v>
      </c>
      <c r="C299" t="s">
        <v>502</v>
      </c>
      <c r="D299">
        <v>3190467824711</v>
      </c>
      <c r="E299" t="s">
        <v>53</v>
      </c>
      <c r="F299" t="s">
        <v>569</v>
      </c>
      <c r="G299" t="s">
        <v>570</v>
      </c>
      <c r="H299" t="s">
        <v>571</v>
      </c>
      <c r="I299" t="s">
        <v>633</v>
      </c>
      <c r="J299" t="s">
        <v>633</v>
      </c>
      <c r="K299" t="s">
        <v>634</v>
      </c>
      <c r="L299" t="s">
        <v>672</v>
      </c>
      <c r="M299" t="s">
        <v>673</v>
      </c>
      <c r="N299" t="s">
        <v>934</v>
      </c>
      <c r="P299" t="s">
        <v>575</v>
      </c>
      <c r="Q299" t="s">
        <v>620</v>
      </c>
      <c r="R299" t="s">
        <v>952</v>
      </c>
      <c r="S299">
        <v>20181123</v>
      </c>
      <c r="T299" t="s">
        <v>997</v>
      </c>
      <c r="X299">
        <v>4</v>
      </c>
      <c r="Y299">
        <v>184179</v>
      </c>
      <c r="AA299" t="s">
        <v>577</v>
      </c>
      <c r="AB299">
        <v>20190208</v>
      </c>
      <c r="AE299">
        <f t="shared" si="4"/>
        <v>0</v>
      </c>
      <c r="AF299">
        <v>0</v>
      </c>
      <c r="AG299">
        <v>0</v>
      </c>
      <c r="AH299">
        <v>0</v>
      </c>
      <c r="AI299" s="121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</row>
    <row r="300" spans="1:41">
      <c r="A300">
        <v>201903</v>
      </c>
      <c r="B300">
        <v>25</v>
      </c>
      <c r="C300" t="s">
        <v>502</v>
      </c>
      <c r="D300">
        <v>3190468037311</v>
      </c>
      <c r="E300" t="s">
        <v>53</v>
      </c>
      <c r="F300" t="s">
        <v>569</v>
      </c>
      <c r="G300" t="s">
        <v>570</v>
      </c>
      <c r="H300" t="s">
        <v>571</v>
      </c>
      <c r="I300" t="s">
        <v>1140</v>
      </c>
      <c r="L300" t="s">
        <v>647</v>
      </c>
      <c r="M300" t="s">
        <v>648</v>
      </c>
      <c r="N300" t="s">
        <v>960</v>
      </c>
      <c r="P300" t="s">
        <v>575</v>
      </c>
      <c r="Q300" t="s">
        <v>620</v>
      </c>
      <c r="R300" t="s">
        <v>961</v>
      </c>
      <c r="S300">
        <v>20181120</v>
      </c>
      <c r="T300" t="s">
        <v>998</v>
      </c>
      <c r="V300">
        <v>0</v>
      </c>
      <c r="W300">
        <v>0</v>
      </c>
      <c r="X300">
        <v>4</v>
      </c>
      <c r="Y300">
        <v>25000</v>
      </c>
      <c r="AA300" t="s">
        <v>577</v>
      </c>
      <c r="AB300">
        <v>20190220</v>
      </c>
      <c r="AE300">
        <f t="shared" si="4"/>
        <v>0</v>
      </c>
      <c r="AF300">
        <v>0</v>
      </c>
      <c r="AG300">
        <v>0</v>
      </c>
      <c r="AH300">
        <v>0</v>
      </c>
      <c r="AI300" s="121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</row>
    <row r="301" spans="1:41">
      <c r="A301">
        <v>201903</v>
      </c>
      <c r="B301">
        <v>25</v>
      </c>
      <c r="C301" t="s">
        <v>502</v>
      </c>
      <c r="D301">
        <v>3190468084181</v>
      </c>
      <c r="E301" t="s">
        <v>53</v>
      </c>
      <c r="F301" t="s">
        <v>569</v>
      </c>
      <c r="G301" t="s">
        <v>570</v>
      </c>
      <c r="H301" t="s">
        <v>571</v>
      </c>
      <c r="I301" t="s">
        <v>1140</v>
      </c>
      <c r="L301" t="s">
        <v>647</v>
      </c>
      <c r="M301" t="s">
        <v>648</v>
      </c>
      <c r="N301" t="s">
        <v>960</v>
      </c>
      <c r="P301" t="s">
        <v>575</v>
      </c>
      <c r="Q301" t="s">
        <v>620</v>
      </c>
      <c r="R301" t="s">
        <v>961</v>
      </c>
      <c r="S301">
        <v>20181126</v>
      </c>
      <c r="T301" t="s">
        <v>991</v>
      </c>
      <c r="V301">
        <v>0</v>
      </c>
      <c r="W301">
        <v>0</v>
      </c>
      <c r="X301">
        <v>4</v>
      </c>
      <c r="Y301">
        <v>25000</v>
      </c>
      <c r="AA301" t="s">
        <v>577</v>
      </c>
      <c r="AB301">
        <v>20190220</v>
      </c>
      <c r="AE301">
        <f t="shared" si="4"/>
        <v>0</v>
      </c>
      <c r="AF301">
        <v>0</v>
      </c>
      <c r="AG301">
        <v>0</v>
      </c>
      <c r="AH301">
        <v>0</v>
      </c>
      <c r="AI301" s="12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</row>
    <row r="302" spans="1:41">
      <c r="A302">
        <v>201903</v>
      </c>
      <c r="B302">
        <v>25</v>
      </c>
      <c r="C302" t="s">
        <v>502</v>
      </c>
      <c r="D302">
        <v>3190468332721</v>
      </c>
      <c r="E302" t="s">
        <v>53</v>
      </c>
      <c r="F302" t="s">
        <v>569</v>
      </c>
      <c r="G302" t="s">
        <v>570</v>
      </c>
      <c r="H302" t="s">
        <v>571</v>
      </c>
      <c r="I302" t="s">
        <v>618</v>
      </c>
      <c r="J302" t="s">
        <v>618</v>
      </c>
      <c r="K302" t="s">
        <v>619</v>
      </c>
      <c r="L302" t="s">
        <v>627</v>
      </c>
      <c r="M302" t="s">
        <v>628</v>
      </c>
      <c r="N302" t="s">
        <v>1043</v>
      </c>
      <c r="P302" t="s">
        <v>575</v>
      </c>
      <c r="Q302" t="s">
        <v>620</v>
      </c>
      <c r="R302" t="s">
        <v>968</v>
      </c>
      <c r="S302">
        <v>20181120</v>
      </c>
      <c r="T302" t="s">
        <v>866</v>
      </c>
      <c r="X302">
        <v>4</v>
      </c>
      <c r="Y302">
        <v>150000</v>
      </c>
      <c r="AA302" t="s">
        <v>577</v>
      </c>
      <c r="AB302">
        <v>20190225</v>
      </c>
      <c r="AE302">
        <f t="shared" si="4"/>
        <v>0</v>
      </c>
      <c r="AF302">
        <v>0</v>
      </c>
      <c r="AG302">
        <v>0</v>
      </c>
      <c r="AH302">
        <v>0</v>
      </c>
      <c r="AI302" s="121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</row>
    <row r="303" spans="1:41">
      <c r="A303">
        <v>201903</v>
      </c>
      <c r="B303">
        <v>25</v>
      </c>
      <c r="C303" t="s">
        <v>502</v>
      </c>
      <c r="D303">
        <v>3190469652521</v>
      </c>
      <c r="E303" t="s">
        <v>53</v>
      </c>
      <c r="F303" t="s">
        <v>569</v>
      </c>
      <c r="G303" t="s">
        <v>570</v>
      </c>
      <c r="H303" t="s">
        <v>571</v>
      </c>
      <c r="I303" t="s">
        <v>633</v>
      </c>
      <c r="L303" t="s">
        <v>641</v>
      </c>
      <c r="M303" t="s">
        <v>642</v>
      </c>
      <c r="N303" t="s">
        <v>921</v>
      </c>
      <c r="P303" t="s">
        <v>575</v>
      </c>
      <c r="Q303" t="s">
        <v>620</v>
      </c>
      <c r="R303" t="s">
        <v>952</v>
      </c>
      <c r="S303">
        <v>20181128</v>
      </c>
      <c r="T303" t="s">
        <v>839</v>
      </c>
      <c r="X303">
        <v>4</v>
      </c>
      <c r="Y303">
        <v>33417</v>
      </c>
      <c r="AA303" t="s">
        <v>577</v>
      </c>
      <c r="AB303">
        <v>20190211</v>
      </c>
      <c r="AE303">
        <f t="shared" si="4"/>
        <v>0</v>
      </c>
      <c r="AF303">
        <v>0</v>
      </c>
      <c r="AG303">
        <v>0</v>
      </c>
      <c r="AH303">
        <v>0</v>
      </c>
      <c r="AI303" s="121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</row>
    <row r="304" spans="1:41">
      <c r="A304">
        <v>201903</v>
      </c>
      <c r="B304">
        <v>25</v>
      </c>
      <c r="C304" t="s">
        <v>502</v>
      </c>
      <c r="D304">
        <v>3190470091831</v>
      </c>
      <c r="E304" t="s">
        <v>53</v>
      </c>
      <c r="F304" t="s">
        <v>569</v>
      </c>
      <c r="G304" t="s">
        <v>570</v>
      </c>
      <c r="H304" t="s">
        <v>571</v>
      </c>
      <c r="I304" t="s">
        <v>633</v>
      </c>
      <c r="J304" t="s">
        <v>633</v>
      </c>
      <c r="K304" t="s">
        <v>634</v>
      </c>
      <c r="L304" t="s">
        <v>672</v>
      </c>
      <c r="M304" t="s">
        <v>673</v>
      </c>
      <c r="N304" t="s">
        <v>934</v>
      </c>
      <c r="P304" t="s">
        <v>575</v>
      </c>
      <c r="Q304" t="s">
        <v>620</v>
      </c>
      <c r="R304" t="s">
        <v>951</v>
      </c>
      <c r="S304">
        <v>20181127</v>
      </c>
      <c r="T304" t="s">
        <v>878</v>
      </c>
      <c r="X304">
        <v>4</v>
      </c>
      <c r="Y304">
        <v>31000</v>
      </c>
      <c r="AA304" t="s">
        <v>577</v>
      </c>
      <c r="AB304">
        <v>20190220</v>
      </c>
      <c r="AE304">
        <f t="shared" si="4"/>
        <v>0</v>
      </c>
      <c r="AF304">
        <v>0</v>
      </c>
      <c r="AG304">
        <v>0</v>
      </c>
      <c r="AH304">
        <v>0</v>
      </c>
      <c r="AI304" s="121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</row>
    <row r="305" spans="1:41">
      <c r="A305">
        <v>201903</v>
      </c>
      <c r="B305">
        <v>25</v>
      </c>
      <c r="C305" t="s">
        <v>502</v>
      </c>
      <c r="D305">
        <v>3190470165811</v>
      </c>
      <c r="E305" t="s">
        <v>53</v>
      </c>
      <c r="F305" t="s">
        <v>569</v>
      </c>
      <c r="G305" t="s">
        <v>570</v>
      </c>
      <c r="H305" t="s">
        <v>571</v>
      </c>
      <c r="I305" t="s">
        <v>633</v>
      </c>
      <c r="J305" t="s">
        <v>633</v>
      </c>
      <c r="K305" t="s">
        <v>634</v>
      </c>
      <c r="L305" t="s">
        <v>672</v>
      </c>
      <c r="M305" t="s">
        <v>673</v>
      </c>
      <c r="N305" t="s">
        <v>934</v>
      </c>
      <c r="P305" t="s">
        <v>575</v>
      </c>
      <c r="Q305" t="s">
        <v>620</v>
      </c>
      <c r="R305" t="s">
        <v>1200</v>
      </c>
      <c r="S305">
        <v>20181127</v>
      </c>
      <c r="T305" t="s">
        <v>842</v>
      </c>
      <c r="X305">
        <v>4</v>
      </c>
      <c r="Y305">
        <v>31000</v>
      </c>
      <c r="AA305" t="s">
        <v>577</v>
      </c>
      <c r="AB305">
        <v>20190225</v>
      </c>
      <c r="AE305">
        <f t="shared" si="4"/>
        <v>0</v>
      </c>
      <c r="AF305">
        <v>0</v>
      </c>
      <c r="AG305">
        <v>0</v>
      </c>
      <c r="AH305">
        <v>0</v>
      </c>
      <c r="AI305" s="121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</row>
    <row r="306" spans="1:41">
      <c r="A306">
        <v>201903</v>
      </c>
      <c r="B306">
        <v>25</v>
      </c>
      <c r="C306" t="s">
        <v>502</v>
      </c>
      <c r="D306">
        <v>3190470760871</v>
      </c>
      <c r="E306" t="s">
        <v>53</v>
      </c>
      <c r="F306" t="s">
        <v>569</v>
      </c>
      <c r="G306" t="s">
        <v>570</v>
      </c>
      <c r="H306" t="s">
        <v>571</v>
      </c>
      <c r="I306" t="s">
        <v>674</v>
      </c>
      <c r="J306" t="s">
        <v>674</v>
      </c>
      <c r="K306" t="s">
        <v>675</v>
      </c>
      <c r="L306" t="s">
        <v>482</v>
      </c>
      <c r="M306" t="s">
        <v>481</v>
      </c>
      <c r="N306" t="s">
        <v>967</v>
      </c>
      <c r="P306" t="s">
        <v>575</v>
      </c>
      <c r="Q306" t="s">
        <v>620</v>
      </c>
      <c r="R306" t="s">
        <v>952</v>
      </c>
      <c r="S306">
        <v>20181129</v>
      </c>
      <c r="T306" t="s">
        <v>1201</v>
      </c>
      <c r="X306">
        <v>4</v>
      </c>
      <c r="Y306">
        <v>44705</v>
      </c>
      <c r="AA306" t="s">
        <v>577</v>
      </c>
      <c r="AB306">
        <v>20190225</v>
      </c>
      <c r="AE306">
        <f t="shared" si="4"/>
        <v>0</v>
      </c>
      <c r="AF306">
        <v>0</v>
      </c>
      <c r="AG306">
        <v>0</v>
      </c>
      <c r="AH306">
        <v>0</v>
      </c>
      <c r="AI306" s="121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</row>
    <row r="307" spans="1:41">
      <c r="A307">
        <v>201903</v>
      </c>
      <c r="B307">
        <v>25</v>
      </c>
      <c r="C307" t="s">
        <v>502</v>
      </c>
      <c r="D307">
        <v>3190471048851</v>
      </c>
      <c r="E307" t="s">
        <v>53</v>
      </c>
      <c r="F307" t="s">
        <v>569</v>
      </c>
      <c r="G307" t="s">
        <v>570</v>
      </c>
      <c r="H307" t="s">
        <v>571</v>
      </c>
      <c r="I307" t="s">
        <v>633</v>
      </c>
      <c r="J307" t="s">
        <v>633</v>
      </c>
      <c r="K307" t="s">
        <v>634</v>
      </c>
      <c r="L307" t="s">
        <v>672</v>
      </c>
      <c r="M307" t="s">
        <v>673</v>
      </c>
      <c r="N307" t="s">
        <v>934</v>
      </c>
      <c r="P307" t="s">
        <v>575</v>
      </c>
      <c r="Q307" t="s">
        <v>620</v>
      </c>
      <c r="R307" t="s">
        <v>1200</v>
      </c>
      <c r="S307">
        <v>20181130</v>
      </c>
      <c r="T307" t="s">
        <v>787</v>
      </c>
      <c r="X307">
        <v>4</v>
      </c>
      <c r="Y307">
        <v>28000</v>
      </c>
      <c r="AA307" t="s">
        <v>577</v>
      </c>
      <c r="AB307">
        <v>20190228</v>
      </c>
      <c r="AE307">
        <f t="shared" si="4"/>
        <v>0</v>
      </c>
      <c r="AF307">
        <v>0</v>
      </c>
      <c r="AG307">
        <v>0</v>
      </c>
      <c r="AH307">
        <v>0</v>
      </c>
      <c r="AI307" s="121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</row>
    <row r="308" spans="1:41">
      <c r="A308">
        <v>201903</v>
      </c>
      <c r="B308">
        <v>25</v>
      </c>
      <c r="C308" t="s">
        <v>502</v>
      </c>
      <c r="D308">
        <v>3190471130591</v>
      </c>
      <c r="E308" t="s">
        <v>53</v>
      </c>
      <c r="F308" t="s">
        <v>569</v>
      </c>
      <c r="G308" t="s">
        <v>570</v>
      </c>
      <c r="H308" t="s">
        <v>571</v>
      </c>
      <c r="I308" t="s">
        <v>674</v>
      </c>
      <c r="J308" t="s">
        <v>674</v>
      </c>
      <c r="K308" t="s">
        <v>675</v>
      </c>
      <c r="L308" t="s">
        <v>482</v>
      </c>
      <c r="M308" t="s">
        <v>481</v>
      </c>
      <c r="N308" t="s">
        <v>967</v>
      </c>
      <c r="P308" t="s">
        <v>575</v>
      </c>
      <c r="Q308" t="s">
        <v>620</v>
      </c>
      <c r="R308" t="s">
        <v>1200</v>
      </c>
      <c r="S308">
        <v>20181129</v>
      </c>
      <c r="T308" t="s">
        <v>843</v>
      </c>
      <c r="X308">
        <v>4</v>
      </c>
      <c r="Y308">
        <v>51000</v>
      </c>
      <c r="AA308" t="s">
        <v>577</v>
      </c>
      <c r="AB308">
        <v>20190220</v>
      </c>
      <c r="AE308">
        <f t="shared" si="4"/>
        <v>0</v>
      </c>
      <c r="AF308">
        <v>0</v>
      </c>
      <c r="AG308">
        <v>0</v>
      </c>
      <c r="AH308">
        <v>0</v>
      </c>
      <c r="AI308" s="121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</row>
    <row r="309" spans="1:41">
      <c r="A309">
        <v>201903</v>
      </c>
      <c r="B309">
        <v>25</v>
      </c>
      <c r="C309" t="s">
        <v>502</v>
      </c>
      <c r="D309">
        <v>3190472981141</v>
      </c>
      <c r="E309" t="s">
        <v>53</v>
      </c>
      <c r="F309" t="s">
        <v>569</v>
      </c>
      <c r="G309" t="s">
        <v>570</v>
      </c>
      <c r="H309" t="s">
        <v>571</v>
      </c>
      <c r="I309" t="s">
        <v>674</v>
      </c>
      <c r="J309" t="s">
        <v>674</v>
      </c>
      <c r="K309" t="s">
        <v>675</v>
      </c>
      <c r="L309" t="s">
        <v>489</v>
      </c>
      <c r="M309" t="s">
        <v>488</v>
      </c>
      <c r="N309" t="s">
        <v>902</v>
      </c>
      <c r="P309" t="s">
        <v>575</v>
      </c>
      <c r="Q309" t="s">
        <v>620</v>
      </c>
      <c r="R309" t="s">
        <v>951</v>
      </c>
      <c r="S309">
        <v>20181206</v>
      </c>
      <c r="T309" t="s">
        <v>782</v>
      </c>
      <c r="X309">
        <v>3</v>
      </c>
      <c r="Y309">
        <v>39500</v>
      </c>
      <c r="AA309" t="s">
        <v>577</v>
      </c>
      <c r="AB309">
        <v>20190225</v>
      </c>
      <c r="AE309">
        <f t="shared" si="4"/>
        <v>0</v>
      </c>
      <c r="AF309">
        <v>0</v>
      </c>
      <c r="AG309">
        <v>0</v>
      </c>
      <c r="AH309">
        <v>0</v>
      </c>
      <c r="AI309" s="121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</row>
    <row r="310" spans="1:41">
      <c r="A310">
        <v>201903</v>
      </c>
      <c r="B310">
        <v>25</v>
      </c>
      <c r="C310" t="s">
        <v>502</v>
      </c>
      <c r="D310">
        <v>3190473040701</v>
      </c>
      <c r="E310" t="s">
        <v>53</v>
      </c>
      <c r="F310" t="s">
        <v>569</v>
      </c>
      <c r="G310" t="s">
        <v>570</v>
      </c>
      <c r="H310" t="s">
        <v>571</v>
      </c>
      <c r="I310" t="s">
        <v>633</v>
      </c>
      <c r="J310" t="s">
        <v>633</v>
      </c>
      <c r="K310" t="s">
        <v>634</v>
      </c>
      <c r="L310" t="s">
        <v>672</v>
      </c>
      <c r="M310" t="s">
        <v>673</v>
      </c>
      <c r="N310" t="s">
        <v>934</v>
      </c>
      <c r="P310" t="s">
        <v>575</v>
      </c>
      <c r="Q310" t="s">
        <v>620</v>
      </c>
      <c r="R310" t="s">
        <v>952</v>
      </c>
      <c r="S310">
        <v>20181207</v>
      </c>
      <c r="T310" t="s">
        <v>833</v>
      </c>
      <c r="X310">
        <v>3</v>
      </c>
      <c r="Y310">
        <v>27853</v>
      </c>
      <c r="AA310" t="s">
        <v>577</v>
      </c>
      <c r="AB310">
        <v>20190220</v>
      </c>
      <c r="AE310">
        <f t="shared" si="4"/>
        <v>0</v>
      </c>
      <c r="AF310">
        <v>0</v>
      </c>
      <c r="AG310">
        <v>0</v>
      </c>
      <c r="AH310">
        <v>0</v>
      </c>
      <c r="AI310" s="121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</row>
    <row r="311" spans="1:41">
      <c r="A311">
        <v>201903</v>
      </c>
      <c r="B311">
        <v>25</v>
      </c>
      <c r="C311" t="s">
        <v>502</v>
      </c>
      <c r="D311">
        <v>3190474315071</v>
      </c>
      <c r="E311" t="s">
        <v>53</v>
      </c>
      <c r="F311" t="s">
        <v>569</v>
      </c>
      <c r="G311" t="s">
        <v>570</v>
      </c>
      <c r="H311" t="s">
        <v>571</v>
      </c>
      <c r="I311" t="s">
        <v>633</v>
      </c>
      <c r="J311" t="s">
        <v>633</v>
      </c>
      <c r="K311" t="s">
        <v>634</v>
      </c>
      <c r="L311" t="s">
        <v>672</v>
      </c>
      <c r="M311" t="s">
        <v>673</v>
      </c>
      <c r="N311" t="s">
        <v>934</v>
      </c>
      <c r="P311" t="s">
        <v>575</v>
      </c>
      <c r="Q311" t="s">
        <v>620</v>
      </c>
      <c r="R311" t="s">
        <v>952</v>
      </c>
      <c r="S311">
        <v>20181212</v>
      </c>
      <c r="T311" t="s">
        <v>847</v>
      </c>
      <c r="X311">
        <v>3</v>
      </c>
      <c r="Y311">
        <v>133051</v>
      </c>
      <c r="AA311" t="s">
        <v>577</v>
      </c>
      <c r="AB311">
        <v>20190201</v>
      </c>
      <c r="AE311">
        <f t="shared" si="4"/>
        <v>0</v>
      </c>
      <c r="AF311">
        <v>0</v>
      </c>
      <c r="AG311">
        <v>0</v>
      </c>
      <c r="AH311">
        <v>0</v>
      </c>
      <c r="AI311" s="12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</row>
    <row r="312" spans="1:41">
      <c r="A312">
        <v>201903</v>
      </c>
      <c r="B312">
        <v>25</v>
      </c>
      <c r="C312" t="s">
        <v>502</v>
      </c>
      <c r="D312">
        <v>3190475033381</v>
      </c>
      <c r="E312" t="s">
        <v>53</v>
      </c>
      <c r="F312" t="s">
        <v>569</v>
      </c>
      <c r="G312" t="s">
        <v>570</v>
      </c>
      <c r="H312" t="s">
        <v>571</v>
      </c>
      <c r="I312" t="s">
        <v>646</v>
      </c>
      <c r="L312" t="s">
        <v>677</v>
      </c>
      <c r="M312" t="s">
        <v>678</v>
      </c>
      <c r="N312" t="s">
        <v>938</v>
      </c>
      <c r="P312" t="s">
        <v>575</v>
      </c>
      <c r="Q312" t="s">
        <v>620</v>
      </c>
      <c r="R312" t="s">
        <v>952</v>
      </c>
      <c r="S312">
        <v>20181214</v>
      </c>
      <c r="T312" t="s">
        <v>870</v>
      </c>
      <c r="X312">
        <v>3</v>
      </c>
      <c r="Y312">
        <v>84028</v>
      </c>
      <c r="AA312" t="s">
        <v>577</v>
      </c>
      <c r="AB312">
        <v>20190220</v>
      </c>
      <c r="AE312">
        <f t="shared" si="4"/>
        <v>0</v>
      </c>
      <c r="AF312">
        <v>0</v>
      </c>
      <c r="AG312">
        <v>0</v>
      </c>
      <c r="AH312">
        <v>0</v>
      </c>
      <c r="AI312" s="121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</row>
    <row r="313" spans="1:41">
      <c r="A313">
        <v>201903</v>
      </c>
      <c r="B313">
        <v>25</v>
      </c>
      <c r="C313" t="s">
        <v>502</v>
      </c>
      <c r="D313">
        <v>3190476959131</v>
      </c>
      <c r="E313" t="s">
        <v>53</v>
      </c>
      <c r="F313" t="s">
        <v>569</v>
      </c>
      <c r="G313" t="s">
        <v>570</v>
      </c>
      <c r="H313" t="s">
        <v>571</v>
      </c>
      <c r="I313" t="s">
        <v>633</v>
      </c>
      <c r="J313" t="s">
        <v>633</v>
      </c>
      <c r="K313" t="s">
        <v>634</v>
      </c>
      <c r="L313" t="s">
        <v>651</v>
      </c>
      <c r="M313" t="s">
        <v>652</v>
      </c>
      <c r="N313" t="s">
        <v>946</v>
      </c>
      <c r="P313" t="s">
        <v>575</v>
      </c>
      <c r="Q313" t="s">
        <v>540</v>
      </c>
      <c r="R313" t="s">
        <v>955</v>
      </c>
      <c r="S313">
        <v>20181221</v>
      </c>
      <c r="T313" t="s">
        <v>1119</v>
      </c>
      <c r="X313">
        <v>3</v>
      </c>
      <c r="Y313">
        <v>29482</v>
      </c>
      <c r="AA313" t="s">
        <v>577</v>
      </c>
      <c r="AB313">
        <v>20190220</v>
      </c>
      <c r="AE313">
        <f t="shared" si="4"/>
        <v>0</v>
      </c>
      <c r="AF313">
        <v>0</v>
      </c>
      <c r="AG313">
        <v>0</v>
      </c>
      <c r="AH313">
        <v>0</v>
      </c>
      <c r="AI313" s="121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</row>
    <row r="314" spans="1:41">
      <c r="A314">
        <v>201903</v>
      </c>
      <c r="B314">
        <v>25</v>
      </c>
      <c r="C314" t="s">
        <v>502</v>
      </c>
      <c r="D314">
        <v>3190477079011</v>
      </c>
      <c r="E314" t="s">
        <v>53</v>
      </c>
      <c r="F314" t="s">
        <v>569</v>
      </c>
      <c r="G314" t="s">
        <v>570</v>
      </c>
      <c r="H314" t="s">
        <v>571</v>
      </c>
      <c r="I314" t="s">
        <v>621</v>
      </c>
      <c r="J314" t="s">
        <v>621</v>
      </c>
      <c r="K314" t="s">
        <v>657</v>
      </c>
      <c r="L314" t="s">
        <v>660</v>
      </c>
      <c r="M314" t="s">
        <v>661</v>
      </c>
      <c r="N314" t="s">
        <v>948</v>
      </c>
      <c r="P314" t="s">
        <v>575</v>
      </c>
      <c r="Q314" t="s">
        <v>620</v>
      </c>
      <c r="R314" t="s">
        <v>1200</v>
      </c>
      <c r="S314">
        <v>20181227</v>
      </c>
      <c r="T314" t="s">
        <v>886</v>
      </c>
      <c r="V314">
        <v>10</v>
      </c>
      <c r="W314">
        <v>10</v>
      </c>
      <c r="X314">
        <v>3</v>
      </c>
      <c r="Y314">
        <v>30000</v>
      </c>
      <c r="AA314" t="s">
        <v>577</v>
      </c>
      <c r="AB314">
        <v>20190220</v>
      </c>
      <c r="AE314">
        <f t="shared" si="4"/>
        <v>0</v>
      </c>
      <c r="AF314">
        <v>0</v>
      </c>
      <c r="AG314">
        <v>0</v>
      </c>
      <c r="AH314">
        <v>0</v>
      </c>
      <c r="AI314" s="121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</row>
    <row r="315" spans="1:41">
      <c r="A315">
        <v>201903</v>
      </c>
      <c r="B315">
        <v>25</v>
      </c>
      <c r="C315" t="s">
        <v>502</v>
      </c>
      <c r="D315">
        <v>3190477081751</v>
      </c>
      <c r="E315" t="s">
        <v>53</v>
      </c>
      <c r="F315" t="s">
        <v>569</v>
      </c>
      <c r="G315" t="s">
        <v>570</v>
      </c>
      <c r="H315" t="s">
        <v>571</v>
      </c>
      <c r="I315" t="s">
        <v>674</v>
      </c>
      <c r="J315" t="s">
        <v>674</v>
      </c>
      <c r="K315" t="s">
        <v>675</v>
      </c>
      <c r="L315" t="s">
        <v>482</v>
      </c>
      <c r="M315" t="s">
        <v>481</v>
      </c>
      <c r="N315" t="s">
        <v>967</v>
      </c>
      <c r="P315" t="s">
        <v>575</v>
      </c>
      <c r="Q315" t="s">
        <v>620</v>
      </c>
      <c r="R315" t="s">
        <v>968</v>
      </c>
      <c r="S315">
        <v>20181231</v>
      </c>
      <c r="T315" t="s">
        <v>813</v>
      </c>
      <c r="X315">
        <v>2</v>
      </c>
      <c r="Y315">
        <v>64500</v>
      </c>
      <c r="AA315" t="s">
        <v>577</v>
      </c>
      <c r="AB315">
        <v>20190225</v>
      </c>
      <c r="AE315">
        <f t="shared" si="4"/>
        <v>0</v>
      </c>
      <c r="AF315">
        <v>0</v>
      </c>
      <c r="AG315">
        <v>0</v>
      </c>
      <c r="AH315">
        <v>0</v>
      </c>
      <c r="AI315" s="121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</row>
    <row r="316" spans="1:41">
      <c r="A316">
        <v>201903</v>
      </c>
      <c r="B316">
        <v>25</v>
      </c>
      <c r="C316" t="s">
        <v>502</v>
      </c>
      <c r="D316">
        <v>3190477547241</v>
      </c>
      <c r="E316" t="s">
        <v>53</v>
      </c>
      <c r="F316" t="s">
        <v>569</v>
      </c>
      <c r="G316" t="s">
        <v>570</v>
      </c>
      <c r="H316" t="s">
        <v>571</v>
      </c>
      <c r="I316" t="s">
        <v>633</v>
      </c>
      <c r="L316" t="s">
        <v>641</v>
      </c>
      <c r="M316" t="s">
        <v>642</v>
      </c>
      <c r="N316" t="s">
        <v>921</v>
      </c>
      <c r="P316" t="s">
        <v>575</v>
      </c>
      <c r="Q316" t="s">
        <v>620</v>
      </c>
      <c r="R316" t="s">
        <v>1200</v>
      </c>
      <c r="S316">
        <v>20181231</v>
      </c>
      <c r="T316" t="s">
        <v>793</v>
      </c>
      <c r="X316">
        <v>3</v>
      </c>
      <c r="Y316">
        <v>37000</v>
      </c>
      <c r="AA316" t="s">
        <v>577</v>
      </c>
      <c r="AB316">
        <v>20190220</v>
      </c>
      <c r="AE316">
        <f t="shared" si="4"/>
        <v>0</v>
      </c>
      <c r="AF316">
        <v>0</v>
      </c>
      <c r="AG316">
        <v>0</v>
      </c>
      <c r="AH316">
        <v>0</v>
      </c>
      <c r="AI316" s="121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</row>
    <row r="317" spans="1:41">
      <c r="A317">
        <v>201903</v>
      </c>
      <c r="B317">
        <v>25</v>
      </c>
      <c r="C317" t="s">
        <v>502</v>
      </c>
      <c r="D317">
        <v>3190477548011</v>
      </c>
      <c r="E317" t="s">
        <v>53</v>
      </c>
      <c r="F317" t="s">
        <v>569</v>
      </c>
      <c r="G317" t="s">
        <v>570</v>
      </c>
      <c r="H317" t="s">
        <v>571</v>
      </c>
      <c r="I317" t="s">
        <v>633</v>
      </c>
      <c r="L317" t="s">
        <v>641</v>
      </c>
      <c r="M317" t="s">
        <v>642</v>
      </c>
      <c r="N317" t="s">
        <v>921</v>
      </c>
      <c r="P317" t="s">
        <v>575</v>
      </c>
      <c r="Q317" t="s">
        <v>620</v>
      </c>
      <c r="R317" t="s">
        <v>1200</v>
      </c>
      <c r="S317">
        <v>20181231</v>
      </c>
      <c r="T317" t="s">
        <v>793</v>
      </c>
      <c r="X317">
        <v>3</v>
      </c>
      <c r="Y317">
        <v>23000</v>
      </c>
      <c r="AA317" t="s">
        <v>577</v>
      </c>
      <c r="AB317">
        <v>20190220</v>
      </c>
      <c r="AE317">
        <f t="shared" si="4"/>
        <v>0</v>
      </c>
      <c r="AF317">
        <v>0</v>
      </c>
      <c r="AG317">
        <v>0</v>
      </c>
      <c r="AH317">
        <v>0</v>
      </c>
      <c r="AI317" s="121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</row>
    <row r="318" spans="1:41">
      <c r="A318">
        <v>201903</v>
      </c>
      <c r="B318">
        <v>25</v>
      </c>
      <c r="C318" t="s">
        <v>502</v>
      </c>
      <c r="D318">
        <v>3190478473101</v>
      </c>
      <c r="E318" t="s">
        <v>53</v>
      </c>
      <c r="F318" t="s">
        <v>569</v>
      </c>
      <c r="G318" t="s">
        <v>570</v>
      </c>
      <c r="H318" t="s">
        <v>571</v>
      </c>
      <c r="I318" t="s">
        <v>633</v>
      </c>
      <c r="J318" t="s">
        <v>633</v>
      </c>
      <c r="K318" t="s">
        <v>634</v>
      </c>
      <c r="L318" t="s">
        <v>672</v>
      </c>
      <c r="M318" t="s">
        <v>673</v>
      </c>
      <c r="N318" t="s">
        <v>934</v>
      </c>
      <c r="P318" t="s">
        <v>575</v>
      </c>
      <c r="Q318" t="s">
        <v>620</v>
      </c>
      <c r="R318" t="s">
        <v>957</v>
      </c>
      <c r="S318">
        <v>20190103</v>
      </c>
      <c r="T318" t="s">
        <v>976</v>
      </c>
      <c r="X318">
        <v>2</v>
      </c>
      <c r="Y318">
        <v>50332</v>
      </c>
      <c r="AA318" t="s">
        <v>577</v>
      </c>
      <c r="AB318">
        <v>20190228</v>
      </c>
      <c r="AE318">
        <f t="shared" si="4"/>
        <v>0</v>
      </c>
      <c r="AF318">
        <v>0</v>
      </c>
      <c r="AG318">
        <v>0</v>
      </c>
      <c r="AH318">
        <v>0</v>
      </c>
      <c r="AI318" s="121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</row>
    <row r="319" spans="1:41">
      <c r="A319">
        <v>201903</v>
      </c>
      <c r="B319">
        <v>25</v>
      </c>
      <c r="C319" t="s">
        <v>502</v>
      </c>
      <c r="D319">
        <v>3190479123071</v>
      </c>
      <c r="E319" t="s">
        <v>53</v>
      </c>
      <c r="F319" t="s">
        <v>569</v>
      </c>
      <c r="G319" t="s">
        <v>570</v>
      </c>
      <c r="H319" t="s">
        <v>571</v>
      </c>
      <c r="I319" t="s">
        <v>633</v>
      </c>
      <c r="L319" t="s">
        <v>641</v>
      </c>
      <c r="M319" t="s">
        <v>642</v>
      </c>
      <c r="N319" t="s">
        <v>921</v>
      </c>
      <c r="P319" t="s">
        <v>575</v>
      </c>
      <c r="Q319" t="s">
        <v>620</v>
      </c>
      <c r="R319" t="s">
        <v>957</v>
      </c>
      <c r="S319">
        <v>20190104</v>
      </c>
      <c r="T319" t="s">
        <v>970</v>
      </c>
      <c r="X319">
        <v>2</v>
      </c>
      <c r="Y319">
        <v>111473</v>
      </c>
      <c r="AA319" t="s">
        <v>577</v>
      </c>
      <c r="AB319">
        <v>20190215</v>
      </c>
      <c r="AE319">
        <f t="shared" si="4"/>
        <v>0</v>
      </c>
      <c r="AF319">
        <v>0</v>
      </c>
      <c r="AG319">
        <v>0</v>
      </c>
      <c r="AH319">
        <v>0</v>
      </c>
      <c r="AI319" s="121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</row>
    <row r="320" spans="1:41">
      <c r="A320">
        <v>201903</v>
      </c>
      <c r="B320">
        <v>25</v>
      </c>
      <c r="C320" t="s">
        <v>502</v>
      </c>
      <c r="D320">
        <v>3190479619621</v>
      </c>
      <c r="E320" t="s">
        <v>53</v>
      </c>
      <c r="F320" t="s">
        <v>569</v>
      </c>
      <c r="G320" t="s">
        <v>570</v>
      </c>
      <c r="H320" t="s">
        <v>571</v>
      </c>
      <c r="I320" t="s">
        <v>691</v>
      </c>
      <c r="J320" t="s">
        <v>692</v>
      </c>
      <c r="L320" t="s">
        <v>693</v>
      </c>
      <c r="M320" t="s">
        <v>694</v>
      </c>
      <c r="N320" t="s">
        <v>949</v>
      </c>
      <c r="P320" t="s">
        <v>575</v>
      </c>
      <c r="Q320" t="s">
        <v>620</v>
      </c>
      <c r="R320" t="s">
        <v>984</v>
      </c>
      <c r="S320">
        <v>20190117</v>
      </c>
      <c r="T320" t="s">
        <v>736</v>
      </c>
      <c r="V320">
        <v>0</v>
      </c>
      <c r="W320">
        <v>0</v>
      </c>
      <c r="X320">
        <v>2</v>
      </c>
      <c r="Y320">
        <v>34000</v>
      </c>
      <c r="AA320" t="s">
        <v>577</v>
      </c>
      <c r="AB320">
        <v>20190220</v>
      </c>
      <c r="AE320">
        <f t="shared" si="4"/>
        <v>0</v>
      </c>
      <c r="AF320">
        <v>0</v>
      </c>
      <c r="AG320">
        <v>0</v>
      </c>
      <c r="AH320">
        <v>0</v>
      </c>
      <c r="AI320" s="121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</row>
    <row r="321" spans="1:41">
      <c r="A321">
        <v>201903</v>
      </c>
      <c r="B321">
        <v>25</v>
      </c>
      <c r="C321" t="s">
        <v>502</v>
      </c>
      <c r="D321">
        <v>3190479672811</v>
      </c>
      <c r="E321" t="s">
        <v>53</v>
      </c>
      <c r="F321" t="s">
        <v>569</v>
      </c>
      <c r="G321" t="s">
        <v>570</v>
      </c>
      <c r="H321" t="s">
        <v>571</v>
      </c>
      <c r="I321" t="s">
        <v>633</v>
      </c>
      <c r="J321" t="s">
        <v>633</v>
      </c>
      <c r="K321" t="s">
        <v>634</v>
      </c>
      <c r="L321" t="s">
        <v>672</v>
      </c>
      <c r="M321" t="s">
        <v>673</v>
      </c>
      <c r="N321" t="s">
        <v>934</v>
      </c>
      <c r="P321" t="s">
        <v>575</v>
      </c>
      <c r="Q321" t="s">
        <v>620</v>
      </c>
      <c r="R321" t="s">
        <v>957</v>
      </c>
      <c r="S321">
        <v>20190108</v>
      </c>
      <c r="T321" t="s">
        <v>814</v>
      </c>
      <c r="X321">
        <v>2</v>
      </c>
      <c r="Y321">
        <v>64176</v>
      </c>
      <c r="AA321" t="s">
        <v>577</v>
      </c>
      <c r="AB321">
        <v>20190211</v>
      </c>
      <c r="AE321">
        <f t="shared" si="4"/>
        <v>0</v>
      </c>
      <c r="AF321">
        <v>0</v>
      </c>
      <c r="AG321">
        <v>0</v>
      </c>
      <c r="AH321">
        <v>0</v>
      </c>
      <c r="AI321" s="1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</row>
    <row r="322" spans="1:41">
      <c r="A322">
        <v>201903</v>
      </c>
      <c r="B322">
        <v>25</v>
      </c>
      <c r="C322" t="s">
        <v>502</v>
      </c>
      <c r="D322">
        <v>3190480279261</v>
      </c>
      <c r="E322" t="s">
        <v>53</v>
      </c>
      <c r="F322" t="s">
        <v>569</v>
      </c>
      <c r="G322" t="s">
        <v>570</v>
      </c>
      <c r="H322" t="s">
        <v>571</v>
      </c>
      <c r="I322" t="s">
        <v>674</v>
      </c>
      <c r="J322" t="s">
        <v>674</v>
      </c>
      <c r="K322" t="s">
        <v>675</v>
      </c>
      <c r="L322" t="s">
        <v>489</v>
      </c>
      <c r="M322" t="s">
        <v>488</v>
      </c>
      <c r="N322" t="s">
        <v>902</v>
      </c>
      <c r="P322" t="s">
        <v>575</v>
      </c>
      <c r="Q322" t="s">
        <v>620</v>
      </c>
      <c r="R322" t="s">
        <v>984</v>
      </c>
      <c r="S322">
        <v>20190117</v>
      </c>
      <c r="T322" t="s">
        <v>827</v>
      </c>
      <c r="X322">
        <v>2</v>
      </c>
      <c r="Y322">
        <v>45500</v>
      </c>
      <c r="AA322" t="s">
        <v>577</v>
      </c>
      <c r="AB322">
        <v>20190225</v>
      </c>
      <c r="AE322">
        <f t="shared" si="4"/>
        <v>0</v>
      </c>
      <c r="AF322">
        <v>0</v>
      </c>
      <c r="AG322">
        <v>0</v>
      </c>
      <c r="AH322">
        <v>0</v>
      </c>
      <c r="AI322" s="121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</row>
    <row r="323" spans="1:41">
      <c r="A323">
        <v>201903</v>
      </c>
      <c r="B323">
        <v>25</v>
      </c>
      <c r="C323" t="s">
        <v>502</v>
      </c>
      <c r="D323">
        <v>3190480447061</v>
      </c>
      <c r="E323" t="s">
        <v>53</v>
      </c>
      <c r="F323" t="s">
        <v>569</v>
      </c>
      <c r="G323" t="s">
        <v>570</v>
      </c>
      <c r="H323" t="s">
        <v>571</v>
      </c>
      <c r="I323" t="s">
        <v>691</v>
      </c>
      <c r="J323" t="s">
        <v>692</v>
      </c>
      <c r="L323" t="s">
        <v>693</v>
      </c>
      <c r="M323" t="s">
        <v>694</v>
      </c>
      <c r="N323" t="s">
        <v>949</v>
      </c>
      <c r="P323" t="s">
        <v>575</v>
      </c>
      <c r="Q323" t="s">
        <v>620</v>
      </c>
      <c r="R323" t="s">
        <v>956</v>
      </c>
      <c r="S323">
        <v>20190109</v>
      </c>
      <c r="T323" t="s">
        <v>727</v>
      </c>
      <c r="V323">
        <v>0</v>
      </c>
      <c r="W323">
        <v>0</v>
      </c>
      <c r="X323">
        <v>2</v>
      </c>
      <c r="Y323">
        <v>58000</v>
      </c>
      <c r="AA323" t="s">
        <v>577</v>
      </c>
      <c r="AB323">
        <v>20190225</v>
      </c>
      <c r="AE323">
        <f t="shared" ref="AE323:AE386" si="5">AO323-AI323</f>
        <v>0</v>
      </c>
      <c r="AF323">
        <v>0</v>
      </c>
      <c r="AG323">
        <v>0</v>
      </c>
      <c r="AH323">
        <v>0</v>
      </c>
      <c r="AI323" s="121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</row>
    <row r="324" spans="1:41">
      <c r="A324">
        <v>201903</v>
      </c>
      <c r="B324">
        <v>25</v>
      </c>
      <c r="C324" t="s">
        <v>502</v>
      </c>
      <c r="D324">
        <v>3190481103831</v>
      </c>
      <c r="E324" t="s">
        <v>53</v>
      </c>
      <c r="F324" t="s">
        <v>569</v>
      </c>
      <c r="G324" t="s">
        <v>570</v>
      </c>
      <c r="H324" t="s">
        <v>571</v>
      </c>
      <c r="I324" t="s">
        <v>633</v>
      </c>
      <c r="L324" t="s">
        <v>641</v>
      </c>
      <c r="M324" t="s">
        <v>642</v>
      </c>
      <c r="N324" t="s">
        <v>921</v>
      </c>
      <c r="P324" t="s">
        <v>575</v>
      </c>
      <c r="Q324" t="s">
        <v>620</v>
      </c>
      <c r="R324" t="s">
        <v>956</v>
      </c>
      <c r="S324">
        <v>20190111</v>
      </c>
      <c r="T324" t="s">
        <v>992</v>
      </c>
      <c r="X324">
        <v>2</v>
      </c>
      <c r="Y324">
        <v>63500</v>
      </c>
      <c r="AA324" t="s">
        <v>577</v>
      </c>
      <c r="AB324">
        <v>20190211</v>
      </c>
      <c r="AE324">
        <f t="shared" si="5"/>
        <v>0</v>
      </c>
      <c r="AF324">
        <v>0</v>
      </c>
      <c r="AG324">
        <v>0</v>
      </c>
      <c r="AH324">
        <v>0</v>
      </c>
      <c r="AI324" s="121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</row>
    <row r="325" spans="1:41">
      <c r="A325">
        <v>201903</v>
      </c>
      <c r="B325">
        <v>25</v>
      </c>
      <c r="C325" t="s">
        <v>502</v>
      </c>
      <c r="D325">
        <v>3190481123981</v>
      </c>
      <c r="E325" t="s">
        <v>53</v>
      </c>
      <c r="F325" t="s">
        <v>569</v>
      </c>
      <c r="G325" t="s">
        <v>570</v>
      </c>
      <c r="H325" t="s">
        <v>571</v>
      </c>
      <c r="I325" t="s">
        <v>633</v>
      </c>
      <c r="J325" t="s">
        <v>633</v>
      </c>
      <c r="K325" t="s">
        <v>634</v>
      </c>
      <c r="L325" t="s">
        <v>670</v>
      </c>
      <c r="M325" t="s">
        <v>671</v>
      </c>
      <c r="N325" t="s">
        <v>936</v>
      </c>
      <c r="P325" t="s">
        <v>575</v>
      </c>
      <c r="Q325" t="s">
        <v>620</v>
      </c>
      <c r="R325" t="s">
        <v>957</v>
      </c>
      <c r="S325">
        <v>20190111</v>
      </c>
      <c r="T325" t="s">
        <v>993</v>
      </c>
      <c r="X325">
        <v>2</v>
      </c>
      <c r="Y325">
        <v>125423</v>
      </c>
      <c r="AA325" t="s">
        <v>577</v>
      </c>
      <c r="AB325">
        <v>20190225</v>
      </c>
      <c r="AE325">
        <f t="shared" si="5"/>
        <v>0</v>
      </c>
      <c r="AF325">
        <v>0</v>
      </c>
      <c r="AG325">
        <v>0</v>
      </c>
      <c r="AH325">
        <v>0</v>
      </c>
      <c r="AI325" s="121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</row>
    <row r="326" spans="1:41">
      <c r="A326">
        <v>201903</v>
      </c>
      <c r="B326">
        <v>25</v>
      </c>
      <c r="C326" t="s">
        <v>502</v>
      </c>
      <c r="D326">
        <v>3190481126261</v>
      </c>
      <c r="E326" t="s">
        <v>53</v>
      </c>
      <c r="F326" t="s">
        <v>569</v>
      </c>
      <c r="G326" t="s">
        <v>570</v>
      </c>
      <c r="H326" t="s">
        <v>571</v>
      </c>
      <c r="I326" t="s">
        <v>633</v>
      </c>
      <c r="J326" t="s">
        <v>633</v>
      </c>
      <c r="K326" t="s">
        <v>634</v>
      </c>
      <c r="L326" t="s">
        <v>670</v>
      </c>
      <c r="M326" t="s">
        <v>671</v>
      </c>
      <c r="N326" t="s">
        <v>936</v>
      </c>
      <c r="P326" t="s">
        <v>575</v>
      </c>
      <c r="Q326" t="s">
        <v>540</v>
      </c>
      <c r="R326" t="s">
        <v>985</v>
      </c>
      <c r="S326">
        <v>20190111</v>
      </c>
      <c r="T326" t="s">
        <v>993</v>
      </c>
      <c r="X326">
        <v>2</v>
      </c>
      <c r="Y326">
        <v>13515</v>
      </c>
      <c r="AA326" t="s">
        <v>577</v>
      </c>
      <c r="AB326">
        <v>20190225</v>
      </c>
      <c r="AE326">
        <f t="shared" si="5"/>
        <v>0</v>
      </c>
      <c r="AF326">
        <v>0</v>
      </c>
      <c r="AG326">
        <v>0</v>
      </c>
      <c r="AH326">
        <v>0</v>
      </c>
      <c r="AI326" s="121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</row>
    <row r="327" spans="1:41">
      <c r="A327">
        <v>201903</v>
      </c>
      <c r="B327">
        <v>25</v>
      </c>
      <c r="C327" t="s">
        <v>502</v>
      </c>
      <c r="D327">
        <v>3190482375811</v>
      </c>
      <c r="E327" t="s">
        <v>53</v>
      </c>
      <c r="F327" t="s">
        <v>569</v>
      </c>
      <c r="G327" t="s">
        <v>570</v>
      </c>
      <c r="H327" t="s">
        <v>571</v>
      </c>
      <c r="I327" t="s">
        <v>633</v>
      </c>
      <c r="J327" t="s">
        <v>633</v>
      </c>
      <c r="K327" t="s">
        <v>634</v>
      </c>
      <c r="L327" t="s">
        <v>670</v>
      </c>
      <c r="M327" t="s">
        <v>671</v>
      </c>
      <c r="N327" t="s">
        <v>936</v>
      </c>
      <c r="P327" t="s">
        <v>575</v>
      </c>
      <c r="Q327" t="s">
        <v>620</v>
      </c>
      <c r="R327" t="s">
        <v>957</v>
      </c>
      <c r="S327">
        <v>20190115</v>
      </c>
      <c r="T327" t="s">
        <v>827</v>
      </c>
      <c r="X327">
        <v>2</v>
      </c>
      <c r="Y327">
        <v>39562</v>
      </c>
      <c r="AA327" t="s">
        <v>577</v>
      </c>
      <c r="AB327">
        <v>20190220</v>
      </c>
      <c r="AE327">
        <f t="shared" si="5"/>
        <v>0</v>
      </c>
      <c r="AF327">
        <v>0</v>
      </c>
      <c r="AG327">
        <v>0</v>
      </c>
      <c r="AH327">
        <v>0</v>
      </c>
      <c r="AI327" s="121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</row>
    <row r="328" spans="1:41">
      <c r="A328">
        <v>201903</v>
      </c>
      <c r="B328">
        <v>25</v>
      </c>
      <c r="C328" t="s">
        <v>502</v>
      </c>
      <c r="D328">
        <v>3190482586831</v>
      </c>
      <c r="E328" t="s">
        <v>53</v>
      </c>
      <c r="F328" t="s">
        <v>569</v>
      </c>
      <c r="G328" t="s">
        <v>570</v>
      </c>
      <c r="H328" t="s">
        <v>571</v>
      </c>
      <c r="I328" t="s">
        <v>633</v>
      </c>
      <c r="J328" t="s">
        <v>633</v>
      </c>
      <c r="K328" t="s">
        <v>634</v>
      </c>
      <c r="L328" t="s">
        <v>637</v>
      </c>
      <c r="M328" t="s">
        <v>638</v>
      </c>
      <c r="N328" t="s">
        <v>972</v>
      </c>
      <c r="P328" t="s">
        <v>575</v>
      </c>
      <c r="Q328" t="s">
        <v>620</v>
      </c>
      <c r="R328" t="s">
        <v>956</v>
      </c>
      <c r="S328">
        <v>20190116</v>
      </c>
      <c r="T328" t="s">
        <v>1130</v>
      </c>
      <c r="X328">
        <v>2</v>
      </c>
      <c r="Y328">
        <v>31000</v>
      </c>
      <c r="AA328" t="s">
        <v>577</v>
      </c>
      <c r="AB328">
        <v>20190220</v>
      </c>
      <c r="AE328">
        <f t="shared" si="5"/>
        <v>0</v>
      </c>
      <c r="AF328">
        <v>0</v>
      </c>
      <c r="AG328">
        <v>0</v>
      </c>
      <c r="AH328">
        <v>0</v>
      </c>
      <c r="AI328" s="121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</row>
    <row r="329" spans="1:41">
      <c r="A329">
        <v>201903</v>
      </c>
      <c r="B329">
        <v>25</v>
      </c>
      <c r="C329" t="s">
        <v>502</v>
      </c>
      <c r="D329">
        <v>3190484383161</v>
      </c>
      <c r="E329" t="s">
        <v>53</v>
      </c>
      <c r="F329" t="s">
        <v>569</v>
      </c>
      <c r="G329" t="s">
        <v>570</v>
      </c>
      <c r="H329" t="s">
        <v>571</v>
      </c>
      <c r="I329" t="s">
        <v>633</v>
      </c>
      <c r="J329" t="s">
        <v>633</v>
      </c>
      <c r="K329" t="s">
        <v>634</v>
      </c>
      <c r="L329" t="s">
        <v>670</v>
      </c>
      <c r="M329" t="s">
        <v>671</v>
      </c>
      <c r="N329" t="s">
        <v>936</v>
      </c>
      <c r="P329" t="s">
        <v>575</v>
      </c>
      <c r="Q329" t="s">
        <v>620</v>
      </c>
      <c r="R329" t="s">
        <v>957</v>
      </c>
      <c r="S329">
        <v>20190128</v>
      </c>
      <c r="T329" t="s">
        <v>794</v>
      </c>
      <c r="X329">
        <v>2</v>
      </c>
      <c r="Y329">
        <v>38770</v>
      </c>
      <c r="AA329" t="s">
        <v>577</v>
      </c>
      <c r="AB329">
        <v>20190220</v>
      </c>
      <c r="AE329">
        <f t="shared" si="5"/>
        <v>0</v>
      </c>
      <c r="AF329">
        <v>0</v>
      </c>
      <c r="AG329">
        <v>0</v>
      </c>
      <c r="AH329">
        <v>0</v>
      </c>
      <c r="AI329" s="121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</row>
    <row r="330" spans="1:41">
      <c r="A330">
        <v>201903</v>
      </c>
      <c r="B330">
        <v>25</v>
      </c>
      <c r="C330" t="s">
        <v>502</v>
      </c>
      <c r="D330">
        <v>3190484866861</v>
      </c>
      <c r="E330" t="s">
        <v>53</v>
      </c>
      <c r="F330" t="s">
        <v>569</v>
      </c>
      <c r="G330" t="s">
        <v>570</v>
      </c>
      <c r="H330" t="s">
        <v>571</v>
      </c>
      <c r="I330" t="s">
        <v>674</v>
      </c>
      <c r="J330" t="s">
        <v>674</v>
      </c>
      <c r="K330" t="s">
        <v>675</v>
      </c>
      <c r="L330" t="s">
        <v>489</v>
      </c>
      <c r="M330" t="s">
        <v>488</v>
      </c>
      <c r="N330" t="s">
        <v>902</v>
      </c>
      <c r="P330" t="s">
        <v>575</v>
      </c>
      <c r="Q330" t="s">
        <v>620</v>
      </c>
      <c r="R330" t="s">
        <v>956</v>
      </c>
      <c r="S330">
        <v>20190123</v>
      </c>
      <c r="T330" t="s">
        <v>903</v>
      </c>
      <c r="X330">
        <v>2</v>
      </c>
      <c r="Y330">
        <v>51500</v>
      </c>
      <c r="AA330" t="s">
        <v>577</v>
      </c>
      <c r="AB330">
        <v>20190220</v>
      </c>
      <c r="AE330">
        <f t="shared" si="5"/>
        <v>0</v>
      </c>
      <c r="AF330">
        <v>0</v>
      </c>
      <c r="AG330">
        <v>0</v>
      </c>
      <c r="AH330">
        <v>0</v>
      </c>
      <c r="AI330" s="121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</row>
    <row r="331" spans="1:41">
      <c r="A331">
        <v>201903</v>
      </c>
      <c r="B331">
        <v>25</v>
      </c>
      <c r="C331" t="s">
        <v>502</v>
      </c>
      <c r="D331">
        <v>3190484935641</v>
      </c>
      <c r="E331" t="s">
        <v>53</v>
      </c>
      <c r="F331" t="s">
        <v>569</v>
      </c>
      <c r="G331" t="s">
        <v>570</v>
      </c>
      <c r="H331" t="s">
        <v>571</v>
      </c>
      <c r="I331" t="s">
        <v>633</v>
      </c>
      <c r="J331" t="s">
        <v>633</v>
      </c>
      <c r="K331" t="s">
        <v>634</v>
      </c>
      <c r="L331" t="s">
        <v>672</v>
      </c>
      <c r="M331" t="s">
        <v>673</v>
      </c>
      <c r="N331" t="s">
        <v>934</v>
      </c>
      <c r="P331" t="s">
        <v>575</v>
      </c>
      <c r="Q331" t="s">
        <v>620</v>
      </c>
      <c r="R331" t="s">
        <v>956</v>
      </c>
      <c r="S331">
        <v>20190125</v>
      </c>
      <c r="T331" t="s">
        <v>1217</v>
      </c>
      <c r="X331">
        <v>2</v>
      </c>
      <c r="Y331">
        <v>30000</v>
      </c>
      <c r="AA331" t="s">
        <v>577</v>
      </c>
      <c r="AB331">
        <v>20190225</v>
      </c>
      <c r="AE331">
        <f t="shared" si="5"/>
        <v>0</v>
      </c>
      <c r="AF331">
        <v>0</v>
      </c>
      <c r="AG331">
        <v>0</v>
      </c>
      <c r="AH331">
        <v>0</v>
      </c>
      <c r="AI331" s="12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</row>
    <row r="332" spans="1:41">
      <c r="A332">
        <v>201903</v>
      </c>
      <c r="B332">
        <v>25</v>
      </c>
      <c r="C332" t="s">
        <v>502</v>
      </c>
      <c r="D332">
        <v>3190486924901</v>
      </c>
      <c r="E332" t="s">
        <v>53</v>
      </c>
      <c r="F332" t="s">
        <v>569</v>
      </c>
      <c r="G332" t="s">
        <v>570</v>
      </c>
      <c r="H332" t="s">
        <v>571</v>
      </c>
      <c r="I332" t="s">
        <v>691</v>
      </c>
      <c r="J332" t="s">
        <v>692</v>
      </c>
      <c r="L332" t="s">
        <v>693</v>
      </c>
      <c r="M332" t="s">
        <v>694</v>
      </c>
      <c r="N332" t="s">
        <v>949</v>
      </c>
      <c r="P332" t="s">
        <v>575</v>
      </c>
      <c r="Q332" t="s">
        <v>620</v>
      </c>
      <c r="R332" t="s">
        <v>956</v>
      </c>
      <c r="S332">
        <v>20190130</v>
      </c>
      <c r="T332" t="s">
        <v>736</v>
      </c>
      <c r="V332">
        <v>0</v>
      </c>
      <c r="W332">
        <v>0</v>
      </c>
      <c r="X332">
        <v>2</v>
      </c>
      <c r="Y332">
        <v>31000</v>
      </c>
      <c r="AA332" t="s">
        <v>577</v>
      </c>
      <c r="AB332">
        <v>20190220</v>
      </c>
      <c r="AE332">
        <f t="shared" si="5"/>
        <v>0</v>
      </c>
      <c r="AF332">
        <v>0</v>
      </c>
      <c r="AG332">
        <v>0</v>
      </c>
      <c r="AH332">
        <v>0</v>
      </c>
      <c r="AI332" s="121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</row>
    <row r="333" spans="1:41">
      <c r="A333">
        <v>201903</v>
      </c>
      <c r="B333">
        <v>25</v>
      </c>
      <c r="C333" t="s">
        <v>502</v>
      </c>
      <c r="D333">
        <v>3190487681831</v>
      </c>
      <c r="E333" t="s">
        <v>53</v>
      </c>
      <c r="F333" t="s">
        <v>662</v>
      </c>
      <c r="G333" t="s">
        <v>570</v>
      </c>
      <c r="H333" t="s">
        <v>571</v>
      </c>
      <c r="I333" t="s">
        <v>633</v>
      </c>
      <c r="J333" t="s">
        <v>633</v>
      </c>
      <c r="K333" t="s">
        <v>634</v>
      </c>
      <c r="L333" t="s">
        <v>670</v>
      </c>
      <c r="M333" t="s">
        <v>671</v>
      </c>
      <c r="N333" t="s">
        <v>936</v>
      </c>
      <c r="P333" t="s">
        <v>663</v>
      </c>
      <c r="Q333" t="s">
        <v>620</v>
      </c>
      <c r="R333" t="s">
        <v>984</v>
      </c>
      <c r="S333">
        <v>20190201</v>
      </c>
      <c r="T333" t="s">
        <v>1000</v>
      </c>
      <c r="X333">
        <v>1</v>
      </c>
      <c r="Y333">
        <v>29000</v>
      </c>
      <c r="Z333">
        <v>58580</v>
      </c>
      <c r="AA333" t="s">
        <v>577</v>
      </c>
      <c r="AB333">
        <v>20190201</v>
      </c>
      <c r="AE333">
        <f t="shared" si="5"/>
        <v>125947</v>
      </c>
      <c r="AF333">
        <v>125947</v>
      </c>
      <c r="AG333">
        <v>0</v>
      </c>
      <c r="AH333">
        <v>0</v>
      </c>
      <c r="AI333" s="121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125947</v>
      </c>
    </row>
    <row r="334" spans="1:41">
      <c r="A334">
        <v>201903</v>
      </c>
      <c r="B334">
        <v>25</v>
      </c>
      <c r="C334" t="s">
        <v>502</v>
      </c>
      <c r="D334">
        <v>3190487683031</v>
      </c>
      <c r="E334" t="s">
        <v>53</v>
      </c>
      <c r="F334" t="s">
        <v>662</v>
      </c>
      <c r="G334" t="s">
        <v>570</v>
      </c>
      <c r="H334" t="s">
        <v>571</v>
      </c>
      <c r="I334" t="s">
        <v>633</v>
      </c>
      <c r="J334" t="s">
        <v>633</v>
      </c>
      <c r="K334" t="s">
        <v>634</v>
      </c>
      <c r="L334" t="s">
        <v>670</v>
      </c>
      <c r="M334" t="s">
        <v>671</v>
      </c>
      <c r="N334" t="s">
        <v>936</v>
      </c>
      <c r="P334" t="s">
        <v>663</v>
      </c>
      <c r="Q334" t="s">
        <v>620</v>
      </c>
      <c r="R334" t="s">
        <v>984</v>
      </c>
      <c r="S334">
        <v>20190201</v>
      </c>
      <c r="T334" t="s">
        <v>1000</v>
      </c>
      <c r="X334">
        <v>1</v>
      </c>
      <c r="Y334">
        <v>50000</v>
      </c>
      <c r="Z334">
        <v>58500</v>
      </c>
      <c r="AA334" t="s">
        <v>577</v>
      </c>
      <c r="AB334">
        <v>20190201</v>
      </c>
      <c r="AE334">
        <f t="shared" si="5"/>
        <v>125775</v>
      </c>
      <c r="AF334">
        <v>125775</v>
      </c>
      <c r="AG334">
        <v>0</v>
      </c>
      <c r="AH334">
        <v>0</v>
      </c>
      <c r="AI334" s="121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125775</v>
      </c>
    </row>
    <row r="335" spans="1:41">
      <c r="A335">
        <v>201903</v>
      </c>
      <c r="B335">
        <v>25</v>
      </c>
      <c r="C335" t="s">
        <v>502</v>
      </c>
      <c r="D335">
        <v>3190391177291</v>
      </c>
      <c r="E335" t="s">
        <v>53</v>
      </c>
      <c r="F335" t="s">
        <v>569</v>
      </c>
      <c r="G335" t="s">
        <v>570</v>
      </c>
      <c r="H335" t="s">
        <v>571</v>
      </c>
      <c r="I335" t="s">
        <v>621</v>
      </c>
      <c r="J335" t="s">
        <v>621</v>
      </c>
      <c r="K335" t="s">
        <v>622</v>
      </c>
      <c r="L335" t="s">
        <v>664</v>
      </c>
      <c r="M335" t="s">
        <v>665</v>
      </c>
      <c r="N335" t="s">
        <v>939</v>
      </c>
      <c r="P335" t="s">
        <v>575</v>
      </c>
      <c r="Q335" t="s">
        <v>620</v>
      </c>
      <c r="R335" t="s">
        <v>1014</v>
      </c>
      <c r="S335">
        <v>20171130</v>
      </c>
      <c r="T335" t="s">
        <v>739</v>
      </c>
      <c r="V335">
        <v>15</v>
      </c>
      <c r="W335">
        <v>15</v>
      </c>
      <c r="X335">
        <v>16</v>
      </c>
      <c r="Y335">
        <v>69500</v>
      </c>
      <c r="AA335" t="s">
        <v>577</v>
      </c>
      <c r="AB335">
        <v>20190225</v>
      </c>
      <c r="AE335">
        <f t="shared" si="5"/>
        <v>0</v>
      </c>
      <c r="AF335">
        <v>0</v>
      </c>
      <c r="AG335">
        <v>0</v>
      </c>
      <c r="AH335">
        <v>0</v>
      </c>
      <c r="AI335" s="121">
        <v>347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347</v>
      </c>
    </row>
    <row r="336" spans="1:41">
      <c r="A336">
        <v>201903</v>
      </c>
      <c r="B336">
        <v>25</v>
      </c>
      <c r="C336" t="s">
        <v>502</v>
      </c>
      <c r="D336">
        <v>3190391249761</v>
      </c>
      <c r="E336" t="s">
        <v>53</v>
      </c>
      <c r="F336" t="s">
        <v>569</v>
      </c>
      <c r="G336" t="s">
        <v>570</v>
      </c>
      <c r="H336" t="s">
        <v>571</v>
      </c>
      <c r="I336" t="s">
        <v>674</v>
      </c>
      <c r="J336" t="s">
        <v>674</v>
      </c>
      <c r="K336" t="s">
        <v>675</v>
      </c>
      <c r="L336" t="s">
        <v>482</v>
      </c>
      <c r="M336" t="s">
        <v>481</v>
      </c>
      <c r="N336" t="s">
        <v>967</v>
      </c>
      <c r="P336" t="s">
        <v>575</v>
      </c>
      <c r="Q336" t="s">
        <v>620</v>
      </c>
      <c r="R336" t="s">
        <v>1013</v>
      </c>
      <c r="S336">
        <v>20171122</v>
      </c>
      <c r="T336" t="s">
        <v>1046</v>
      </c>
      <c r="X336">
        <v>14</v>
      </c>
      <c r="Y336">
        <v>65148</v>
      </c>
      <c r="AA336" t="s">
        <v>577</v>
      </c>
      <c r="AB336">
        <v>20190226</v>
      </c>
      <c r="AE336">
        <f t="shared" si="5"/>
        <v>0</v>
      </c>
      <c r="AF336">
        <v>0</v>
      </c>
      <c r="AG336">
        <v>0</v>
      </c>
      <c r="AH336">
        <v>0</v>
      </c>
      <c r="AI336" s="121">
        <v>488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488</v>
      </c>
    </row>
    <row r="337" spans="1:41">
      <c r="A337">
        <v>201903</v>
      </c>
      <c r="B337">
        <v>25</v>
      </c>
      <c r="C337" t="s">
        <v>502</v>
      </c>
      <c r="D337">
        <v>3190391685891</v>
      </c>
      <c r="E337" t="s">
        <v>53</v>
      </c>
      <c r="F337" t="s">
        <v>569</v>
      </c>
      <c r="G337" t="s">
        <v>570</v>
      </c>
      <c r="H337" t="s">
        <v>571</v>
      </c>
      <c r="I337" t="s">
        <v>646</v>
      </c>
      <c r="L337" t="s">
        <v>677</v>
      </c>
      <c r="M337" t="s">
        <v>678</v>
      </c>
      <c r="N337" t="s">
        <v>938</v>
      </c>
      <c r="P337" t="s">
        <v>575</v>
      </c>
      <c r="Q337" t="s">
        <v>620</v>
      </c>
      <c r="R337" t="s">
        <v>1013</v>
      </c>
      <c r="S337">
        <v>20171127</v>
      </c>
      <c r="T337" t="s">
        <v>817</v>
      </c>
      <c r="X337">
        <v>16</v>
      </c>
      <c r="Y337">
        <v>75500</v>
      </c>
      <c r="AA337" t="s">
        <v>577</v>
      </c>
      <c r="AB337">
        <v>20190215</v>
      </c>
      <c r="AE337">
        <f t="shared" si="5"/>
        <v>0</v>
      </c>
      <c r="AF337">
        <v>0</v>
      </c>
      <c r="AG337">
        <v>0</v>
      </c>
      <c r="AH337">
        <v>0</v>
      </c>
      <c r="AI337" s="121">
        <v>566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566</v>
      </c>
    </row>
    <row r="338" spans="1:41">
      <c r="A338">
        <v>201903</v>
      </c>
      <c r="B338">
        <v>25</v>
      </c>
      <c r="C338" t="s">
        <v>502</v>
      </c>
      <c r="D338">
        <v>3190393145591</v>
      </c>
      <c r="E338" t="s">
        <v>53</v>
      </c>
      <c r="F338" t="s">
        <v>569</v>
      </c>
      <c r="G338" t="s">
        <v>570</v>
      </c>
      <c r="H338" t="s">
        <v>571</v>
      </c>
      <c r="I338" t="s">
        <v>1139</v>
      </c>
      <c r="J338" t="s">
        <v>706</v>
      </c>
      <c r="K338" t="s">
        <v>707</v>
      </c>
      <c r="L338" t="s">
        <v>708</v>
      </c>
      <c r="M338" t="s">
        <v>709</v>
      </c>
      <c r="N338" t="s">
        <v>1024</v>
      </c>
      <c r="P338" t="s">
        <v>575</v>
      </c>
      <c r="Q338" t="s">
        <v>620</v>
      </c>
      <c r="R338" t="s">
        <v>1013</v>
      </c>
      <c r="S338">
        <v>20171204</v>
      </c>
      <c r="T338" t="s">
        <v>1120</v>
      </c>
      <c r="V338">
        <v>0</v>
      </c>
      <c r="W338">
        <v>0</v>
      </c>
      <c r="X338">
        <v>15</v>
      </c>
      <c r="Y338">
        <v>103700</v>
      </c>
      <c r="AA338" t="s">
        <v>577</v>
      </c>
      <c r="AB338">
        <v>20190211</v>
      </c>
      <c r="AE338">
        <f t="shared" si="5"/>
        <v>0</v>
      </c>
      <c r="AF338">
        <v>0</v>
      </c>
      <c r="AG338">
        <v>0</v>
      </c>
      <c r="AH338">
        <v>0</v>
      </c>
      <c r="AI338" s="121">
        <v>777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777</v>
      </c>
    </row>
    <row r="339" spans="1:41">
      <c r="A339">
        <v>201903</v>
      </c>
      <c r="B339">
        <v>25</v>
      </c>
      <c r="C339" t="s">
        <v>502</v>
      </c>
      <c r="D339">
        <v>3190393449911</v>
      </c>
      <c r="E339" t="s">
        <v>53</v>
      </c>
      <c r="F339" t="s">
        <v>569</v>
      </c>
      <c r="G339" t="s">
        <v>570</v>
      </c>
      <c r="H339" t="s">
        <v>571</v>
      </c>
      <c r="I339" t="s">
        <v>621</v>
      </c>
      <c r="J339" t="s">
        <v>621</v>
      </c>
      <c r="K339" t="s">
        <v>622</v>
      </c>
      <c r="L339" t="s">
        <v>664</v>
      </c>
      <c r="M339" t="s">
        <v>665</v>
      </c>
      <c r="N339" t="s">
        <v>939</v>
      </c>
      <c r="P339" t="s">
        <v>575</v>
      </c>
      <c r="Q339" t="s">
        <v>620</v>
      </c>
      <c r="R339" t="s">
        <v>1013</v>
      </c>
      <c r="S339">
        <v>20171206</v>
      </c>
      <c r="T339" t="s">
        <v>767</v>
      </c>
      <c r="V339">
        <v>61</v>
      </c>
      <c r="W339">
        <v>20</v>
      </c>
      <c r="X339">
        <v>15</v>
      </c>
      <c r="Y339">
        <v>88500</v>
      </c>
      <c r="AA339" t="s">
        <v>577</v>
      </c>
      <c r="AB339">
        <v>20190225</v>
      </c>
      <c r="AE339">
        <f t="shared" si="5"/>
        <v>0</v>
      </c>
      <c r="AF339">
        <v>0</v>
      </c>
      <c r="AG339">
        <v>0</v>
      </c>
      <c r="AH339">
        <v>0</v>
      </c>
      <c r="AI339" s="121">
        <v>663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663</v>
      </c>
    </row>
    <row r="340" spans="1:41">
      <c r="A340">
        <v>201903</v>
      </c>
      <c r="B340">
        <v>25</v>
      </c>
      <c r="C340" t="s">
        <v>502</v>
      </c>
      <c r="D340">
        <v>3190393914801</v>
      </c>
      <c r="E340" t="s">
        <v>53</v>
      </c>
      <c r="F340" t="s">
        <v>569</v>
      </c>
      <c r="G340" t="s">
        <v>570</v>
      </c>
      <c r="H340" t="s">
        <v>571</v>
      </c>
      <c r="I340" t="s">
        <v>674</v>
      </c>
      <c r="J340" t="s">
        <v>674</v>
      </c>
      <c r="K340" t="s">
        <v>675</v>
      </c>
      <c r="L340" t="s">
        <v>482</v>
      </c>
      <c r="M340" t="s">
        <v>481</v>
      </c>
      <c r="N340" t="s">
        <v>967</v>
      </c>
      <c r="P340" t="s">
        <v>575</v>
      </c>
      <c r="Q340" t="s">
        <v>620</v>
      </c>
      <c r="R340" t="s">
        <v>1014</v>
      </c>
      <c r="S340">
        <v>20171214</v>
      </c>
      <c r="T340" t="s">
        <v>1046</v>
      </c>
      <c r="X340">
        <v>13</v>
      </c>
      <c r="Y340">
        <v>68000</v>
      </c>
      <c r="AA340" t="s">
        <v>577</v>
      </c>
      <c r="AB340">
        <v>20190226</v>
      </c>
      <c r="AE340">
        <f t="shared" si="5"/>
        <v>0</v>
      </c>
      <c r="AF340">
        <v>0</v>
      </c>
      <c r="AG340">
        <v>0</v>
      </c>
      <c r="AH340">
        <v>0</v>
      </c>
      <c r="AI340" s="121">
        <v>340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340</v>
      </c>
    </row>
    <row r="341" spans="1:41">
      <c r="A341">
        <v>201903</v>
      </c>
      <c r="B341">
        <v>25</v>
      </c>
      <c r="C341" t="s">
        <v>502</v>
      </c>
      <c r="D341">
        <v>3190393920561</v>
      </c>
      <c r="E341" t="s">
        <v>53</v>
      </c>
      <c r="F341" t="s">
        <v>569</v>
      </c>
      <c r="G341" t="s">
        <v>570</v>
      </c>
      <c r="H341" t="s">
        <v>571</v>
      </c>
      <c r="I341" t="s">
        <v>674</v>
      </c>
      <c r="J341" t="s">
        <v>674</v>
      </c>
      <c r="K341" t="s">
        <v>675</v>
      </c>
      <c r="L341" t="s">
        <v>482</v>
      </c>
      <c r="M341" t="s">
        <v>481</v>
      </c>
      <c r="N341" t="s">
        <v>967</v>
      </c>
      <c r="P341" t="s">
        <v>575</v>
      </c>
      <c r="Q341" t="s">
        <v>620</v>
      </c>
      <c r="R341" t="s">
        <v>1013</v>
      </c>
      <c r="S341">
        <v>20171211</v>
      </c>
      <c r="T341" t="s">
        <v>1046</v>
      </c>
      <c r="X341">
        <v>13</v>
      </c>
      <c r="Y341">
        <v>32500</v>
      </c>
      <c r="AA341" t="s">
        <v>577</v>
      </c>
      <c r="AB341">
        <v>20190226</v>
      </c>
      <c r="AE341">
        <f t="shared" si="5"/>
        <v>0</v>
      </c>
      <c r="AF341">
        <v>0</v>
      </c>
      <c r="AG341">
        <v>0</v>
      </c>
      <c r="AH341">
        <v>0</v>
      </c>
      <c r="AI341" s="121">
        <v>243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243</v>
      </c>
    </row>
    <row r="342" spans="1:41">
      <c r="A342">
        <v>201903</v>
      </c>
      <c r="B342">
        <v>25</v>
      </c>
      <c r="C342" t="s">
        <v>502</v>
      </c>
      <c r="D342">
        <v>3190394166341</v>
      </c>
      <c r="E342" t="s">
        <v>53</v>
      </c>
      <c r="F342" t="s">
        <v>569</v>
      </c>
      <c r="G342" t="s">
        <v>570</v>
      </c>
      <c r="H342" t="s">
        <v>571</v>
      </c>
      <c r="I342" t="s">
        <v>674</v>
      </c>
      <c r="J342" t="s">
        <v>674</v>
      </c>
      <c r="K342" t="s">
        <v>675</v>
      </c>
      <c r="L342" t="s">
        <v>489</v>
      </c>
      <c r="M342" t="s">
        <v>488</v>
      </c>
      <c r="N342" t="s">
        <v>902</v>
      </c>
      <c r="P342" t="s">
        <v>575</v>
      </c>
      <c r="Q342" t="s">
        <v>620</v>
      </c>
      <c r="R342" t="s">
        <v>1013</v>
      </c>
      <c r="S342">
        <v>20171207</v>
      </c>
      <c r="T342" t="s">
        <v>1070</v>
      </c>
      <c r="X342">
        <v>15</v>
      </c>
      <c r="Y342">
        <v>54528</v>
      </c>
      <c r="AA342" t="s">
        <v>577</v>
      </c>
      <c r="AB342">
        <v>20190228</v>
      </c>
      <c r="AE342">
        <f t="shared" si="5"/>
        <v>0</v>
      </c>
      <c r="AF342">
        <v>0</v>
      </c>
      <c r="AG342">
        <v>0</v>
      </c>
      <c r="AH342">
        <v>0</v>
      </c>
      <c r="AI342" s="121">
        <v>408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408</v>
      </c>
    </row>
    <row r="343" spans="1:41">
      <c r="A343">
        <v>201903</v>
      </c>
      <c r="B343">
        <v>25</v>
      </c>
      <c r="C343" t="s">
        <v>502</v>
      </c>
      <c r="D343">
        <v>3190394318871</v>
      </c>
      <c r="E343" t="s">
        <v>53</v>
      </c>
      <c r="F343" t="s">
        <v>569</v>
      </c>
      <c r="G343" t="s">
        <v>570</v>
      </c>
      <c r="H343" t="s">
        <v>571</v>
      </c>
      <c r="I343" t="s">
        <v>674</v>
      </c>
      <c r="L343" t="s">
        <v>491</v>
      </c>
      <c r="M343" t="s">
        <v>490</v>
      </c>
      <c r="N343" t="s">
        <v>907</v>
      </c>
      <c r="P343" t="s">
        <v>575</v>
      </c>
      <c r="Q343" t="s">
        <v>620</v>
      </c>
      <c r="R343" t="s">
        <v>1013</v>
      </c>
      <c r="S343">
        <v>20171211</v>
      </c>
      <c r="T343" t="s">
        <v>822</v>
      </c>
      <c r="X343">
        <v>15</v>
      </c>
      <c r="Y343">
        <v>30000</v>
      </c>
      <c r="AA343" t="s">
        <v>577</v>
      </c>
      <c r="AB343">
        <v>20190220</v>
      </c>
      <c r="AE343">
        <f t="shared" si="5"/>
        <v>0</v>
      </c>
      <c r="AF343">
        <v>0</v>
      </c>
      <c r="AG343">
        <v>0</v>
      </c>
      <c r="AH343">
        <v>0</v>
      </c>
      <c r="AI343" s="121">
        <v>225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225</v>
      </c>
    </row>
    <row r="344" spans="1:41">
      <c r="A344">
        <v>201903</v>
      </c>
      <c r="B344">
        <v>25</v>
      </c>
      <c r="C344" t="s">
        <v>502</v>
      </c>
      <c r="D344">
        <v>3190394437931</v>
      </c>
      <c r="E344" t="s">
        <v>53</v>
      </c>
      <c r="F344" t="s">
        <v>569</v>
      </c>
      <c r="G344" t="s">
        <v>570</v>
      </c>
      <c r="H344" t="s">
        <v>571</v>
      </c>
      <c r="I344" t="s">
        <v>578</v>
      </c>
      <c r="J344" t="s">
        <v>578</v>
      </c>
      <c r="K344" t="s">
        <v>579</v>
      </c>
      <c r="L344" t="s">
        <v>611</v>
      </c>
      <c r="M344" t="s">
        <v>612</v>
      </c>
      <c r="N344" t="s">
        <v>979</v>
      </c>
      <c r="P344" t="s">
        <v>575</v>
      </c>
      <c r="Q344" t="s">
        <v>620</v>
      </c>
      <c r="R344" t="s">
        <v>1014</v>
      </c>
      <c r="S344">
        <v>20171213</v>
      </c>
      <c r="T344" t="s">
        <v>841</v>
      </c>
      <c r="X344">
        <v>13</v>
      </c>
      <c r="Y344">
        <v>55000</v>
      </c>
      <c r="AA344" t="s">
        <v>577</v>
      </c>
      <c r="AB344">
        <v>20190228</v>
      </c>
      <c r="AE344">
        <f t="shared" si="5"/>
        <v>0</v>
      </c>
      <c r="AF344">
        <v>0</v>
      </c>
      <c r="AG344">
        <v>0</v>
      </c>
      <c r="AH344">
        <v>0</v>
      </c>
      <c r="AI344" s="121">
        <v>275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275</v>
      </c>
    </row>
    <row r="345" spans="1:41">
      <c r="A345">
        <v>201903</v>
      </c>
      <c r="B345">
        <v>25</v>
      </c>
      <c r="C345" t="s">
        <v>502</v>
      </c>
      <c r="D345">
        <v>3190030826951</v>
      </c>
      <c r="E345" t="s">
        <v>53</v>
      </c>
      <c r="F345" t="s">
        <v>569</v>
      </c>
      <c r="G345" t="s">
        <v>570</v>
      </c>
      <c r="H345" t="s">
        <v>571</v>
      </c>
      <c r="I345" t="s">
        <v>578</v>
      </c>
      <c r="J345" t="s">
        <v>578</v>
      </c>
      <c r="K345" t="s">
        <v>579</v>
      </c>
      <c r="L345" t="s">
        <v>719</v>
      </c>
      <c r="M345" t="s">
        <v>720</v>
      </c>
      <c r="N345" t="s">
        <v>920</v>
      </c>
      <c r="P345" t="s">
        <v>575</v>
      </c>
      <c r="Q345" t="s">
        <v>620</v>
      </c>
      <c r="R345" t="s">
        <v>905</v>
      </c>
      <c r="S345">
        <v>20160219</v>
      </c>
      <c r="T345" t="s">
        <v>821</v>
      </c>
      <c r="X345">
        <v>37</v>
      </c>
      <c r="Y345">
        <v>53000</v>
      </c>
      <c r="AA345" t="s">
        <v>577</v>
      </c>
      <c r="AB345">
        <v>20190225</v>
      </c>
      <c r="AE345">
        <f t="shared" si="5"/>
        <v>0</v>
      </c>
      <c r="AF345">
        <v>0</v>
      </c>
      <c r="AG345">
        <v>0</v>
      </c>
      <c r="AH345">
        <v>0</v>
      </c>
      <c r="AI345" s="121">
        <v>265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265</v>
      </c>
    </row>
    <row r="346" spans="1:41">
      <c r="A346">
        <v>201903</v>
      </c>
      <c r="B346">
        <v>25</v>
      </c>
      <c r="C346" t="s">
        <v>502</v>
      </c>
      <c r="D346">
        <v>3190030838721</v>
      </c>
      <c r="E346" t="s">
        <v>53</v>
      </c>
      <c r="F346" t="s">
        <v>569</v>
      </c>
      <c r="G346" t="s">
        <v>570</v>
      </c>
      <c r="H346" t="s">
        <v>571</v>
      </c>
      <c r="I346" t="s">
        <v>674</v>
      </c>
      <c r="L346" t="s">
        <v>491</v>
      </c>
      <c r="M346" t="s">
        <v>490</v>
      </c>
      <c r="N346" t="s">
        <v>907</v>
      </c>
      <c r="P346" t="s">
        <v>575</v>
      </c>
      <c r="Q346" t="s">
        <v>620</v>
      </c>
      <c r="R346" t="s">
        <v>905</v>
      </c>
      <c r="S346">
        <v>20160219</v>
      </c>
      <c r="T346" t="s">
        <v>928</v>
      </c>
      <c r="X346">
        <v>37</v>
      </c>
      <c r="Y346">
        <v>50000</v>
      </c>
      <c r="AA346" t="s">
        <v>577</v>
      </c>
      <c r="AB346">
        <v>20190215</v>
      </c>
      <c r="AE346">
        <f t="shared" si="5"/>
        <v>0</v>
      </c>
      <c r="AF346">
        <v>0</v>
      </c>
      <c r="AG346">
        <v>0</v>
      </c>
      <c r="AH346">
        <v>0</v>
      </c>
      <c r="AI346" s="121">
        <v>250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250</v>
      </c>
    </row>
    <row r="347" spans="1:41">
      <c r="A347">
        <v>201903</v>
      </c>
      <c r="B347">
        <v>25</v>
      </c>
      <c r="C347" t="s">
        <v>502</v>
      </c>
      <c r="D347">
        <v>3190031005171</v>
      </c>
      <c r="E347" t="s">
        <v>53</v>
      </c>
      <c r="F347" t="s">
        <v>569</v>
      </c>
      <c r="G347" t="s">
        <v>570</v>
      </c>
      <c r="H347" t="s">
        <v>571</v>
      </c>
      <c r="I347" t="s">
        <v>674</v>
      </c>
      <c r="L347" t="s">
        <v>491</v>
      </c>
      <c r="M347" t="s">
        <v>490</v>
      </c>
      <c r="N347" t="s">
        <v>907</v>
      </c>
      <c r="P347" t="s">
        <v>575</v>
      </c>
      <c r="Q347" t="s">
        <v>620</v>
      </c>
      <c r="R347" t="s">
        <v>905</v>
      </c>
      <c r="S347">
        <v>20160222</v>
      </c>
      <c r="T347" t="s">
        <v>830</v>
      </c>
      <c r="X347">
        <v>37</v>
      </c>
      <c r="Y347">
        <v>38000</v>
      </c>
      <c r="AA347" t="s">
        <v>577</v>
      </c>
      <c r="AB347">
        <v>20190225</v>
      </c>
      <c r="AE347">
        <f t="shared" si="5"/>
        <v>0</v>
      </c>
      <c r="AF347">
        <v>0</v>
      </c>
      <c r="AG347">
        <v>0</v>
      </c>
      <c r="AH347">
        <v>0</v>
      </c>
      <c r="AI347" s="121">
        <v>190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190</v>
      </c>
    </row>
    <row r="348" spans="1:41">
      <c r="A348">
        <v>201903</v>
      </c>
      <c r="B348">
        <v>25</v>
      </c>
      <c r="C348" t="s">
        <v>502</v>
      </c>
      <c r="D348">
        <v>3190031337911</v>
      </c>
      <c r="E348" t="s">
        <v>53</v>
      </c>
      <c r="F348" t="s">
        <v>569</v>
      </c>
      <c r="G348" t="s">
        <v>570</v>
      </c>
      <c r="H348" t="s">
        <v>571</v>
      </c>
      <c r="I348" t="s">
        <v>674</v>
      </c>
      <c r="J348" t="s">
        <v>674</v>
      </c>
      <c r="K348" t="s">
        <v>675</v>
      </c>
      <c r="L348" t="s">
        <v>489</v>
      </c>
      <c r="M348" t="s">
        <v>488</v>
      </c>
      <c r="N348" t="s">
        <v>902</v>
      </c>
      <c r="P348" t="s">
        <v>575</v>
      </c>
      <c r="Q348" t="s">
        <v>620</v>
      </c>
      <c r="R348" t="s">
        <v>905</v>
      </c>
      <c r="S348">
        <v>20160218</v>
      </c>
      <c r="T348" t="s">
        <v>931</v>
      </c>
      <c r="X348">
        <v>37</v>
      </c>
      <c r="Y348">
        <v>95371</v>
      </c>
      <c r="AA348" t="s">
        <v>577</v>
      </c>
      <c r="AB348">
        <v>20190207</v>
      </c>
      <c r="AE348">
        <f t="shared" si="5"/>
        <v>0</v>
      </c>
      <c r="AF348">
        <v>0</v>
      </c>
      <c r="AG348">
        <v>0</v>
      </c>
      <c r="AH348">
        <v>0</v>
      </c>
      <c r="AI348" s="121">
        <v>476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476</v>
      </c>
    </row>
    <row r="349" spans="1:41">
      <c r="A349">
        <v>201903</v>
      </c>
      <c r="B349">
        <v>25</v>
      </c>
      <c r="C349" t="s">
        <v>502</v>
      </c>
      <c r="D349">
        <v>3190031409071</v>
      </c>
      <c r="E349" t="s">
        <v>53</v>
      </c>
      <c r="F349" t="s">
        <v>569</v>
      </c>
      <c r="G349" t="s">
        <v>570</v>
      </c>
      <c r="H349" t="s">
        <v>571</v>
      </c>
      <c r="I349" t="s">
        <v>578</v>
      </c>
      <c r="J349" t="s">
        <v>578</v>
      </c>
      <c r="K349" t="s">
        <v>579</v>
      </c>
      <c r="L349" t="s">
        <v>597</v>
      </c>
      <c r="M349" t="s">
        <v>598</v>
      </c>
      <c r="N349" t="s">
        <v>913</v>
      </c>
      <c r="P349" t="s">
        <v>575</v>
      </c>
      <c r="Q349" t="s">
        <v>620</v>
      </c>
      <c r="R349" t="s">
        <v>905</v>
      </c>
      <c r="S349">
        <v>20160218</v>
      </c>
      <c r="T349" t="s">
        <v>932</v>
      </c>
      <c r="X349">
        <v>37</v>
      </c>
      <c r="Y349">
        <v>30000</v>
      </c>
      <c r="AA349" t="s">
        <v>577</v>
      </c>
      <c r="AB349">
        <v>20190225</v>
      </c>
      <c r="AE349">
        <f t="shared" si="5"/>
        <v>0</v>
      </c>
      <c r="AF349">
        <v>0</v>
      </c>
      <c r="AG349">
        <v>0</v>
      </c>
      <c r="AH349">
        <v>0</v>
      </c>
      <c r="AI349" s="121">
        <v>150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150</v>
      </c>
    </row>
    <row r="350" spans="1:41">
      <c r="A350">
        <v>201903</v>
      </c>
      <c r="B350">
        <v>25</v>
      </c>
      <c r="C350" t="s">
        <v>502</v>
      </c>
      <c r="D350">
        <v>3190031765591</v>
      </c>
      <c r="E350" t="s">
        <v>53</v>
      </c>
      <c r="F350" t="s">
        <v>569</v>
      </c>
      <c r="G350" t="s">
        <v>570</v>
      </c>
      <c r="H350" t="s">
        <v>571</v>
      </c>
      <c r="I350" t="s">
        <v>621</v>
      </c>
      <c r="J350" t="s">
        <v>621</v>
      </c>
      <c r="K350" t="s">
        <v>622</v>
      </c>
      <c r="L350" t="s">
        <v>625</v>
      </c>
      <c r="M350" t="s">
        <v>626</v>
      </c>
      <c r="N350" t="s">
        <v>929</v>
      </c>
      <c r="P350" t="s">
        <v>575</v>
      </c>
      <c r="Q350" t="s">
        <v>620</v>
      </c>
      <c r="R350" t="s">
        <v>917</v>
      </c>
      <c r="S350">
        <v>20160226</v>
      </c>
      <c r="T350" t="s">
        <v>933</v>
      </c>
      <c r="X350">
        <v>37</v>
      </c>
      <c r="Y350">
        <v>21000</v>
      </c>
      <c r="AA350" t="s">
        <v>577</v>
      </c>
      <c r="AB350">
        <v>20190215</v>
      </c>
      <c r="AE350">
        <f t="shared" si="5"/>
        <v>0</v>
      </c>
      <c r="AF350">
        <v>0</v>
      </c>
      <c r="AG350">
        <v>0</v>
      </c>
      <c r="AH350">
        <v>0</v>
      </c>
      <c r="AI350" s="121">
        <v>105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105</v>
      </c>
    </row>
    <row r="351" spans="1:41">
      <c r="A351">
        <v>201903</v>
      </c>
      <c r="B351">
        <v>25</v>
      </c>
      <c r="C351" t="s">
        <v>502</v>
      </c>
      <c r="D351">
        <v>3190032587361</v>
      </c>
      <c r="E351" t="s">
        <v>53</v>
      </c>
      <c r="F351" t="s">
        <v>569</v>
      </c>
      <c r="G351" t="s">
        <v>570</v>
      </c>
      <c r="H351" t="s">
        <v>571</v>
      </c>
      <c r="I351" t="s">
        <v>578</v>
      </c>
      <c r="J351" t="s">
        <v>578</v>
      </c>
      <c r="K351" t="s">
        <v>579</v>
      </c>
      <c r="L351" t="s">
        <v>597</v>
      </c>
      <c r="M351" t="s">
        <v>598</v>
      </c>
      <c r="N351" t="s">
        <v>913</v>
      </c>
      <c r="P351" t="s">
        <v>575</v>
      </c>
      <c r="Q351" t="s">
        <v>620</v>
      </c>
      <c r="R351" t="s">
        <v>905</v>
      </c>
      <c r="S351">
        <v>20160226</v>
      </c>
      <c r="T351" t="s">
        <v>850</v>
      </c>
      <c r="X351">
        <v>37</v>
      </c>
      <c r="Y351">
        <v>193000</v>
      </c>
      <c r="AA351" t="s">
        <v>577</v>
      </c>
      <c r="AB351">
        <v>20190220</v>
      </c>
      <c r="AE351">
        <f t="shared" si="5"/>
        <v>0</v>
      </c>
      <c r="AF351">
        <v>0</v>
      </c>
      <c r="AG351">
        <v>0</v>
      </c>
      <c r="AH351">
        <v>0</v>
      </c>
      <c r="AI351" s="121">
        <v>965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965</v>
      </c>
    </row>
    <row r="352" spans="1:41">
      <c r="A352">
        <v>201903</v>
      </c>
      <c r="B352">
        <v>25</v>
      </c>
      <c r="C352" t="s">
        <v>502</v>
      </c>
      <c r="D352">
        <v>3190032625271</v>
      </c>
      <c r="E352" t="s">
        <v>53</v>
      </c>
      <c r="F352" t="s">
        <v>569</v>
      </c>
      <c r="G352" t="s">
        <v>570</v>
      </c>
      <c r="H352" t="s">
        <v>571</v>
      </c>
      <c r="I352" t="s">
        <v>578</v>
      </c>
      <c r="J352" t="s">
        <v>578</v>
      </c>
      <c r="K352" t="s">
        <v>579</v>
      </c>
      <c r="L352" t="s">
        <v>597</v>
      </c>
      <c r="M352" t="s">
        <v>598</v>
      </c>
      <c r="N352" t="s">
        <v>913</v>
      </c>
      <c r="P352" t="s">
        <v>575</v>
      </c>
      <c r="Q352" t="s">
        <v>620</v>
      </c>
      <c r="R352" t="s">
        <v>905</v>
      </c>
      <c r="S352">
        <v>20160226</v>
      </c>
      <c r="T352" t="s">
        <v>850</v>
      </c>
      <c r="X352">
        <v>37</v>
      </c>
      <c r="Y352">
        <v>94200</v>
      </c>
      <c r="AA352" t="s">
        <v>577</v>
      </c>
      <c r="AB352">
        <v>20190220</v>
      </c>
      <c r="AE352">
        <f t="shared" si="5"/>
        <v>0</v>
      </c>
      <c r="AF352">
        <v>0</v>
      </c>
      <c r="AG352">
        <v>0</v>
      </c>
      <c r="AH352">
        <v>0</v>
      </c>
      <c r="AI352" s="121">
        <v>471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471</v>
      </c>
    </row>
    <row r="353" spans="1:41">
      <c r="A353">
        <v>201903</v>
      </c>
      <c r="B353">
        <v>25</v>
      </c>
      <c r="C353" t="s">
        <v>502</v>
      </c>
      <c r="D353">
        <v>3190032674641</v>
      </c>
      <c r="E353" t="s">
        <v>53</v>
      </c>
      <c r="F353" t="s">
        <v>569</v>
      </c>
      <c r="G353" t="s">
        <v>570</v>
      </c>
      <c r="H353" t="s">
        <v>571</v>
      </c>
      <c r="I353" t="s">
        <v>674</v>
      </c>
      <c r="L353" t="s">
        <v>491</v>
      </c>
      <c r="M353" t="s">
        <v>490</v>
      </c>
      <c r="N353" t="s">
        <v>907</v>
      </c>
      <c r="P353" t="s">
        <v>575</v>
      </c>
      <c r="Q353" t="s">
        <v>620</v>
      </c>
      <c r="R353" t="s">
        <v>905</v>
      </c>
      <c r="S353">
        <v>20160229</v>
      </c>
      <c r="T353" t="s">
        <v>841</v>
      </c>
      <c r="X353">
        <v>37</v>
      </c>
      <c r="Y353">
        <v>33466</v>
      </c>
      <c r="AA353" t="s">
        <v>577</v>
      </c>
      <c r="AB353">
        <v>20190220</v>
      </c>
      <c r="AE353">
        <f t="shared" si="5"/>
        <v>0</v>
      </c>
      <c r="AF353">
        <v>0</v>
      </c>
      <c r="AG353">
        <v>0</v>
      </c>
      <c r="AH353">
        <v>0</v>
      </c>
      <c r="AI353" s="121">
        <v>167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167</v>
      </c>
    </row>
    <row r="354" spans="1:41">
      <c r="A354">
        <v>201903</v>
      </c>
      <c r="B354">
        <v>25</v>
      </c>
      <c r="C354" t="s">
        <v>502</v>
      </c>
      <c r="D354">
        <v>3190032770591</v>
      </c>
      <c r="E354" t="s">
        <v>53</v>
      </c>
      <c r="F354" t="s">
        <v>569</v>
      </c>
      <c r="G354" t="s">
        <v>570</v>
      </c>
      <c r="H354" t="s">
        <v>571</v>
      </c>
      <c r="I354" t="s">
        <v>674</v>
      </c>
      <c r="L354" t="s">
        <v>491</v>
      </c>
      <c r="M354" t="s">
        <v>490</v>
      </c>
      <c r="N354" t="s">
        <v>907</v>
      </c>
      <c r="P354" t="s">
        <v>575</v>
      </c>
      <c r="Q354" t="s">
        <v>620</v>
      </c>
      <c r="R354" t="s">
        <v>905</v>
      </c>
      <c r="S354">
        <v>20160229</v>
      </c>
      <c r="T354" t="s">
        <v>812</v>
      </c>
      <c r="X354">
        <v>37</v>
      </c>
      <c r="Y354">
        <v>30000</v>
      </c>
      <c r="AA354" t="s">
        <v>577</v>
      </c>
      <c r="AB354">
        <v>20190225</v>
      </c>
      <c r="AE354">
        <f t="shared" si="5"/>
        <v>0</v>
      </c>
      <c r="AF354">
        <v>0</v>
      </c>
      <c r="AG354">
        <v>0</v>
      </c>
      <c r="AH354">
        <v>0</v>
      </c>
      <c r="AI354" s="121">
        <v>150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150</v>
      </c>
    </row>
    <row r="355" spans="1:41">
      <c r="A355">
        <v>201903</v>
      </c>
      <c r="B355">
        <v>25</v>
      </c>
      <c r="C355" t="s">
        <v>502</v>
      </c>
      <c r="D355">
        <v>3190033338241</v>
      </c>
      <c r="E355" t="s">
        <v>53</v>
      </c>
      <c r="F355" t="s">
        <v>569</v>
      </c>
      <c r="G355" t="s">
        <v>570</v>
      </c>
      <c r="H355" t="s">
        <v>571</v>
      </c>
      <c r="I355" t="s">
        <v>578</v>
      </c>
      <c r="J355" t="s">
        <v>578</v>
      </c>
      <c r="K355" t="s">
        <v>579</v>
      </c>
      <c r="L355" t="s">
        <v>716</v>
      </c>
      <c r="M355" t="s">
        <v>717</v>
      </c>
      <c r="N355" t="s">
        <v>1230</v>
      </c>
      <c r="P355" t="s">
        <v>575</v>
      </c>
      <c r="Q355" t="s">
        <v>620</v>
      </c>
      <c r="R355" t="s">
        <v>917</v>
      </c>
      <c r="S355">
        <v>20160315</v>
      </c>
      <c r="T355" t="s">
        <v>816</v>
      </c>
      <c r="X355">
        <v>36</v>
      </c>
      <c r="Y355">
        <v>33000</v>
      </c>
      <c r="AA355" t="s">
        <v>577</v>
      </c>
      <c r="AB355">
        <v>20190211</v>
      </c>
      <c r="AE355">
        <f t="shared" si="5"/>
        <v>0</v>
      </c>
      <c r="AF355">
        <v>0</v>
      </c>
      <c r="AG355">
        <v>0</v>
      </c>
      <c r="AH355">
        <v>0</v>
      </c>
      <c r="AI355" s="121">
        <v>165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165</v>
      </c>
    </row>
    <row r="356" spans="1:41">
      <c r="A356">
        <v>201903</v>
      </c>
      <c r="B356">
        <v>25</v>
      </c>
      <c r="C356" t="s">
        <v>502</v>
      </c>
      <c r="D356">
        <v>3190033955021</v>
      </c>
      <c r="E356" t="s">
        <v>53</v>
      </c>
      <c r="F356" t="s">
        <v>569</v>
      </c>
      <c r="G356" t="s">
        <v>570</v>
      </c>
      <c r="H356" t="s">
        <v>571</v>
      </c>
      <c r="I356" t="s">
        <v>674</v>
      </c>
      <c r="J356" t="s">
        <v>674</v>
      </c>
      <c r="K356" t="s">
        <v>675</v>
      </c>
      <c r="L356" t="s">
        <v>485</v>
      </c>
      <c r="M356" t="s">
        <v>484</v>
      </c>
      <c r="N356" t="s">
        <v>914</v>
      </c>
      <c r="P356" t="s">
        <v>575</v>
      </c>
      <c r="Q356" t="s">
        <v>620</v>
      </c>
      <c r="R356" t="s">
        <v>905</v>
      </c>
      <c r="S356">
        <v>20160316</v>
      </c>
      <c r="T356" t="s">
        <v>959</v>
      </c>
      <c r="X356">
        <v>35</v>
      </c>
      <c r="Y356">
        <v>30675</v>
      </c>
      <c r="AA356" t="s">
        <v>577</v>
      </c>
      <c r="AB356">
        <v>20190227</v>
      </c>
      <c r="AE356">
        <f t="shared" si="5"/>
        <v>0</v>
      </c>
      <c r="AF356">
        <v>0</v>
      </c>
      <c r="AG356">
        <v>0</v>
      </c>
      <c r="AH356">
        <v>0</v>
      </c>
      <c r="AI356" s="121">
        <v>153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153</v>
      </c>
    </row>
    <row r="357" spans="1:41">
      <c r="A357">
        <v>201903</v>
      </c>
      <c r="B357">
        <v>25</v>
      </c>
      <c r="C357" t="s">
        <v>502</v>
      </c>
      <c r="D357">
        <v>3190034136471</v>
      </c>
      <c r="E357" t="s">
        <v>53</v>
      </c>
      <c r="F357" t="s">
        <v>569</v>
      </c>
      <c r="G357" t="s">
        <v>570</v>
      </c>
      <c r="H357" t="s">
        <v>571</v>
      </c>
      <c r="I357" t="s">
        <v>618</v>
      </c>
      <c r="J357" t="s">
        <v>618</v>
      </c>
      <c r="K357" t="s">
        <v>619</v>
      </c>
      <c r="L357" t="s">
        <v>679</v>
      </c>
      <c r="M357" t="s">
        <v>680</v>
      </c>
      <c r="N357" t="s">
        <v>1048</v>
      </c>
      <c r="P357" t="s">
        <v>575</v>
      </c>
      <c r="Q357" t="s">
        <v>620</v>
      </c>
      <c r="R357" t="s">
        <v>905</v>
      </c>
      <c r="S357">
        <v>20160316</v>
      </c>
      <c r="T357" t="s">
        <v>815</v>
      </c>
      <c r="X357">
        <v>36</v>
      </c>
      <c r="Y357">
        <v>79000</v>
      </c>
      <c r="AA357" t="s">
        <v>577</v>
      </c>
      <c r="AB357">
        <v>20190215</v>
      </c>
      <c r="AE357">
        <f t="shared" si="5"/>
        <v>0</v>
      </c>
      <c r="AF357">
        <v>0</v>
      </c>
      <c r="AG357">
        <v>0</v>
      </c>
      <c r="AH357">
        <v>0</v>
      </c>
      <c r="AI357" s="121">
        <v>395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395</v>
      </c>
    </row>
    <row r="358" spans="1:41">
      <c r="A358">
        <v>201903</v>
      </c>
      <c r="B358">
        <v>25</v>
      </c>
      <c r="C358" t="s">
        <v>502</v>
      </c>
      <c r="D358">
        <v>3190034210931</v>
      </c>
      <c r="E358" t="s">
        <v>53</v>
      </c>
      <c r="F358" t="s">
        <v>569</v>
      </c>
      <c r="G358" t="s">
        <v>570</v>
      </c>
      <c r="H358" t="s">
        <v>571</v>
      </c>
      <c r="I358" t="s">
        <v>578</v>
      </c>
      <c r="J358" t="s">
        <v>578</v>
      </c>
      <c r="K358" t="s">
        <v>579</v>
      </c>
      <c r="L358" t="s">
        <v>716</v>
      </c>
      <c r="M358" t="s">
        <v>717</v>
      </c>
      <c r="N358" t="s">
        <v>1230</v>
      </c>
      <c r="P358" t="s">
        <v>575</v>
      </c>
      <c r="Q358" t="s">
        <v>620</v>
      </c>
      <c r="R358" t="s">
        <v>905</v>
      </c>
      <c r="S358">
        <v>20160321</v>
      </c>
      <c r="T358" t="s">
        <v>798</v>
      </c>
      <c r="X358">
        <v>35</v>
      </c>
      <c r="Y358">
        <v>77960</v>
      </c>
      <c r="AA358" t="s">
        <v>577</v>
      </c>
      <c r="AB358">
        <v>20190208</v>
      </c>
      <c r="AE358">
        <f t="shared" si="5"/>
        <v>0</v>
      </c>
      <c r="AF358">
        <v>0</v>
      </c>
      <c r="AG358">
        <v>0</v>
      </c>
      <c r="AH358">
        <v>0</v>
      </c>
      <c r="AI358" s="121">
        <v>389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389</v>
      </c>
    </row>
    <row r="359" spans="1:41">
      <c r="A359">
        <v>201903</v>
      </c>
      <c r="B359">
        <v>25</v>
      </c>
      <c r="C359" t="s">
        <v>502</v>
      </c>
      <c r="D359">
        <v>3190034901661</v>
      </c>
      <c r="E359" t="s">
        <v>53</v>
      </c>
      <c r="F359" t="s">
        <v>569</v>
      </c>
      <c r="G359" t="s">
        <v>570</v>
      </c>
      <c r="H359" t="s">
        <v>571</v>
      </c>
      <c r="I359" t="s">
        <v>674</v>
      </c>
      <c r="J359" t="s">
        <v>674</v>
      </c>
      <c r="K359" t="s">
        <v>675</v>
      </c>
      <c r="L359" t="s">
        <v>487</v>
      </c>
      <c r="M359" t="s">
        <v>486</v>
      </c>
      <c r="N359" t="s">
        <v>937</v>
      </c>
      <c r="P359" t="s">
        <v>575</v>
      </c>
      <c r="Q359" t="s">
        <v>620</v>
      </c>
      <c r="R359" t="s">
        <v>905</v>
      </c>
      <c r="S359">
        <v>20160321</v>
      </c>
      <c r="T359" t="s">
        <v>1056</v>
      </c>
      <c r="X359">
        <v>36</v>
      </c>
      <c r="Y359">
        <v>72000</v>
      </c>
      <c r="AA359" t="s">
        <v>577</v>
      </c>
      <c r="AB359">
        <v>20190225</v>
      </c>
      <c r="AE359">
        <f t="shared" si="5"/>
        <v>0</v>
      </c>
      <c r="AF359">
        <v>0</v>
      </c>
      <c r="AG359">
        <v>0</v>
      </c>
      <c r="AH359">
        <v>0</v>
      </c>
      <c r="AI359" s="121">
        <v>360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360</v>
      </c>
    </row>
    <row r="360" spans="1:41">
      <c r="A360">
        <v>201903</v>
      </c>
      <c r="B360">
        <v>25</v>
      </c>
      <c r="C360" t="s">
        <v>502</v>
      </c>
      <c r="D360">
        <v>3190034926251</v>
      </c>
      <c r="E360" t="s">
        <v>53</v>
      </c>
      <c r="F360" t="s">
        <v>569</v>
      </c>
      <c r="G360" t="s">
        <v>570</v>
      </c>
      <c r="H360" t="s">
        <v>571</v>
      </c>
      <c r="I360" t="s">
        <v>618</v>
      </c>
      <c r="J360" t="s">
        <v>618</v>
      </c>
      <c r="K360" t="s">
        <v>619</v>
      </c>
      <c r="L360" t="s">
        <v>689</v>
      </c>
      <c r="M360" t="s">
        <v>690</v>
      </c>
      <c r="N360" t="s">
        <v>988</v>
      </c>
      <c r="P360" t="s">
        <v>575</v>
      </c>
      <c r="Q360" t="s">
        <v>620</v>
      </c>
      <c r="R360" t="s">
        <v>905</v>
      </c>
      <c r="S360">
        <v>20160318</v>
      </c>
      <c r="T360" t="s">
        <v>822</v>
      </c>
      <c r="X360">
        <v>36</v>
      </c>
      <c r="Y360">
        <v>75000</v>
      </c>
      <c r="AA360" t="s">
        <v>577</v>
      </c>
      <c r="AB360">
        <v>20190216</v>
      </c>
      <c r="AE360">
        <f t="shared" si="5"/>
        <v>0</v>
      </c>
      <c r="AF360">
        <v>0</v>
      </c>
      <c r="AG360">
        <v>0</v>
      </c>
      <c r="AH360">
        <v>0</v>
      </c>
      <c r="AI360" s="121">
        <v>750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750</v>
      </c>
    </row>
    <row r="361" spans="1:41">
      <c r="A361">
        <v>201903</v>
      </c>
      <c r="B361">
        <v>25</v>
      </c>
      <c r="C361" t="s">
        <v>502</v>
      </c>
      <c r="D361">
        <v>3190035252611</v>
      </c>
      <c r="E361" t="s">
        <v>53</v>
      </c>
      <c r="F361" t="s">
        <v>569</v>
      </c>
      <c r="G361" t="s">
        <v>570</v>
      </c>
      <c r="H361" t="s">
        <v>571</v>
      </c>
      <c r="I361" t="s">
        <v>674</v>
      </c>
      <c r="L361" t="s">
        <v>491</v>
      </c>
      <c r="M361" t="s">
        <v>490</v>
      </c>
      <c r="N361" t="s">
        <v>907</v>
      </c>
      <c r="P361" t="s">
        <v>575</v>
      </c>
      <c r="Q361" t="s">
        <v>620</v>
      </c>
      <c r="R361" t="s">
        <v>1060</v>
      </c>
      <c r="S361">
        <v>20160322</v>
      </c>
      <c r="T361" t="s">
        <v>785</v>
      </c>
      <c r="X361">
        <v>36</v>
      </c>
      <c r="Y361">
        <v>30000</v>
      </c>
      <c r="AA361" t="s">
        <v>577</v>
      </c>
      <c r="AB361">
        <v>20190211</v>
      </c>
      <c r="AE361">
        <f t="shared" si="5"/>
        <v>0</v>
      </c>
      <c r="AF361">
        <v>0</v>
      </c>
      <c r="AG361">
        <v>0</v>
      </c>
      <c r="AH361">
        <v>0</v>
      </c>
      <c r="AI361" s="121">
        <v>150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150</v>
      </c>
    </row>
    <row r="362" spans="1:41">
      <c r="A362">
        <v>201903</v>
      </c>
      <c r="B362">
        <v>25</v>
      </c>
      <c r="C362" t="s">
        <v>502</v>
      </c>
      <c r="D362">
        <v>3190035274611</v>
      </c>
      <c r="E362" t="s">
        <v>53</v>
      </c>
      <c r="F362" t="s">
        <v>569</v>
      </c>
      <c r="G362" t="s">
        <v>570</v>
      </c>
      <c r="H362" t="s">
        <v>571</v>
      </c>
      <c r="I362" t="s">
        <v>578</v>
      </c>
      <c r="J362" t="s">
        <v>578</v>
      </c>
      <c r="K362" t="s">
        <v>579</v>
      </c>
      <c r="L362" t="s">
        <v>586</v>
      </c>
      <c r="M362" t="s">
        <v>587</v>
      </c>
      <c r="N362" t="s">
        <v>1198</v>
      </c>
      <c r="P362" t="s">
        <v>575</v>
      </c>
      <c r="Q362" t="s">
        <v>620</v>
      </c>
      <c r="R362" t="s">
        <v>905</v>
      </c>
      <c r="S362">
        <v>20160325</v>
      </c>
      <c r="T362" t="s">
        <v>834</v>
      </c>
      <c r="X362">
        <v>36</v>
      </c>
      <c r="Y362">
        <v>47000</v>
      </c>
      <c r="AA362" t="s">
        <v>577</v>
      </c>
      <c r="AB362">
        <v>20190228</v>
      </c>
      <c r="AE362">
        <f t="shared" si="5"/>
        <v>0</v>
      </c>
      <c r="AF362">
        <v>0</v>
      </c>
      <c r="AG362">
        <v>0</v>
      </c>
      <c r="AH362">
        <v>0</v>
      </c>
      <c r="AI362" s="121">
        <v>235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235</v>
      </c>
    </row>
    <row r="363" spans="1:41">
      <c r="A363">
        <v>201903</v>
      </c>
      <c r="B363">
        <v>25</v>
      </c>
      <c r="C363" t="s">
        <v>502</v>
      </c>
      <c r="D363">
        <v>3190035350711</v>
      </c>
      <c r="E363" t="s">
        <v>53</v>
      </c>
      <c r="F363" t="s">
        <v>569</v>
      </c>
      <c r="G363" t="s">
        <v>570</v>
      </c>
      <c r="H363" t="s">
        <v>571</v>
      </c>
      <c r="I363" t="s">
        <v>618</v>
      </c>
      <c r="J363" t="s">
        <v>618</v>
      </c>
      <c r="K363" t="s">
        <v>619</v>
      </c>
      <c r="L363" t="s">
        <v>679</v>
      </c>
      <c r="M363" t="s">
        <v>680</v>
      </c>
      <c r="N363" t="s">
        <v>1048</v>
      </c>
      <c r="P363" t="s">
        <v>575</v>
      </c>
      <c r="Q363" t="s">
        <v>620</v>
      </c>
      <c r="R363" t="s">
        <v>905</v>
      </c>
      <c r="S363">
        <v>20160328</v>
      </c>
      <c r="T363" t="s">
        <v>1067</v>
      </c>
      <c r="X363">
        <v>36</v>
      </c>
      <c r="Y363">
        <v>50000</v>
      </c>
      <c r="AA363" t="s">
        <v>577</v>
      </c>
      <c r="AB363">
        <v>20190228</v>
      </c>
      <c r="AE363">
        <f t="shared" si="5"/>
        <v>0</v>
      </c>
      <c r="AF363">
        <v>0</v>
      </c>
      <c r="AG363">
        <v>0</v>
      </c>
      <c r="AH363">
        <v>0</v>
      </c>
      <c r="AI363" s="121">
        <v>250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250</v>
      </c>
    </row>
    <row r="364" spans="1:41">
      <c r="A364">
        <v>201903</v>
      </c>
      <c r="B364">
        <v>25</v>
      </c>
      <c r="C364" t="s">
        <v>502</v>
      </c>
      <c r="D364">
        <v>3190035351451</v>
      </c>
      <c r="E364" t="s">
        <v>53</v>
      </c>
      <c r="F364" t="s">
        <v>569</v>
      </c>
      <c r="G364" t="s">
        <v>570</v>
      </c>
      <c r="H364" t="s">
        <v>571</v>
      </c>
      <c r="I364" t="s">
        <v>618</v>
      </c>
      <c r="J364" t="s">
        <v>618</v>
      </c>
      <c r="K364" t="s">
        <v>619</v>
      </c>
      <c r="L364" t="s">
        <v>679</v>
      </c>
      <c r="M364" t="s">
        <v>680</v>
      </c>
      <c r="N364" t="s">
        <v>1048</v>
      </c>
      <c r="P364" t="s">
        <v>575</v>
      </c>
      <c r="Q364" t="s">
        <v>620</v>
      </c>
      <c r="R364" t="s">
        <v>905</v>
      </c>
      <c r="S364">
        <v>20160323</v>
      </c>
      <c r="T364" t="s">
        <v>1067</v>
      </c>
      <c r="X364">
        <v>36</v>
      </c>
      <c r="Y364">
        <v>50000</v>
      </c>
      <c r="AA364" t="s">
        <v>577</v>
      </c>
      <c r="AB364">
        <v>20190207</v>
      </c>
      <c r="AE364">
        <f t="shared" si="5"/>
        <v>0</v>
      </c>
      <c r="AF364">
        <v>0</v>
      </c>
      <c r="AG364">
        <v>0</v>
      </c>
      <c r="AH364">
        <v>0</v>
      </c>
      <c r="AI364" s="121">
        <v>250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250</v>
      </c>
    </row>
    <row r="365" spans="1:41">
      <c r="A365">
        <v>201903</v>
      </c>
      <c r="B365">
        <v>25</v>
      </c>
      <c r="C365" t="s">
        <v>502</v>
      </c>
      <c r="D365">
        <v>3190035457351</v>
      </c>
      <c r="E365" t="s">
        <v>53</v>
      </c>
      <c r="F365" t="s">
        <v>569</v>
      </c>
      <c r="G365" t="s">
        <v>570</v>
      </c>
      <c r="H365" t="s">
        <v>571</v>
      </c>
      <c r="I365" t="s">
        <v>674</v>
      </c>
      <c r="L365" t="s">
        <v>491</v>
      </c>
      <c r="M365" t="s">
        <v>490</v>
      </c>
      <c r="N365" t="s">
        <v>907</v>
      </c>
      <c r="P365" t="s">
        <v>575</v>
      </c>
      <c r="Q365" t="s">
        <v>620</v>
      </c>
      <c r="R365" t="s">
        <v>905</v>
      </c>
      <c r="S365">
        <v>20160323</v>
      </c>
      <c r="T365" t="s">
        <v>843</v>
      </c>
      <c r="X365">
        <v>35</v>
      </c>
      <c r="Y365">
        <v>150000</v>
      </c>
      <c r="AA365" t="s">
        <v>577</v>
      </c>
      <c r="AB365">
        <v>20190207</v>
      </c>
      <c r="AE365">
        <f t="shared" si="5"/>
        <v>0</v>
      </c>
      <c r="AF365">
        <v>0</v>
      </c>
      <c r="AG365">
        <v>0</v>
      </c>
      <c r="AH365">
        <v>0</v>
      </c>
      <c r="AI365" s="121">
        <v>750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750</v>
      </c>
    </row>
    <row r="366" spans="1:41">
      <c r="A366">
        <v>201903</v>
      </c>
      <c r="B366">
        <v>25</v>
      </c>
      <c r="C366" t="s">
        <v>502</v>
      </c>
      <c r="D366">
        <v>3190036125111</v>
      </c>
      <c r="E366" t="s">
        <v>53</v>
      </c>
      <c r="F366" t="s">
        <v>569</v>
      </c>
      <c r="G366" t="s">
        <v>570</v>
      </c>
      <c r="H366" t="s">
        <v>571</v>
      </c>
      <c r="I366" t="s">
        <v>578</v>
      </c>
      <c r="J366" t="s">
        <v>578</v>
      </c>
      <c r="K366" t="s">
        <v>579</v>
      </c>
      <c r="L366" t="s">
        <v>757</v>
      </c>
      <c r="M366" t="s">
        <v>758</v>
      </c>
      <c r="N366" t="s">
        <v>1095</v>
      </c>
      <c r="P366" t="s">
        <v>575</v>
      </c>
      <c r="Q366" t="s">
        <v>620</v>
      </c>
      <c r="R366" t="s">
        <v>905</v>
      </c>
      <c r="S366">
        <v>20160330</v>
      </c>
      <c r="T366" t="s">
        <v>890</v>
      </c>
      <c r="X366">
        <v>36</v>
      </c>
      <c r="Y366">
        <v>55000</v>
      </c>
      <c r="AA366" t="s">
        <v>577</v>
      </c>
      <c r="AB366">
        <v>20190225</v>
      </c>
      <c r="AE366">
        <f t="shared" si="5"/>
        <v>0</v>
      </c>
      <c r="AF366">
        <v>0</v>
      </c>
      <c r="AG366">
        <v>0</v>
      </c>
      <c r="AH366">
        <v>0</v>
      </c>
      <c r="AI366" s="121">
        <v>275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275</v>
      </c>
    </row>
    <row r="367" spans="1:41">
      <c r="A367">
        <v>201903</v>
      </c>
      <c r="B367">
        <v>25</v>
      </c>
      <c r="C367" t="s">
        <v>502</v>
      </c>
      <c r="D367">
        <v>3190396047711</v>
      </c>
      <c r="E367" t="s">
        <v>53</v>
      </c>
      <c r="F367" t="s">
        <v>569</v>
      </c>
      <c r="G367" t="s">
        <v>570</v>
      </c>
      <c r="H367" t="s">
        <v>571</v>
      </c>
      <c r="I367" t="s">
        <v>674</v>
      </c>
      <c r="J367" t="s">
        <v>674</v>
      </c>
      <c r="K367" t="s">
        <v>675</v>
      </c>
      <c r="L367" t="s">
        <v>489</v>
      </c>
      <c r="M367" t="s">
        <v>488</v>
      </c>
      <c r="N367" t="s">
        <v>902</v>
      </c>
      <c r="P367" t="s">
        <v>575</v>
      </c>
      <c r="Q367" t="s">
        <v>620</v>
      </c>
      <c r="R367" t="s">
        <v>1014</v>
      </c>
      <c r="S367">
        <v>20171218</v>
      </c>
      <c r="T367" t="s">
        <v>1098</v>
      </c>
      <c r="X367">
        <v>15</v>
      </c>
      <c r="Y367">
        <v>52100</v>
      </c>
      <c r="AA367" t="s">
        <v>577</v>
      </c>
      <c r="AB367">
        <v>20190220</v>
      </c>
      <c r="AE367">
        <f t="shared" si="5"/>
        <v>0</v>
      </c>
      <c r="AF367">
        <v>0</v>
      </c>
      <c r="AG367">
        <v>0</v>
      </c>
      <c r="AH367">
        <v>0</v>
      </c>
      <c r="AI367" s="121">
        <v>260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260</v>
      </c>
    </row>
    <row r="368" spans="1:41">
      <c r="A368">
        <v>201903</v>
      </c>
      <c r="B368">
        <v>25</v>
      </c>
      <c r="C368" t="s">
        <v>502</v>
      </c>
      <c r="D368">
        <v>3190396147321</v>
      </c>
      <c r="E368" t="s">
        <v>53</v>
      </c>
      <c r="F368" t="s">
        <v>569</v>
      </c>
      <c r="G368" t="s">
        <v>570</v>
      </c>
      <c r="H368" t="s">
        <v>571</v>
      </c>
      <c r="I368" t="s">
        <v>1139</v>
      </c>
      <c r="J368" t="s">
        <v>706</v>
      </c>
      <c r="K368" t="s">
        <v>707</v>
      </c>
      <c r="L368" t="s">
        <v>708</v>
      </c>
      <c r="M368" t="s">
        <v>709</v>
      </c>
      <c r="N368" t="s">
        <v>1024</v>
      </c>
      <c r="P368" t="s">
        <v>575</v>
      </c>
      <c r="Q368" t="s">
        <v>620</v>
      </c>
      <c r="R368" t="s">
        <v>1013</v>
      </c>
      <c r="S368">
        <v>20171220</v>
      </c>
      <c r="T368" t="s">
        <v>887</v>
      </c>
      <c r="V368">
        <v>0</v>
      </c>
      <c r="W368">
        <v>0</v>
      </c>
      <c r="X368">
        <v>15</v>
      </c>
      <c r="Y368">
        <v>127200</v>
      </c>
      <c r="AA368" t="s">
        <v>577</v>
      </c>
      <c r="AB368">
        <v>20190220</v>
      </c>
      <c r="AE368">
        <f t="shared" si="5"/>
        <v>0</v>
      </c>
      <c r="AF368">
        <v>0</v>
      </c>
      <c r="AG368">
        <v>0</v>
      </c>
      <c r="AH368">
        <v>0</v>
      </c>
      <c r="AI368" s="121">
        <v>954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954</v>
      </c>
    </row>
    <row r="369" spans="1:41">
      <c r="A369">
        <v>201903</v>
      </c>
      <c r="B369">
        <v>25</v>
      </c>
      <c r="C369" t="s">
        <v>502</v>
      </c>
      <c r="D369">
        <v>3190396149451</v>
      </c>
      <c r="E369" t="s">
        <v>53</v>
      </c>
      <c r="F369" t="s">
        <v>569</v>
      </c>
      <c r="G369" t="s">
        <v>570</v>
      </c>
      <c r="H369" t="s">
        <v>571</v>
      </c>
      <c r="I369" t="s">
        <v>1139</v>
      </c>
      <c r="J369" t="s">
        <v>706</v>
      </c>
      <c r="K369" t="s">
        <v>707</v>
      </c>
      <c r="L369" t="s">
        <v>708</v>
      </c>
      <c r="M369" t="s">
        <v>709</v>
      </c>
      <c r="N369" t="s">
        <v>1024</v>
      </c>
      <c r="P369" t="s">
        <v>575</v>
      </c>
      <c r="Q369" t="s">
        <v>620</v>
      </c>
      <c r="R369" t="s">
        <v>1013</v>
      </c>
      <c r="S369">
        <v>20171220</v>
      </c>
      <c r="T369" t="s">
        <v>759</v>
      </c>
      <c r="V369">
        <v>0</v>
      </c>
      <c r="W369">
        <v>0</v>
      </c>
      <c r="X369">
        <v>15</v>
      </c>
      <c r="Y369">
        <v>92100</v>
      </c>
      <c r="AA369" t="s">
        <v>577</v>
      </c>
      <c r="AB369">
        <v>20190215</v>
      </c>
      <c r="AE369">
        <f t="shared" si="5"/>
        <v>0</v>
      </c>
      <c r="AF369">
        <v>0</v>
      </c>
      <c r="AG369">
        <v>0</v>
      </c>
      <c r="AH369">
        <v>0</v>
      </c>
      <c r="AI369" s="121">
        <v>690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690</v>
      </c>
    </row>
    <row r="370" spans="1:41">
      <c r="A370">
        <v>201903</v>
      </c>
      <c r="B370">
        <v>25</v>
      </c>
      <c r="C370" t="s">
        <v>502</v>
      </c>
      <c r="D370">
        <v>3190397101921</v>
      </c>
      <c r="E370" t="s">
        <v>53</v>
      </c>
      <c r="F370" t="s">
        <v>569</v>
      </c>
      <c r="G370" t="s">
        <v>570</v>
      </c>
      <c r="H370" t="s">
        <v>571</v>
      </c>
      <c r="I370" t="s">
        <v>646</v>
      </c>
      <c r="L370" t="s">
        <v>677</v>
      </c>
      <c r="M370" t="s">
        <v>678</v>
      </c>
      <c r="N370" t="s">
        <v>938</v>
      </c>
      <c r="P370" t="s">
        <v>575</v>
      </c>
      <c r="Q370" t="s">
        <v>620</v>
      </c>
      <c r="R370" t="s">
        <v>1210</v>
      </c>
      <c r="S370">
        <v>20171221</v>
      </c>
      <c r="T370" t="s">
        <v>890</v>
      </c>
      <c r="X370">
        <v>15</v>
      </c>
      <c r="Y370">
        <v>75282</v>
      </c>
      <c r="AA370" t="s">
        <v>577</v>
      </c>
      <c r="AB370">
        <v>20190228</v>
      </c>
      <c r="AE370">
        <f t="shared" si="5"/>
        <v>0</v>
      </c>
      <c r="AF370">
        <v>0</v>
      </c>
      <c r="AG370">
        <v>0</v>
      </c>
      <c r="AH370">
        <v>0</v>
      </c>
      <c r="AI370" s="121">
        <v>376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376</v>
      </c>
    </row>
    <row r="371" spans="1:41">
      <c r="A371">
        <v>201903</v>
      </c>
      <c r="B371">
        <v>25</v>
      </c>
      <c r="C371" t="s">
        <v>502</v>
      </c>
      <c r="D371">
        <v>3190397205661</v>
      </c>
      <c r="E371" t="s">
        <v>53</v>
      </c>
      <c r="F371" t="s">
        <v>569</v>
      </c>
      <c r="G371" t="s">
        <v>570</v>
      </c>
      <c r="H371" t="s">
        <v>571</v>
      </c>
      <c r="I371" t="s">
        <v>728</v>
      </c>
      <c r="J371" t="s">
        <v>728</v>
      </c>
      <c r="K371" t="s">
        <v>1138</v>
      </c>
      <c r="L371" t="s">
        <v>730</v>
      </c>
      <c r="M371" t="s">
        <v>684</v>
      </c>
      <c r="N371" t="s">
        <v>1226</v>
      </c>
      <c r="P371" t="s">
        <v>575</v>
      </c>
      <c r="Q371" t="s">
        <v>620</v>
      </c>
      <c r="R371" t="s">
        <v>1014</v>
      </c>
      <c r="S371">
        <v>20171228</v>
      </c>
      <c r="T371" t="s">
        <v>834</v>
      </c>
      <c r="X371">
        <v>15</v>
      </c>
      <c r="Y371">
        <v>60000</v>
      </c>
      <c r="AA371" t="s">
        <v>577</v>
      </c>
      <c r="AB371">
        <v>20190215</v>
      </c>
      <c r="AE371">
        <f t="shared" si="5"/>
        <v>0</v>
      </c>
      <c r="AF371">
        <v>0</v>
      </c>
      <c r="AG371">
        <v>0</v>
      </c>
      <c r="AH371">
        <v>0</v>
      </c>
      <c r="AI371" s="121">
        <v>300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300</v>
      </c>
    </row>
    <row r="372" spans="1:41">
      <c r="A372">
        <v>201903</v>
      </c>
      <c r="B372">
        <v>25</v>
      </c>
      <c r="C372" t="s">
        <v>502</v>
      </c>
      <c r="D372">
        <v>3190397250301</v>
      </c>
      <c r="E372" t="s">
        <v>53</v>
      </c>
      <c r="F372" t="s">
        <v>569</v>
      </c>
      <c r="G372" t="s">
        <v>570</v>
      </c>
      <c r="H372" t="s">
        <v>571</v>
      </c>
      <c r="I372" t="s">
        <v>728</v>
      </c>
      <c r="J372" t="s">
        <v>728</v>
      </c>
      <c r="K372" t="s">
        <v>1138</v>
      </c>
      <c r="L372" t="s">
        <v>730</v>
      </c>
      <c r="M372" t="s">
        <v>684</v>
      </c>
      <c r="N372" t="s">
        <v>1226</v>
      </c>
      <c r="P372" t="s">
        <v>575</v>
      </c>
      <c r="Q372" t="s">
        <v>620</v>
      </c>
      <c r="R372" t="s">
        <v>1014</v>
      </c>
      <c r="S372">
        <v>20171229</v>
      </c>
      <c r="T372" t="s">
        <v>832</v>
      </c>
      <c r="X372">
        <v>15</v>
      </c>
      <c r="Y372">
        <v>34000</v>
      </c>
      <c r="AA372" t="s">
        <v>577</v>
      </c>
      <c r="AB372">
        <v>20190225</v>
      </c>
      <c r="AE372">
        <f t="shared" si="5"/>
        <v>0</v>
      </c>
      <c r="AF372">
        <v>0</v>
      </c>
      <c r="AG372">
        <v>0</v>
      </c>
      <c r="AH372">
        <v>0</v>
      </c>
      <c r="AI372" s="121">
        <v>170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170</v>
      </c>
    </row>
    <row r="373" spans="1:41">
      <c r="A373">
        <v>201903</v>
      </c>
      <c r="B373">
        <v>25</v>
      </c>
      <c r="C373" t="s">
        <v>502</v>
      </c>
      <c r="D373">
        <v>3190397252111</v>
      </c>
      <c r="E373" t="s">
        <v>53</v>
      </c>
      <c r="F373" t="s">
        <v>569</v>
      </c>
      <c r="G373" t="s">
        <v>570</v>
      </c>
      <c r="H373" t="s">
        <v>571</v>
      </c>
      <c r="I373" t="s">
        <v>728</v>
      </c>
      <c r="J373" t="s">
        <v>728</v>
      </c>
      <c r="K373" t="s">
        <v>1138</v>
      </c>
      <c r="L373" t="s">
        <v>730</v>
      </c>
      <c r="M373" t="s">
        <v>684</v>
      </c>
      <c r="N373" t="s">
        <v>1226</v>
      </c>
      <c r="P373" t="s">
        <v>575</v>
      </c>
      <c r="Q373" t="s">
        <v>620</v>
      </c>
      <c r="R373" t="s">
        <v>1014</v>
      </c>
      <c r="S373">
        <v>20171229</v>
      </c>
      <c r="T373" t="s">
        <v>832</v>
      </c>
      <c r="X373">
        <v>15</v>
      </c>
      <c r="Y373">
        <v>52000</v>
      </c>
      <c r="AA373" t="s">
        <v>577</v>
      </c>
      <c r="AB373">
        <v>20190225</v>
      </c>
      <c r="AE373">
        <f t="shared" si="5"/>
        <v>0</v>
      </c>
      <c r="AF373">
        <v>0</v>
      </c>
      <c r="AG373">
        <v>0</v>
      </c>
      <c r="AH373">
        <v>0</v>
      </c>
      <c r="AI373" s="121">
        <v>260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260</v>
      </c>
    </row>
    <row r="374" spans="1:41">
      <c r="A374">
        <v>201903</v>
      </c>
      <c r="B374">
        <v>25</v>
      </c>
      <c r="C374" t="s">
        <v>502</v>
      </c>
      <c r="D374">
        <v>3190397724511</v>
      </c>
      <c r="E374" t="s">
        <v>53</v>
      </c>
      <c r="F374" t="s">
        <v>569</v>
      </c>
      <c r="G374" t="s">
        <v>570</v>
      </c>
      <c r="H374" t="s">
        <v>571</v>
      </c>
      <c r="I374" t="s">
        <v>621</v>
      </c>
      <c r="J374" t="s">
        <v>621</v>
      </c>
      <c r="K374" t="s">
        <v>622</v>
      </c>
      <c r="L374" t="s">
        <v>664</v>
      </c>
      <c r="M374" t="s">
        <v>665</v>
      </c>
      <c r="N374" t="s">
        <v>939</v>
      </c>
      <c r="P374" t="s">
        <v>575</v>
      </c>
      <c r="Q374" t="s">
        <v>620</v>
      </c>
      <c r="R374" t="s">
        <v>1013</v>
      </c>
      <c r="S374">
        <v>20171227</v>
      </c>
      <c r="T374" t="s">
        <v>1025</v>
      </c>
      <c r="X374">
        <v>15</v>
      </c>
      <c r="Y374">
        <v>30100</v>
      </c>
      <c r="AA374" t="s">
        <v>577</v>
      </c>
      <c r="AB374">
        <v>20190211</v>
      </c>
      <c r="AE374">
        <f t="shared" si="5"/>
        <v>0</v>
      </c>
      <c r="AF374">
        <v>0</v>
      </c>
      <c r="AG374">
        <v>0</v>
      </c>
      <c r="AH374">
        <v>0</v>
      </c>
      <c r="AI374" s="121">
        <v>225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225</v>
      </c>
    </row>
    <row r="375" spans="1:41">
      <c r="A375">
        <v>201903</v>
      </c>
      <c r="B375">
        <v>25</v>
      </c>
      <c r="C375" t="s">
        <v>502</v>
      </c>
      <c r="D375">
        <v>3190398228991</v>
      </c>
      <c r="E375" t="s">
        <v>53</v>
      </c>
      <c r="F375" t="s">
        <v>569</v>
      </c>
      <c r="G375" t="s">
        <v>570</v>
      </c>
      <c r="H375" t="s">
        <v>571</v>
      </c>
      <c r="I375" t="s">
        <v>578</v>
      </c>
      <c r="J375" t="s">
        <v>578</v>
      </c>
      <c r="K375" t="s">
        <v>579</v>
      </c>
      <c r="L375" t="s">
        <v>586</v>
      </c>
      <c r="M375" t="s">
        <v>587</v>
      </c>
      <c r="N375" t="s">
        <v>1198</v>
      </c>
      <c r="P375" t="s">
        <v>575</v>
      </c>
      <c r="Q375" t="s">
        <v>620</v>
      </c>
      <c r="R375" t="s">
        <v>1013</v>
      </c>
      <c r="S375">
        <v>20171229</v>
      </c>
      <c r="T375" t="s">
        <v>1152</v>
      </c>
      <c r="X375">
        <v>15</v>
      </c>
      <c r="Y375">
        <v>100000</v>
      </c>
      <c r="AA375" t="s">
        <v>577</v>
      </c>
      <c r="AB375">
        <v>20190225</v>
      </c>
      <c r="AE375">
        <f t="shared" si="5"/>
        <v>0</v>
      </c>
      <c r="AF375">
        <v>0</v>
      </c>
      <c r="AG375">
        <v>0</v>
      </c>
      <c r="AH375">
        <v>0</v>
      </c>
      <c r="AI375" s="121">
        <v>750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750</v>
      </c>
    </row>
    <row r="376" spans="1:41">
      <c r="A376">
        <v>201903</v>
      </c>
      <c r="B376">
        <v>25</v>
      </c>
      <c r="C376" t="s">
        <v>502</v>
      </c>
      <c r="D376">
        <v>3190398424141</v>
      </c>
      <c r="E376" t="s">
        <v>53</v>
      </c>
      <c r="F376" t="s">
        <v>569</v>
      </c>
      <c r="G376" t="s">
        <v>570</v>
      </c>
      <c r="H376" t="s">
        <v>571</v>
      </c>
      <c r="I376" t="s">
        <v>633</v>
      </c>
      <c r="L376" t="s">
        <v>641</v>
      </c>
      <c r="M376" t="s">
        <v>642</v>
      </c>
      <c r="N376" t="s">
        <v>921</v>
      </c>
      <c r="P376" t="s">
        <v>575</v>
      </c>
      <c r="Q376" t="s">
        <v>620</v>
      </c>
      <c r="R376" t="s">
        <v>1023</v>
      </c>
      <c r="S376">
        <v>20171228</v>
      </c>
      <c r="T376" t="s">
        <v>1005</v>
      </c>
      <c r="X376">
        <v>15</v>
      </c>
      <c r="Y376">
        <v>21000</v>
      </c>
      <c r="AA376" t="s">
        <v>577</v>
      </c>
      <c r="AB376">
        <v>20190220</v>
      </c>
      <c r="AE376">
        <f t="shared" si="5"/>
        <v>0</v>
      </c>
      <c r="AF376">
        <v>0</v>
      </c>
      <c r="AG376">
        <v>0</v>
      </c>
      <c r="AH376">
        <v>0</v>
      </c>
      <c r="AI376" s="121">
        <v>105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105</v>
      </c>
    </row>
    <row r="377" spans="1:41">
      <c r="A377">
        <v>201903</v>
      </c>
      <c r="B377">
        <v>25</v>
      </c>
      <c r="C377" t="s">
        <v>502</v>
      </c>
      <c r="D377">
        <v>3190398483611</v>
      </c>
      <c r="E377" t="s">
        <v>53</v>
      </c>
      <c r="F377" t="s">
        <v>569</v>
      </c>
      <c r="G377" t="s">
        <v>570</v>
      </c>
      <c r="H377" t="s">
        <v>571</v>
      </c>
      <c r="I377" t="s">
        <v>728</v>
      </c>
      <c r="J377" t="s">
        <v>728</v>
      </c>
      <c r="K377" t="s">
        <v>1138</v>
      </c>
      <c r="L377" t="s">
        <v>730</v>
      </c>
      <c r="M377" t="s">
        <v>684</v>
      </c>
      <c r="N377" t="s">
        <v>1226</v>
      </c>
      <c r="P377" t="s">
        <v>575</v>
      </c>
      <c r="Q377" t="s">
        <v>620</v>
      </c>
      <c r="R377" t="s">
        <v>1014</v>
      </c>
      <c r="S377">
        <v>20171229</v>
      </c>
      <c r="T377" t="s">
        <v>853</v>
      </c>
      <c r="X377">
        <v>15</v>
      </c>
      <c r="Y377">
        <v>38000</v>
      </c>
      <c r="AA377" t="s">
        <v>577</v>
      </c>
      <c r="AB377">
        <v>20190208</v>
      </c>
      <c r="AE377">
        <f t="shared" si="5"/>
        <v>0</v>
      </c>
      <c r="AF377">
        <v>0</v>
      </c>
      <c r="AG377">
        <v>0</v>
      </c>
      <c r="AH377">
        <v>0</v>
      </c>
      <c r="AI377" s="121">
        <v>190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190</v>
      </c>
    </row>
    <row r="378" spans="1:41">
      <c r="A378">
        <v>201903</v>
      </c>
      <c r="B378">
        <v>25</v>
      </c>
      <c r="C378" t="s">
        <v>502</v>
      </c>
      <c r="D378">
        <v>3190398557551</v>
      </c>
      <c r="E378" t="s">
        <v>53</v>
      </c>
      <c r="F378" t="s">
        <v>569</v>
      </c>
      <c r="G378" t="s">
        <v>570</v>
      </c>
      <c r="H378" t="s">
        <v>571</v>
      </c>
      <c r="I378" t="s">
        <v>621</v>
      </c>
      <c r="J378" t="s">
        <v>621</v>
      </c>
      <c r="K378" t="s">
        <v>622</v>
      </c>
      <c r="L378" t="s">
        <v>664</v>
      </c>
      <c r="M378" t="s">
        <v>665</v>
      </c>
      <c r="N378" t="s">
        <v>939</v>
      </c>
      <c r="P378" t="s">
        <v>575</v>
      </c>
      <c r="Q378" t="s">
        <v>620</v>
      </c>
      <c r="R378" t="s">
        <v>1013</v>
      </c>
      <c r="S378">
        <v>20171229</v>
      </c>
      <c r="T378" t="s">
        <v>806</v>
      </c>
      <c r="X378">
        <v>15</v>
      </c>
      <c r="Y378">
        <v>40000</v>
      </c>
      <c r="AA378" t="s">
        <v>577</v>
      </c>
      <c r="AB378">
        <v>20190225</v>
      </c>
      <c r="AE378">
        <f t="shared" si="5"/>
        <v>0</v>
      </c>
      <c r="AF378">
        <v>0</v>
      </c>
      <c r="AG378">
        <v>0</v>
      </c>
      <c r="AH378">
        <v>0</v>
      </c>
      <c r="AI378" s="121">
        <v>300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300</v>
      </c>
    </row>
    <row r="379" spans="1:41">
      <c r="A379">
        <v>201903</v>
      </c>
      <c r="B379">
        <v>25</v>
      </c>
      <c r="C379" t="s">
        <v>502</v>
      </c>
      <c r="D379">
        <v>3190399087911</v>
      </c>
      <c r="E379" t="s">
        <v>53</v>
      </c>
      <c r="F379" t="s">
        <v>569</v>
      </c>
      <c r="G379" t="s">
        <v>570</v>
      </c>
      <c r="H379" t="s">
        <v>571</v>
      </c>
      <c r="I379" t="s">
        <v>674</v>
      </c>
      <c r="J379" t="s">
        <v>674</v>
      </c>
      <c r="K379" t="s">
        <v>675</v>
      </c>
      <c r="L379" t="s">
        <v>482</v>
      </c>
      <c r="M379" t="s">
        <v>481</v>
      </c>
      <c r="N379" t="s">
        <v>967</v>
      </c>
      <c r="P379" t="s">
        <v>575</v>
      </c>
      <c r="Q379" t="s">
        <v>620</v>
      </c>
      <c r="R379" t="s">
        <v>1013</v>
      </c>
      <c r="S379">
        <v>20180104</v>
      </c>
      <c r="T379" t="s">
        <v>1237</v>
      </c>
      <c r="X379">
        <v>12</v>
      </c>
      <c r="Y379">
        <v>31000</v>
      </c>
      <c r="AA379" t="s">
        <v>577</v>
      </c>
      <c r="AB379">
        <v>20190228</v>
      </c>
      <c r="AE379">
        <f t="shared" si="5"/>
        <v>26148</v>
      </c>
      <c r="AF379">
        <v>0</v>
      </c>
      <c r="AG379">
        <v>26148</v>
      </c>
      <c r="AH379">
        <v>0</v>
      </c>
      <c r="AI379" s="121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26148</v>
      </c>
    </row>
    <row r="380" spans="1:41">
      <c r="A380">
        <v>201903</v>
      </c>
      <c r="B380">
        <v>25</v>
      </c>
      <c r="C380" t="s">
        <v>502</v>
      </c>
      <c r="D380">
        <v>3190399656061</v>
      </c>
      <c r="E380" t="s">
        <v>53</v>
      </c>
      <c r="F380" t="s">
        <v>569</v>
      </c>
      <c r="G380" t="s">
        <v>570</v>
      </c>
      <c r="H380" t="s">
        <v>571</v>
      </c>
      <c r="I380" t="s">
        <v>578</v>
      </c>
      <c r="J380" t="s">
        <v>578</v>
      </c>
      <c r="K380" t="s">
        <v>579</v>
      </c>
      <c r="L380" t="s">
        <v>611</v>
      </c>
      <c r="M380" t="s">
        <v>612</v>
      </c>
      <c r="N380" t="s">
        <v>979</v>
      </c>
      <c r="P380" t="s">
        <v>575</v>
      </c>
      <c r="Q380" t="s">
        <v>620</v>
      </c>
      <c r="R380" t="s">
        <v>1014</v>
      </c>
      <c r="S380">
        <v>20180105</v>
      </c>
      <c r="T380" t="s">
        <v>1053</v>
      </c>
      <c r="X380">
        <v>14</v>
      </c>
      <c r="Y380">
        <v>68000</v>
      </c>
      <c r="AA380" t="s">
        <v>577</v>
      </c>
      <c r="AB380">
        <v>20190228</v>
      </c>
      <c r="AE380">
        <f t="shared" si="5"/>
        <v>0</v>
      </c>
      <c r="AF380">
        <v>0</v>
      </c>
      <c r="AG380">
        <v>0</v>
      </c>
      <c r="AH380">
        <v>0</v>
      </c>
      <c r="AI380" s="121">
        <v>340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340</v>
      </c>
    </row>
    <row r="381" spans="1:41">
      <c r="A381">
        <v>201903</v>
      </c>
      <c r="B381">
        <v>25</v>
      </c>
      <c r="C381" t="s">
        <v>502</v>
      </c>
      <c r="D381">
        <v>3190400163431</v>
      </c>
      <c r="E381" t="s">
        <v>53</v>
      </c>
      <c r="F381" t="s">
        <v>569</v>
      </c>
      <c r="G381" t="s">
        <v>570</v>
      </c>
      <c r="H381" t="s">
        <v>571</v>
      </c>
      <c r="I381" t="s">
        <v>578</v>
      </c>
      <c r="J381" t="s">
        <v>578</v>
      </c>
      <c r="K381" t="s">
        <v>579</v>
      </c>
      <c r="L381" t="s">
        <v>583</v>
      </c>
      <c r="M381" t="s">
        <v>584</v>
      </c>
      <c r="N381" t="s">
        <v>1042</v>
      </c>
      <c r="P381" t="s">
        <v>575</v>
      </c>
      <c r="Q381" t="s">
        <v>620</v>
      </c>
      <c r="R381" t="s">
        <v>1014</v>
      </c>
      <c r="S381">
        <v>20180111</v>
      </c>
      <c r="T381" t="s">
        <v>846</v>
      </c>
      <c r="X381">
        <v>14</v>
      </c>
      <c r="Y381">
        <v>42000</v>
      </c>
      <c r="AA381" t="s">
        <v>577</v>
      </c>
      <c r="AB381">
        <v>20190207</v>
      </c>
      <c r="AE381">
        <f t="shared" si="5"/>
        <v>0</v>
      </c>
      <c r="AF381">
        <v>0</v>
      </c>
      <c r="AG381">
        <v>0</v>
      </c>
      <c r="AH381">
        <v>0</v>
      </c>
      <c r="AI381" s="121">
        <v>210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210</v>
      </c>
    </row>
    <row r="382" spans="1:41">
      <c r="A382">
        <v>201903</v>
      </c>
      <c r="B382">
        <v>25</v>
      </c>
      <c r="C382" t="s">
        <v>502</v>
      </c>
      <c r="D382">
        <v>3190400540921</v>
      </c>
      <c r="E382" t="s">
        <v>53</v>
      </c>
      <c r="F382" t="s">
        <v>569</v>
      </c>
      <c r="G382" t="s">
        <v>570</v>
      </c>
      <c r="H382" t="s">
        <v>571</v>
      </c>
      <c r="I382" t="s">
        <v>1139</v>
      </c>
      <c r="J382" t="s">
        <v>706</v>
      </c>
      <c r="K382" t="s">
        <v>707</v>
      </c>
      <c r="L382" t="s">
        <v>708</v>
      </c>
      <c r="M382" t="s">
        <v>709</v>
      </c>
      <c r="N382" t="s">
        <v>1024</v>
      </c>
      <c r="P382" t="s">
        <v>575</v>
      </c>
      <c r="Q382" t="s">
        <v>711</v>
      </c>
      <c r="R382" t="s">
        <v>1058</v>
      </c>
      <c r="S382">
        <v>20180115</v>
      </c>
      <c r="T382" t="s">
        <v>1059</v>
      </c>
      <c r="X382">
        <v>14</v>
      </c>
      <c r="Y382">
        <v>115000</v>
      </c>
      <c r="AA382" t="s">
        <v>577</v>
      </c>
      <c r="AB382">
        <v>20190215</v>
      </c>
      <c r="AE382">
        <f t="shared" si="5"/>
        <v>0</v>
      </c>
      <c r="AF382">
        <v>0</v>
      </c>
      <c r="AG382">
        <v>0</v>
      </c>
      <c r="AH382">
        <v>0</v>
      </c>
      <c r="AI382" s="121">
        <v>172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172</v>
      </c>
    </row>
    <row r="383" spans="1:41">
      <c r="A383">
        <v>201903</v>
      </c>
      <c r="B383">
        <v>25</v>
      </c>
      <c r="C383" t="s">
        <v>502</v>
      </c>
      <c r="D383">
        <v>3190400937461</v>
      </c>
      <c r="E383" t="s">
        <v>53</v>
      </c>
      <c r="F383" t="s">
        <v>569</v>
      </c>
      <c r="G383" t="s">
        <v>570</v>
      </c>
      <c r="H383" t="s">
        <v>571</v>
      </c>
      <c r="I383" t="s">
        <v>578</v>
      </c>
      <c r="J383" t="s">
        <v>578</v>
      </c>
      <c r="K383" t="s">
        <v>579</v>
      </c>
      <c r="L383" t="s">
        <v>613</v>
      </c>
      <c r="M383" t="s">
        <v>614</v>
      </c>
      <c r="N383" t="s">
        <v>927</v>
      </c>
      <c r="P383" t="s">
        <v>575</v>
      </c>
      <c r="Q383" t="s">
        <v>620</v>
      </c>
      <c r="R383" t="s">
        <v>1013</v>
      </c>
      <c r="S383">
        <v>20180112</v>
      </c>
      <c r="T383" t="s">
        <v>1151</v>
      </c>
      <c r="X383">
        <v>12</v>
      </c>
      <c r="Y383">
        <v>50248</v>
      </c>
      <c r="AA383" t="s">
        <v>577</v>
      </c>
      <c r="AB383">
        <v>20190228</v>
      </c>
      <c r="AE383">
        <f t="shared" si="5"/>
        <v>30255</v>
      </c>
      <c r="AF383">
        <v>0</v>
      </c>
      <c r="AG383">
        <v>30255</v>
      </c>
      <c r="AH383">
        <v>0</v>
      </c>
      <c r="AI383" s="121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30255</v>
      </c>
    </row>
    <row r="384" spans="1:41">
      <c r="A384">
        <v>201903</v>
      </c>
      <c r="B384">
        <v>25</v>
      </c>
      <c r="C384" t="s">
        <v>502</v>
      </c>
      <c r="D384">
        <v>3190401172411</v>
      </c>
      <c r="E384" t="s">
        <v>53</v>
      </c>
      <c r="F384" t="s">
        <v>569</v>
      </c>
      <c r="G384" t="s">
        <v>570</v>
      </c>
      <c r="H384" t="s">
        <v>571</v>
      </c>
      <c r="I384" t="s">
        <v>633</v>
      </c>
      <c r="L384" t="s">
        <v>641</v>
      </c>
      <c r="M384" t="s">
        <v>642</v>
      </c>
      <c r="N384" t="s">
        <v>921</v>
      </c>
      <c r="P384" t="s">
        <v>575</v>
      </c>
      <c r="Q384" t="s">
        <v>620</v>
      </c>
      <c r="R384" t="s">
        <v>1013</v>
      </c>
      <c r="S384">
        <v>20180115</v>
      </c>
      <c r="T384" t="s">
        <v>1066</v>
      </c>
      <c r="X384">
        <v>13</v>
      </c>
      <c r="Y384">
        <v>55000</v>
      </c>
      <c r="AA384" t="s">
        <v>577</v>
      </c>
      <c r="AB384">
        <v>20190228</v>
      </c>
      <c r="AE384">
        <f t="shared" si="5"/>
        <v>46392</v>
      </c>
      <c r="AF384">
        <v>0</v>
      </c>
      <c r="AG384">
        <v>46392</v>
      </c>
      <c r="AH384">
        <v>0</v>
      </c>
      <c r="AI384" s="121">
        <v>412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46804</v>
      </c>
    </row>
    <row r="385" spans="1:41">
      <c r="A385">
        <v>201903</v>
      </c>
      <c r="B385">
        <v>25</v>
      </c>
      <c r="C385" t="s">
        <v>502</v>
      </c>
      <c r="D385">
        <v>3190402042151</v>
      </c>
      <c r="E385" t="s">
        <v>53</v>
      </c>
      <c r="F385" t="s">
        <v>569</v>
      </c>
      <c r="G385" t="s">
        <v>570</v>
      </c>
      <c r="H385" t="s">
        <v>571</v>
      </c>
      <c r="I385" t="s">
        <v>578</v>
      </c>
      <c r="J385" t="s">
        <v>578</v>
      </c>
      <c r="K385" t="s">
        <v>579</v>
      </c>
      <c r="L385" t="s">
        <v>741</v>
      </c>
      <c r="M385" t="s">
        <v>710</v>
      </c>
      <c r="N385" t="s">
        <v>913</v>
      </c>
      <c r="P385" t="s">
        <v>575</v>
      </c>
      <c r="Q385" t="s">
        <v>620</v>
      </c>
      <c r="R385" t="s">
        <v>1014</v>
      </c>
      <c r="S385">
        <v>20180119</v>
      </c>
      <c r="T385" t="s">
        <v>1203</v>
      </c>
      <c r="X385">
        <v>14</v>
      </c>
      <c r="Y385">
        <v>48000</v>
      </c>
      <c r="AA385" t="s">
        <v>577</v>
      </c>
      <c r="AB385">
        <v>20190228</v>
      </c>
      <c r="AE385">
        <f t="shared" si="5"/>
        <v>0</v>
      </c>
      <c r="AF385">
        <v>0</v>
      </c>
      <c r="AG385">
        <v>0</v>
      </c>
      <c r="AH385">
        <v>0</v>
      </c>
      <c r="AI385" s="121">
        <v>240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240</v>
      </c>
    </row>
    <row r="386" spans="1:41">
      <c r="A386">
        <v>201903</v>
      </c>
      <c r="B386">
        <v>25</v>
      </c>
      <c r="C386" t="s">
        <v>502</v>
      </c>
      <c r="D386">
        <v>3190402148051</v>
      </c>
      <c r="E386" t="s">
        <v>53</v>
      </c>
      <c r="F386" t="s">
        <v>569</v>
      </c>
      <c r="G386" t="s">
        <v>570</v>
      </c>
      <c r="H386" t="s">
        <v>571</v>
      </c>
      <c r="I386" t="s">
        <v>674</v>
      </c>
      <c r="L386" t="s">
        <v>491</v>
      </c>
      <c r="M386" t="s">
        <v>490</v>
      </c>
      <c r="N386" t="s">
        <v>907</v>
      </c>
      <c r="P386" t="s">
        <v>575</v>
      </c>
      <c r="Q386" t="s">
        <v>620</v>
      </c>
      <c r="R386" t="s">
        <v>1071</v>
      </c>
      <c r="S386">
        <v>20180119</v>
      </c>
      <c r="T386" t="s">
        <v>811</v>
      </c>
      <c r="X386">
        <v>12</v>
      </c>
      <c r="Y386">
        <v>48793</v>
      </c>
      <c r="AA386" t="s">
        <v>577</v>
      </c>
      <c r="AB386">
        <v>20190218</v>
      </c>
      <c r="AE386">
        <f t="shared" si="5"/>
        <v>33471</v>
      </c>
      <c r="AF386">
        <v>0</v>
      </c>
      <c r="AG386">
        <v>33471</v>
      </c>
      <c r="AH386">
        <v>0</v>
      </c>
      <c r="AI386" s="121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33471</v>
      </c>
    </row>
    <row r="387" spans="1:41">
      <c r="A387">
        <v>201903</v>
      </c>
      <c r="B387">
        <v>25</v>
      </c>
      <c r="C387" t="s">
        <v>502</v>
      </c>
      <c r="D387">
        <v>3190402187201</v>
      </c>
      <c r="E387" t="s">
        <v>53</v>
      </c>
      <c r="F387" t="s">
        <v>569</v>
      </c>
      <c r="G387" t="s">
        <v>570</v>
      </c>
      <c r="H387" t="s">
        <v>571</v>
      </c>
      <c r="I387" t="s">
        <v>674</v>
      </c>
      <c r="L387" t="s">
        <v>491</v>
      </c>
      <c r="M387" t="s">
        <v>490</v>
      </c>
      <c r="N387" t="s">
        <v>907</v>
      </c>
      <c r="P387" t="s">
        <v>575</v>
      </c>
      <c r="Q387" t="s">
        <v>620</v>
      </c>
      <c r="R387" t="s">
        <v>1013</v>
      </c>
      <c r="S387">
        <v>20180119</v>
      </c>
      <c r="T387" t="s">
        <v>811</v>
      </c>
      <c r="X387">
        <v>12</v>
      </c>
      <c r="Y387">
        <v>55846</v>
      </c>
      <c r="AA387" t="s">
        <v>577</v>
      </c>
      <c r="AB387">
        <v>20190218</v>
      </c>
      <c r="AE387">
        <f t="shared" ref="AE387:AE450" si="6">AO387-AI387</f>
        <v>29696</v>
      </c>
      <c r="AF387">
        <v>0</v>
      </c>
      <c r="AG387">
        <v>29696</v>
      </c>
      <c r="AH387">
        <v>0</v>
      </c>
      <c r="AI387" s="121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29696</v>
      </c>
    </row>
    <row r="388" spans="1:41">
      <c r="A388">
        <v>201903</v>
      </c>
      <c r="B388">
        <v>25</v>
      </c>
      <c r="C388" t="s">
        <v>502</v>
      </c>
      <c r="D388">
        <v>3190037315011</v>
      </c>
      <c r="E388" t="s">
        <v>53</v>
      </c>
      <c r="F388" t="s">
        <v>569</v>
      </c>
      <c r="G388" t="s">
        <v>570</v>
      </c>
      <c r="H388" t="s">
        <v>571</v>
      </c>
      <c r="I388" t="s">
        <v>578</v>
      </c>
      <c r="J388" t="s">
        <v>578</v>
      </c>
      <c r="K388" t="s">
        <v>579</v>
      </c>
      <c r="L388" t="s">
        <v>611</v>
      </c>
      <c r="M388" t="s">
        <v>612</v>
      </c>
      <c r="N388" t="s">
        <v>979</v>
      </c>
      <c r="P388" t="s">
        <v>575</v>
      </c>
      <c r="Q388" t="s">
        <v>620</v>
      </c>
      <c r="R388" t="s">
        <v>1009</v>
      </c>
      <c r="S388">
        <v>20160412</v>
      </c>
      <c r="T388" t="s">
        <v>1125</v>
      </c>
      <c r="X388">
        <v>35</v>
      </c>
      <c r="Y388">
        <v>55000</v>
      </c>
      <c r="AA388" t="s">
        <v>577</v>
      </c>
      <c r="AB388">
        <v>20190211</v>
      </c>
      <c r="AE388">
        <f t="shared" si="6"/>
        <v>0</v>
      </c>
      <c r="AF388">
        <v>0</v>
      </c>
      <c r="AG388">
        <v>0</v>
      </c>
      <c r="AH388">
        <v>0</v>
      </c>
      <c r="AI388" s="121">
        <v>412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412</v>
      </c>
    </row>
    <row r="389" spans="1:41">
      <c r="A389">
        <v>201903</v>
      </c>
      <c r="B389">
        <v>25</v>
      </c>
      <c r="C389" t="s">
        <v>502</v>
      </c>
      <c r="D389">
        <v>3190037530331</v>
      </c>
      <c r="E389" t="s">
        <v>53</v>
      </c>
      <c r="F389" t="s">
        <v>569</v>
      </c>
      <c r="G389" t="s">
        <v>570</v>
      </c>
      <c r="H389" t="s">
        <v>571</v>
      </c>
      <c r="I389" t="s">
        <v>578</v>
      </c>
      <c r="J389" t="s">
        <v>578</v>
      </c>
      <c r="K389" t="s">
        <v>579</v>
      </c>
      <c r="L389" t="s">
        <v>597</v>
      </c>
      <c r="M389" t="s">
        <v>598</v>
      </c>
      <c r="N389" t="s">
        <v>913</v>
      </c>
      <c r="P389" t="s">
        <v>575</v>
      </c>
      <c r="Q389" t="s">
        <v>620</v>
      </c>
      <c r="R389" t="s">
        <v>1009</v>
      </c>
      <c r="S389">
        <v>20160407</v>
      </c>
      <c r="T389" t="s">
        <v>1126</v>
      </c>
      <c r="X389">
        <v>35</v>
      </c>
      <c r="Y389">
        <v>148412</v>
      </c>
      <c r="AA389" t="s">
        <v>577</v>
      </c>
      <c r="AB389">
        <v>20190225</v>
      </c>
      <c r="AE389">
        <f t="shared" si="6"/>
        <v>0</v>
      </c>
      <c r="AF389">
        <v>0</v>
      </c>
      <c r="AG389">
        <v>0</v>
      </c>
      <c r="AH389">
        <v>0</v>
      </c>
      <c r="AI389" s="121">
        <v>1113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1113</v>
      </c>
    </row>
    <row r="390" spans="1:41">
      <c r="A390">
        <v>201903</v>
      </c>
      <c r="B390">
        <v>25</v>
      </c>
      <c r="C390" t="s">
        <v>502</v>
      </c>
      <c r="D390">
        <v>3190038435411</v>
      </c>
      <c r="E390" t="s">
        <v>53</v>
      </c>
      <c r="F390" t="s">
        <v>569</v>
      </c>
      <c r="G390" t="s">
        <v>570</v>
      </c>
      <c r="H390" t="s">
        <v>571</v>
      </c>
      <c r="I390" t="s">
        <v>674</v>
      </c>
      <c r="L390" t="s">
        <v>491</v>
      </c>
      <c r="M390" t="s">
        <v>490</v>
      </c>
      <c r="N390" t="s">
        <v>907</v>
      </c>
      <c r="P390" t="s">
        <v>575</v>
      </c>
      <c r="Q390" t="s">
        <v>620</v>
      </c>
      <c r="R390" t="s">
        <v>1009</v>
      </c>
      <c r="S390">
        <v>20160418</v>
      </c>
      <c r="T390" t="s">
        <v>812</v>
      </c>
      <c r="X390">
        <v>35</v>
      </c>
      <c r="Y390">
        <v>40000</v>
      </c>
      <c r="AA390" t="s">
        <v>577</v>
      </c>
      <c r="AB390">
        <v>20190225</v>
      </c>
      <c r="AE390">
        <f t="shared" si="6"/>
        <v>0</v>
      </c>
      <c r="AF390">
        <v>0</v>
      </c>
      <c r="AG390">
        <v>0</v>
      </c>
      <c r="AH390">
        <v>0</v>
      </c>
      <c r="AI390" s="121">
        <v>300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300</v>
      </c>
    </row>
    <row r="391" spans="1:41">
      <c r="A391">
        <v>201903</v>
      </c>
      <c r="B391">
        <v>25</v>
      </c>
      <c r="C391" t="s">
        <v>502</v>
      </c>
      <c r="D391">
        <v>3190040228271</v>
      </c>
      <c r="E391" t="s">
        <v>53</v>
      </c>
      <c r="F391" t="s">
        <v>569</v>
      </c>
      <c r="G391" t="s">
        <v>570</v>
      </c>
      <c r="H391" t="s">
        <v>571</v>
      </c>
      <c r="I391" t="s">
        <v>578</v>
      </c>
      <c r="J391" t="s">
        <v>578</v>
      </c>
      <c r="K391" t="s">
        <v>579</v>
      </c>
      <c r="L391" t="s">
        <v>586</v>
      </c>
      <c r="M391" t="s">
        <v>587</v>
      </c>
      <c r="N391" t="s">
        <v>1198</v>
      </c>
      <c r="P391" t="s">
        <v>575</v>
      </c>
      <c r="Q391" t="s">
        <v>620</v>
      </c>
      <c r="R391" t="s">
        <v>1009</v>
      </c>
      <c r="S391">
        <v>20160510</v>
      </c>
      <c r="T391" t="s">
        <v>861</v>
      </c>
      <c r="X391">
        <v>32</v>
      </c>
      <c r="Y391">
        <v>30000</v>
      </c>
      <c r="AA391" t="s">
        <v>577</v>
      </c>
      <c r="AB391">
        <v>20190226</v>
      </c>
      <c r="AE391">
        <f t="shared" si="6"/>
        <v>0</v>
      </c>
      <c r="AF391">
        <v>0</v>
      </c>
      <c r="AG391">
        <v>0</v>
      </c>
      <c r="AH391">
        <v>0</v>
      </c>
      <c r="AI391" s="121">
        <v>225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225</v>
      </c>
    </row>
    <row r="392" spans="1:41">
      <c r="A392">
        <v>201903</v>
      </c>
      <c r="B392">
        <v>25</v>
      </c>
      <c r="C392" t="s">
        <v>502</v>
      </c>
      <c r="D392">
        <v>3190040396191</v>
      </c>
      <c r="E392" t="s">
        <v>53</v>
      </c>
      <c r="F392" t="s">
        <v>569</v>
      </c>
      <c r="G392" t="s">
        <v>570</v>
      </c>
      <c r="H392" t="s">
        <v>571</v>
      </c>
      <c r="I392" t="s">
        <v>578</v>
      </c>
      <c r="J392" t="s">
        <v>578</v>
      </c>
      <c r="K392" t="s">
        <v>579</v>
      </c>
      <c r="L392" t="s">
        <v>597</v>
      </c>
      <c r="M392" t="s">
        <v>598</v>
      </c>
      <c r="N392" t="s">
        <v>913</v>
      </c>
      <c r="P392" t="s">
        <v>575</v>
      </c>
      <c r="Q392" t="s">
        <v>620</v>
      </c>
      <c r="R392" t="s">
        <v>1009</v>
      </c>
      <c r="S392">
        <v>20160504</v>
      </c>
      <c r="T392" t="s">
        <v>906</v>
      </c>
      <c r="X392">
        <v>34</v>
      </c>
      <c r="Y392">
        <v>147000</v>
      </c>
      <c r="AA392" t="s">
        <v>577</v>
      </c>
      <c r="AB392">
        <v>20190207</v>
      </c>
      <c r="AE392">
        <f t="shared" si="6"/>
        <v>0</v>
      </c>
      <c r="AF392">
        <v>0</v>
      </c>
      <c r="AG392">
        <v>0</v>
      </c>
      <c r="AH392">
        <v>0</v>
      </c>
      <c r="AI392" s="121">
        <v>1102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1102</v>
      </c>
    </row>
    <row r="393" spans="1:41">
      <c r="A393">
        <v>201903</v>
      </c>
      <c r="B393">
        <v>25</v>
      </c>
      <c r="C393" t="s">
        <v>502</v>
      </c>
      <c r="D393">
        <v>3190040397751</v>
      </c>
      <c r="E393" t="s">
        <v>53</v>
      </c>
      <c r="F393" t="s">
        <v>569</v>
      </c>
      <c r="G393" t="s">
        <v>570</v>
      </c>
      <c r="H393" t="s">
        <v>571</v>
      </c>
      <c r="I393" t="s">
        <v>578</v>
      </c>
      <c r="J393" t="s">
        <v>578</v>
      </c>
      <c r="K393" t="s">
        <v>579</v>
      </c>
      <c r="L393" t="s">
        <v>597</v>
      </c>
      <c r="M393" t="s">
        <v>598</v>
      </c>
      <c r="N393" t="s">
        <v>913</v>
      </c>
      <c r="P393" t="s">
        <v>575</v>
      </c>
      <c r="Q393" t="s">
        <v>620</v>
      </c>
      <c r="R393" t="s">
        <v>1009</v>
      </c>
      <c r="S393">
        <v>20160504</v>
      </c>
      <c r="T393" t="s">
        <v>906</v>
      </c>
      <c r="X393">
        <v>34</v>
      </c>
      <c r="Y393">
        <v>88000</v>
      </c>
      <c r="AA393" t="s">
        <v>577</v>
      </c>
      <c r="AB393">
        <v>20190207</v>
      </c>
      <c r="AE393">
        <f t="shared" si="6"/>
        <v>0</v>
      </c>
      <c r="AF393">
        <v>0</v>
      </c>
      <c r="AG393">
        <v>0</v>
      </c>
      <c r="AH393">
        <v>0</v>
      </c>
      <c r="AI393" s="121">
        <v>660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660</v>
      </c>
    </row>
    <row r="394" spans="1:41">
      <c r="A394">
        <v>201903</v>
      </c>
      <c r="B394">
        <v>25</v>
      </c>
      <c r="C394" t="s">
        <v>502</v>
      </c>
      <c r="D394">
        <v>3190040492791</v>
      </c>
      <c r="E394" t="s">
        <v>53</v>
      </c>
      <c r="F394" t="s">
        <v>569</v>
      </c>
      <c r="G394" t="s">
        <v>570</v>
      </c>
      <c r="H394" t="s">
        <v>571</v>
      </c>
      <c r="I394" t="s">
        <v>674</v>
      </c>
      <c r="L394" t="s">
        <v>491</v>
      </c>
      <c r="M394" t="s">
        <v>490</v>
      </c>
      <c r="N394" t="s">
        <v>907</v>
      </c>
      <c r="P394" t="s">
        <v>575</v>
      </c>
      <c r="Q394" t="s">
        <v>620</v>
      </c>
      <c r="R394" t="s">
        <v>1009</v>
      </c>
      <c r="S394">
        <v>20160511</v>
      </c>
      <c r="T394" t="s">
        <v>800</v>
      </c>
      <c r="X394">
        <v>34</v>
      </c>
      <c r="Y394">
        <v>29940</v>
      </c>
      <c r="AA394" t="s">
        <v>577</v>
      </c>
      <c r="AB394">
        <v>20190220</v>
      </c>
      <c r="AE394">
        <f t="shared" si="6"/>
        <v>0</v>
      </c>
      <c r="AF394">
        <v>0</v>
      </c>
      <c r="AG394">
        <v>0</v>
      </c>
      <c r="AH394">
        <v>0</v>
      </c>
      <c r="AI394" s="121">
        <v>224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224</v>
      </c>
    </row>
    <row r="395" spans="1:41">
      <c r="A395">
        <v>201903</v>
      </c>
      <c r="B395">
        <v>25</v>
      </c>
      <c r="C395" t="s">
        <v>502</v>
      </c>
      <c r="D395">
        <v>3190043409561</v>
      </c>
      <c r="E395" t="s">
        <v>53</v>
      </c>
      <c r="F395" t="s">
        <v>569</v>
      </c>
      <c r="G395" t="s">
        <v>570</v>
      </c>
      <c r="H395" t="s">
        <v>571</v>
      </c>
      <c r="I395" t="s">
        <v>618</v>
      </c>
      <c r="J395" t="s">
        <v>618</v>
      </c>
      <c r="K395" t="s">
        <v>619</v>
      </c>
      <c r="L395" t="s">
        <v>627</v>
      </c>
      <c r="M395" t="s">
        <v>628</v>
      </c>
      <c r="N395" t="s">
        <v>1043</v>
      </c>
      <c r="P395" t="s">
        <v>575</v>
      </c>
      <c r="Q395" t="s">
        <v>620</v>
      </c>
      <c r="R395" t="s">
        <v>1019</v>
      </c>
      <c r="S395">
        <v>20160602</v>
      </c>
      <c r="T395" t="s">
        <v>780</v>
      </c>
      <c r="X395">
        <v>33</v>
      </c>
      <c r="Y395">
        <v>50000</v>
      </c>
      <c r="AA395" t="s">
        <v>577</v>
      </c>
      <c r="AB395">
        <v>20190225</v>
      </c>
      <c r="AE395">
        <f t="shared" si="6"/>
        <v>0</v>
      </c>
      <c r="AF395">
        <v>0</v>
      </c>
      <c r="AG395">
        <v>0</v>
      </c>
      <c r="AH395">
        <v>0</v>
      </c>
      <c r="AI395" s="121">
        <v>250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250</v>
      </c>
    </row>
    <row r="396" spans="1:41">
      <c r="A396">
        <v>201903</v>
      </c>
      <c r="B396">
        <v>25</v>
      </c>
      <c r="C396" t="s">
        <v>502</v>
      </c>
      <c r="D396">
        <v>3190043632191</v>
      </c>
      <c r="E396" t="s">
        <v>53</v>
      </c>
      <c r="F396" t="s">
        <v>569</v>
      </c>
      <c r="G396" t="s">
        <v>570</v>
      </c>
      <c r="H396" t="s">
        <v>571</v>
      </c>
      <c r="I396" t="s">
        <v>578</v>
      </c>
      <c r="J396" t="s">
        <v>578</v>
      </c>
      <c r="K396" t="s">
        <v>579</v>
      </c>
      <c r="L396" t="s">
        <v>741</v>
      </c>
      <c r="M396" t="s">
        <v>710</v>
      </c>
      <c r="N396" t="s">
        <v>913</v>
      </c>
      <c r="P396" t="s">
        <v>575</v>
      </c>
      <c r="Q396" t="s">
        <v>620</v>
      </c>
      <c r="R396" t="s">
        <v>1009</v>
      </c>
      <c r="S396">
        <v>20160610</v>
      </c>
      <c r="T396" t="s">
        <v>807</v>
      </c>
      <c r="X396">
        <v>33</v>
      </c>
      <c r="Y396">
        <v>69000</v>
      </c>
      <c r="AA396" t="s">
        <v>577</v>
      </c>
      <c r="AB396">
        <v>20190225</v>
      </c>
      <c r="AE396">
        <f t="shared" si="6"/>
        <v>0</v>
      </c>
      <c r="AF396">
        <v>0</v>
      </c>
      <c r="AG396">
        <v>0</v>
      </c>
      <c r="AH396">
        <v>0</v>
      </c>
      <c r="AI396" s="121">
        <v>517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517</v>
      </c>
    </row>
    <row r="397" spans="1:41">
      <c r="A397">
        <v>201903</v>
      </c>
      <c r="B397">
        <v>25</v>
      </c>
      <c r="C397" t="s">
        <v>502</v>
      </c>
      <c r="D397">
        <v>3190044533011</v>
      </c>
      <c r="E397" t="s">
        <v>53</v>
      </c>
      <c r="F397" t="s">
        <v>569</v>
      </c>
      <c r="G397" t="s">
        <v>570</v>
      </c>
      <c r="H397" t="s">
        <v>571</v>
      </c>
      <c r="I397" t="s">
        <v>674</v>
      </c>
      <c r="L397" t="s">
        <v>491</v>
      </c>
      <c r="M397" t="s">
        <v>490</v>
      </c>
      <c r="N397" t="s">
        <v>907</v>
      </c>
      <c r="P397" t="s">
        <v>575</v>
      </c>
      <c r="Q397" t="s">
        <v>620</v>
      </c>
      <c r="R397" t="s">
        <v>1238</v>
      </c>
      <c r="S397">
        <v>20160613</v>
      </c>
      <c r="T397" t="s">
        <v>794</v>
      </c>
      <c r="X397">
        <v>33</v>
      </c>
      <c r="Y397">
        <v>30000</v>
      </c>
      <c r="AA397" t="s">
        <v>577</v>
      </c>
      <c r="AB397">
        <v>20190220</v>
      </c>
      <c r="AE397">
        <f t="shared" si="6"/>
        <v>0</v>
      </c>
      <c r="AF397">
        <v>0</v>
      </c>
      <c r="AG397">
        <v>0</v>
      </c>
      <c r="AH397">
        <v>0</v>
      </c>
      <c r="AI397" s="121">
        <v>150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150</v>
      </c>
    </row>
    <row r="398" spans="1:41">
      <c r="A398">
        <v>201903</v>
      </c>
      <c r="B398">
        <v>25</v>
      </c>
      <c r="C398" t="s">
        <v>502</v>
      </c>
      <c r="D398">
        <v>3190045261101</v>
      </c>
      <c r="E398" t="s">
        <v>53</v>
      </c>
      <c r="F398" t="s">
        <v>569</v>
      </c>
      <c r="G398" t="s">
        <v>570</v>
      </c>
      <c r="H398" t="s">
        <v>571</v>
      </c>
      <c r="I398" t="s">
        <v>674</v>
      </c>
      <c r="L398" t="s">
        <v>491</v>
      </c>
      <c r="M398" t="s">
        <v>490</v>
      </c>
      <c r="N398" t="s">
        <v>907</v>
      </c>
      <c r="P398" t="s">
        <v>575</v>
      </c>
      <c r="Q398" t="s">
        <v>620</v>
      </c>
      <c r="R398" t="s">
        <v>1197</v>
      </c>
      <c r="S398">
        <v>20160620</v>
      </c>
      <c r="T398" t="s">
        <v>784</v>
      </c>
      <c r="X398">
        <v>33</v>
      </c>
      <c r="Y398">
        <v>30000</v>
      </c>
      <c r="AA398" t="s">
        <v>577</v>
      </c>
      <c r="AB398">
        <v>20190220</v>
      </c>
      <c r="AE398">
        <f t="shared" si="6"/>
        <v>0</v>
      </c>
      <c r="AF398">
        <v>0</v>
      </c>
      <c r="AG398">
        <v>0</v>
      </c>
      <c r="AH398">
        <v>0</v>
      </c>
      <c r="AI398" s="121">
        <v>150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150</v>
      </c>
    </row>
    <row r="399" spans="1:41">
      <c r="A399">
        <v>201903</v>
      </c>
      <c r="B399">
        <v>25</v>
      </c>
      <c r="C399" t="s">
        <v>502</v>
      </c>
      <c r="D399">
        <v>3190045499811</v>
      </c>
      <c r="E399" t="s">
        <v>53</v>
      </c>
      <c r="F399" t="s">
        <v>569</v>
      </c>
      <c r="G399" t="s">
        <v>570</v>
      </c>
      <c r="H399" t="s">
        <v>571</v>
      </c>
      <c r="I399" t="s">
        <v>578</v>
      </c>
      <c r="J399" t="s">
        <v>578</v>
      </c>
      <c r="K399" t="s">
        <v>579</v>
      </c>
      <c r="L399" t="s">
        <v>597</v>
      </c>
      <c r="M399" t="s">
        <v>598</v>
      </c>
      <c r="N399" t="s">
        <v>913</v>
      </c>
      <c r="P399" t="s">
        <v>575</v>
      </c>
      <c r="Q399" t="s">
        <v>620</v>
      </c>
      <c r="R399" t="s">
        <v>1009</v>
      </c>
      <c r="S399">
        <v>20160621</v>
      </c>
      <c r="T399" t="s">
        <v>1068</v>
      </c>
      <c r="X399">
        <v>33</v>
      </c>
      <c r="Y399">
        <v>100000</v>
      </c>
      <c r="AA399" t="s">
        <v>577</v>
      </c>
      <c r="AB399">
        <v>20190225</v>
      </c>
      <c r="AE399">
        <f t="shared" si="6"/>
        <v>0</v>
      </c>
      <c r="AF399">
        <v>0</v>
      </c>
      <c r="AG399">
        <v>0</v>
      </c>
      <c r="AH399">
        <v>0</v>
      </c>
      <c r="AI399" s="121">
        <v>750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750</v>
      </c>
    </row>
    <row r="400" spans="1:41">
      <c r="A400">
        <v>201903</v>
      </c>
      <c r="B400">
        <v>25</v>
      </c>
      <c r="C400" t="s">
        <v>502</v>
      </c>
      <c r="D400">
        <v>3190046096001</v>
      </c>
      <c r="E400" t="s">
        <v>53</v>
      </c>
      <c r="F400" t="s">
        <v>569</v>
      </c>
      <c r="G400" t="s">
        <v>570</v>
      </c>
      <c r="H400" t="s">
        <v>571</v>
      </c>
      <c r="I400" t="s">
        <v>578</v>
      </c>
      <c r="J400" t="s">
        <v>578</v>
      </c>
      <c r="K400" t="s">
        <v>579</v>
      </c>
      <c r="L400" t="s">
        <v>741</v>
      </c>
      <c r="M400" t="s">
        <v>710</v>
      </c>
      <c r="N400" t="s">
        <v>913</v>
      </c>
      <c r="P400" t="s">
        <v>575</v>
      </c>
      <c r="Q400" t="s">
        <v>620</v>
      </c>
      <c r="R400" t="s">
        <v>1009</v>
      </c>
      <c r="S400">
        <v>20160624</v>
      </c>
      <c r="T400" t="s">
        <v>807</v>
      </c>
      <c r="X400">
        <v>33</v>
      </c>
      <c r="Y400">
        <v>41000</v>
      </c>
      <c r="AA400" t="s">
        <v>577</v>
      </c>
      <c r="AB400">
        <v>20190225</v>
      </c>
      <c r="AE400">
        <f t="shared" si="6"/>
        <v>0</v>
      </c>
      <c r="AF400">
        <v>0</v>
      </c>
      <c r="AG400">
        <v>0</v>
      </c>
      <c r="AH400">
        <v>0</v>
      </c>
      <c r="AI400" s="121">
        <v>307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307</v>
      </c>
    </row>
    <row r="401" spans="1:41">
      <c r="A401">
        <v>201903</v>
      </c>
      <c r="B401">
        <v>25</v>
      </c>
      <c r="C401" t="s">
        <v>502</v>
      </c>
      <c r="D401">
        <v>3190048319791</v>
      </c>
      <c r="E401" t="s">
        <v>53</v>
      </c>
      <c r="F401" t="s">
        <v>569</v>
      </c>
      <c r="G401" t="s">
        <v>570</v>
      </c>
      <c r="H401" t="s">
        <v>571</v>
      </c>
      <c r="I401" t="s">
        <v>674</v>
      </c>
      <c r="J401" t="s">
        <v>674</v>
      </c>
      <c r="K401" t="s">
        <v>675</v>
      </c>
      <c r="L401" t="s">
        <v>489</v>
      </c>
      <c r="M401" t="s">
        <v>488</v>
      </c>
      <c r="N401" t="s">
        <v>902</v>
      </c>
      <c r="P401" t="s">
        <v>575</v>
      </c>
      <c r="Q401" t="s">
        <v>620</v>
      </c>
      <c r="R401" t="s">
        <v>1009</v>
      </c>
      <c r="S401">
        <v>20160719</v>
      </c>
      <c r="T401" t="s">
        <v>791</v>
      </c>
      <c r="X401">
        <v>32</v>
      </c>
      <c r="Y401">
        <v>79000</v>
      </c>
      <c r="AA401" t="s">
        <v>577</v>
      </c>
      <c r="AB401">
        <v>20190215</v>
      </c>
      <c r="AE401">
        <f t="shared" si="6"/>
        <v>0</v>
      </c>
      <c r="AF401">
        <v>0</v>
      </c>
      <c r="AG401">
        <v>0</v>
      </c>
      <c r="AH401">
        <v>0</v>
      </c>
      <c r="AI401" s="121">
        <v>592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592</v>
      </c>
    </row>
    <row r="402" spans="1:41">
      <c r="A402">
        <v>201903</v>
      </c>
      <c r="B402">
        <v>25</v>
      </c>
      <c r="C402" t="s">
        <v>502</v>
      </c>
      <c r="D402">
        <v>3190048577271</v>
      </c>
      <c r="E402" t="s">
        <v>53</v>
      </c>
      <c r="F402" t="s">
        <v>569</v>
      </c>
      <c r="G402" t="s">
        <v>570</v>
      </c>
      <c r="H402" t="s">
        <v>571</v>
      </c>
      <c r="I402" t="s">
        <v>674</v>
      </c>
      <c r="J402" t="s">
        <v>674</v>
      </c>
      <c r="K402" t="s">
        <v>675</v>
      </c>
      <c r="L402" t="s">
        <v>489</v>
      </c>
      <c r="M402" t="s">
        <v>488</v>
      </c>
      <c r="N402" t="s">
        <v>902</v>
      </c>
      <c r="P402" t="s">
        <v>575</v>
      </c>
      <c r="Q402" t="s">
        <v>620</v>
      </c>
      <c r="R402" t="s">
        <v>1019</v>
      </c>
      <c r="S402">
        <v>20160719</v>
      </c>
      <c r="T402" t="s">
        <v>1020</v>
      </c>
      <c r="X402">
        <v>32</v>
      </c>
      <c r="Y402">
        <v>20000</v>
      </c>
      <c r="AA402" t="s">
        <v>577</v>
      </c>
      <c r="AB402">
        <v>20190220</v>
      </c>
      <c r="AE402">
        <f t="shared" si="6"/>
        <v>0</v>
      </c>
      <c r="AF402">
        <v>0</v>
      </c>
      <c r="AG402">
        <v>0</v>
      </c>
      <c r="AH402">
        <v>0</v>
      </c>
      <c r="AI402" s="121">
        <v>100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100</v>
      </c>
    </row>
    <row r="403" spans="1:41">
      <c r="A403">
        <v>201903</v>
      </c>
      <c r="B403">
        <v>25</v>
      </c>
      <c r="C403" t="s">
        <v>502</v>
      </c>
      <c r="D403">
        <v>3190048592871</v>
      </c>
      <c r="E403" t="s">
        <v>53</v>
      </c>
      <c r="F403" t="s">
        <v>569</v>
      </c>
      <c r="G403" t="s">
        <v>570</v>
      </c>
      <c r="H403" t="s">
        <v>571</v>
      </c>
      <c r="I403" t="s">
        <v>674</v>
      </c>
      <c r="J403" t="s">
        <v>674</v>
      </c>
      <c r="K403" t="s">
        <v>675</v>
      </c>
      <c r="L403" t="s">
        <v>489</v>
      </c>
      <c r="M403" t="s">
        <v>488</v>
      </c>
      <c r="N403" t="s">
        <v>902</v>
      </c>
      <c r="P403" t="s">
        <v>575</v>
      </c>
      <c r="Q403" t="s">
        <v>620</v>
      </c>
      <c r="R403" t="s">
        <v>1019</v>
      </c>
      <c r="S403">
        <v>20160719</v>
      </c>
      <c r="T403" t="s">
        <v>1020</v>
      </c>
      <c r="X403">
        <v>32</v>
      </c>
      <c r="Y403">
        <v>53000</v>
      </c>
      <c r="AA403" t="s">
        <v>577</v>
      </c>
      <c r="AB403">
        <v>20190220</v>
      </c>
      <c r="AE403">
        <f t="shared" si="6"/>
        <v>0</v>
      </c>
      <c r="AF403">
        <v>0</v>
      </c>
      <c r="AG403">
        <v>0</v>
      </c>
      <c r="AH403">
        <v>0</v>
      </c>
      <c r="AI403" s="121">
        <v>265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265</v>
      </c>
    </row>
    <row r="404" spans="1:41">
      <c r="A404">
        <v>201903</v>
      </c>
      <c r="B404">
        <v>25</v>
      </c>
      <c r="C404" t="s">
        <v>502</v>
      </c>
      <c r="D404">
        <v>3190048666411</v>
      </c>
      <c r="E404" t="s">
        <v>53</v>
      </c>
      <c r="F404" t="s">
        <v>569</v>
      </c>
      <c r="G404" t="s">
        <v>570</v>
      </c>
      <c r="H404" t="s">
        <v>571</v>
      </c>
      <c r="I404" t="s">
        <v>674</v>
      </c>
      <c r="J404" t="s">
        <v>674</v>
      </c>
      <c r="K404" t="s">
        <v>675</v>
      </c>
      <c r="L404" t="s">
        <v>489</v>
      </c>
      <c r="M404" t="s">
        <v>488</v>
      </c>
      <c r="N404" t="s">
        <v>902</v>
      </c>
      <c r="P404" t="s">
        <v>575</v>
      </c>
      <c r="Q404" t="s">
        <v>620</v>
      </c>
      <c r="R404" t="s">
        <v>1019</v>
      </c>
      <c r="S404">
        <v>20160720</v>
      </c>
      <c r="T404" t="s">
        <v>1028</v>
      </c>
      <c r="X404">
        <v>32</v>
      </c>
      <c r="Y404">
        <v>20000</v>
      </c>
      <c r="AA404" t="s">
        <v>577</v>
      </c>
      <c r="AB404">
        <v>20190228</v>
      </c>
      <c r="AE404">
        <f t="shared" si="6"/>
        <v>0</v>
      </c>
      <c r="AF404">
        <v>0</v>
      </c>
      <c r="AG404">
        <v>0</v>
      </c>
      <c r="AH404">
        <v>0</v>
      </c>
      <c r="AI404" s="121">
        <v>100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100</v>
      </c>
    </row>
    <row r="405" spans="1:41">
      <c r="A405">
        <v>201903</v>
      </c>
      <c r="B405">
        <v>25</v>
      </c>
      <c r="C405" t="s">
        <v>502</v>
      </c>
      <c r="D405">
        <v>3190449222311</v>
      </c>
      <c r="E405" t="s">
        <v>53</v>
      </c>
      <c r="F405" t="s">
        <v>569</v>
      </c>
      <c r="G405" t="s">
        <v>570</v>
      </c>
      <c r="H405" t="s">
        <v>571</v>
      </c>
      <c r="I405" t="s">
        <v>1140</v>
      </c>
      <c r="L405" t="s">
        <v>647</v>
      </c>
      <c r="M405" t="s">
        <v>648</v>
      </c>
      <c r="N405" t="s">
        <v>960</v>
      </c>
      <c r="P405" t="s">
        <v>575</v>
      </c>
      <c r="Q405" t="s">
        <v>620</v>
      </c>
      <c r="R405" t="s">
        <v>961</v>
      </c>
      <c r="S405">
        <v>20180913</v>
      </c>
      <c r="T405" t="s">
        <v>833</v>
      </c>
      <c r="V405">
        <v>0</v>
      </c>
      <c r="W405">
        <v>0</v>
      </c>
      <c r="X405">
        <v>5</v>
      </c>
      <c r="Y405">
        <v>25000</v>
      </c>
      <c r="AA405" t="s">
        <v>577</v>
      </c>
      <c r="AB405">
        <v>20190228</v>
      </c>
      <c r="AE405">
        <f t="shared" si="6"/>
        <v>0</v>
      </c>
      <c r="AF405">
        <v>0</v>
      </c>
      <c r="AG405">
        <v>0</v>
      </c>
      <c r="AH405">
        <v>0</v>
      </c>
      <c r="AI405" s="121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</row>
    <row r="406" spans="1:41">
      <c r="A406">
        <v>201903</v>
      </c>
      <c r="B406">
        <v>25</v>
      </c>
      <c r="C406" t="s">
        <v>502</v>
      </c>
      <c r="D406">
        <v>3190402312971</v>
      </c>
      <c r="E406" t="s">
        <v>53</v>
      </c>
      <c r="F406" t="s">
        <v>569</v>
      </c>
      <c r="G406" t="s">
        <v>570</v>
      </c>
      <c r="H406" t="s">
        <v>571</v>
      </c>
      <c r="I406" t="s">
        <v>578</v>
      </c>
      <c r="J406" t="s">
        <v>578</v>
      </c>
      <c r="K406" t="s">
        <v>579</v>
      </c>
      <c r="L406" t="s">
        <v>741</v>
      </c>
      <c r="M406" t="s">
        <v>710</v>
      </c>
      <c r="N406" t="s">
        <v>913</v>
      </c>
      <c r="P406" t="s">
        <v>575</v>
      </c>
      <c r="Q406" t="s">
        <v>620</v>
      </c>
      <c r="R406" t="s">
        <v>1014</v>
      </c>
      <c r="S406">
        <v>20180119</v>
      </c>
      <c r="T406" t="s">
        <v>1203</v>
      </c>
      <c r="X406">
        <v>14</v>
      </c>
      <c r="Y406">
        <v>63000</v>
      </c>
      <c r="AA406" t="s">
        <v>577</v>
      </c>
      <c r="AB406">
        <v>20190228</v>
      </c>
      <c r="AE406">
        <f t="shared" si="6"/>
        <v>0</v>
      </c>
      <c r="AF406">
        <v>0</v>
      </c>
      <c r="AG406">
        <v>0</v>
      </c>
      <c r="AH406">
        <v>0</v>
      </c>
      <c r="AI406" s="121">
        <v>315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315</v>
      </c>
    </row>
    <row r="407" spans="1:41">
      <c r="A407">
        <v>201903</v>
      </c>
      <c r="B407">
        <v>25</v>
      </c>
      <c r="C407" t="s">
        <v>502</v>
      </c>
      <c r="D407">
        <v>3190402507701</v>
      </c>
      <c r="E407" t="s">
        <v>53</v>
      </c>
      <c r="F407" t="s">
        <v>569</v>
      </c>
      <c r="G407" t="s">
        <v>570</v>
      </c>
      <c r="H407" t="s">
        <v>571</v>
      </c>
      <c r="I407" t="s">
        <v>674</v>
      </c>
      <c r="J407" t="s">
        <v>674</v>
      </c>
      <c r="K407" t="s">
        <v>675</v>
      </c>
      <c r="L407" t="s">
        <v>489</v>
      </c>
      <c r="M407" t="s">
        <v>488</v>
      </c>
      <c r="N407" t="s">
        <v>902</v>
      </c>
      <c r="P407" t="s">
        <v>575</v>
      </c>
      <c r="Q407" t="s">
        <v>620</v>
      </c>
      <c r="R407" t="s">
        <v>1013</v>
      </c>
      <c r="S407">
        <v>20180119</v>
      </c>
      <c r="T407" t="s">
        <v>868</v>
      </c>
      <c r="X407">
        <v>14</v>
      </c>
      <c r="Y407">
        <v>50000</v>
      </c>
      <c r="AA407" t="s">
        <v>577</v>
      </c>
      <c r="AB407">
        <v>20190225</v>
      </c>
      <c r="AE407">
        <f t="shared" si="6"/>
        <v>0</v>
      </c>
      <c r="AF407">
        <v>0</v>
      </c>
      <c r="AG407">
        <v>0</v>
      </c>
      <c r="AH407">
        <v>0</v>
      </c>
      <c r="AI407" s="121">
        <v>375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375</v>
      </c>
    </row>
    <row r="408" spans="1:41">
      <c r="A408">
        <v>201903</v>
      </c>
      <c r="B408">
        <v>25</v>
      </c>
      <c r="C408" t="s">
        <v>502</v>
      </c>
      <c r="D408">
        <v>3190403015681</v>
      </c>
      <c r="E408" t="s">
        <v>53</v>
      </c>
      <c r="F408" t="s">
        <v>569</v>
      </c>
      <c r="G408" t="s">
        <v>570</v>
      </c>
      <c r="H408" t="s">
        <v>571</v>
      </c>
      <c r="I408" t="s">
        <v>674</v>
      </c>
      <c r="L408" t="s">
        <v>491</v>
      </c>
      <c r="M408" t="s">
        <v>490</v>
      </c>
      <c r="N408" t="s">
        <v>907</v>
      </c>
      <c r="P408" t="s">
        <v>575</v>
      </c>
      <c r="Q408" t="s">
        <v>620</v>
      </c>
      <c r="R408" t="s">
        <v>1013</v>
      </c>
      <c r="S408">
        <v>20180124</v>
      </c>
      <c r="T408" t="s">
        <v>789</v>
      </c>
      <c r="X408">
        <v>14</v>
      </c>
      <c r="Y408">
        <v>30000</v>
      </c>
      <c r="AA408" t="s">
        <v>577</v>
      </c>
      <c r="AB408">
        <v>20190220</v>
      </c>
      <c r="AE408">
        <f t="shared" si="6"/>
        <v>0</v>
      </c>
      <c r="AF408">
        <v>0</v>
      </c>
      <c r="AG408">
        <v>0</v>
      </c>
      <c r="AH408">
        <v>0</v>
      </c>
      <c r="AI408" s="121">
        <v>225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225</v>
      </c>
    </row>
    <row r="409" spans="1:41">
      <c r="A409">
        <v>201903</v>
      </c>
      <c r="B409">
        <v>25</v>
      </c>
      <c r="C409" t="s">
        <v>502</v>
      </c>
      <c r="D409">
        <v>3190403804691</v>
      </c>
      <c r="E409" t="s">
        <v>53</v>
      </c>
      <c r="F409" t="s">
        <v>569</v>
      </c>
      <c r="G409" t="s">
        <v>570</v>
      </c>
      <c r="H409" t="s">
        <v>571</v>
      </c>
      <c r="I409" t="s">
        <v>674</v>
      </c>
      <c r="L409" t="s">
        <v>491</v>
      </c>
      <c r="M409" t="s">
        <v>490</v>
      </c>
      <c r="N409" t="s">
        <v>907</v>
      </c>
      <c r="P409" t="s">
        <v>575</v>
      </c>
      <c r="Q409" t="s">
        <v>620</v>
      </c>
      <c r="R409" t="s">
        <v>1014</v>
      </c>
      <c r="S409">
        <v>20180126</v>
      </c>
      <c r="T409" t="s">
        <v>786</v>
      </c>
      <c r="X409">
        <v>14</v>
      </c>
      <c r="Y409">
        <v>59000</v>
      </c>
      <c r="AA409" t="s">
        <v>577</v>
      </c>
      <c r="AB409">
        <v>20190228</v>
      </c>
      <c r="AE409">
        <f t="shared" si="6"/>
        <v>0</v>
      </c>
      <c r="AF409">
        <v>0</v>
      </c>
      <c r="AG409">
        <v>0</v>
      </c>
      <c r="AH409">
        <v>0</v>
      </c>
      <c r="AI409" s="121">
        <v>295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295</v>
      </c>
    </row>
    <row r="410" spans="1:41">
      <c r="A410">
        <v>201903</v>
      </c>
      <c r="B410">
        <v>25</v>
      </c>
      <c r="C410" t="s">
        <v>502</v>
      </c>
      <c r="D410">
        <v>3190404496381</v>
      </c>
      <c r="E410" t="s">
        <v>53</v>
      </c>
      <c r="F410" t="s">
        <v>569</v>
      </c>
      <c r="G410" t="s">
        <v>570</v>
      </c>
      <c r="H410" t="s">
        <v>571</v>
      </c>
      <c r="I410" t="s">
        <v>646</v>
      </c>
      <c r="L410" t="s">
        <v>677</v>
      </c>
      <c r="M410" t="s">
        <v>678</v>
      </c>
      <c r="N410" t="s">
        <v>938</v>
      </c>
      <c r="P410" t="s">
        <v>575</v>
      </c>
      <c r="Q410" t="s">
        <v>620</v>
      </c>
      <c r="R410" t="s">
        <v>1014</v>
      </c>
      <c r="S410">
        <v>20180131</v>
      </c>
      <c r="T410" t="s">
        <v>1211</v>
      </c>
      <c r="X410">
        <v>14</v>
      </c>
      <c r="Y410">
        <v>68500</v>
      </c>
      <c r="AA410" t="s">
        <v>577</v>
      </c>
      <c r="AB410">
        <v>20190225</v>
      </c>
      <c r="AE410">
        <f t="shared" si="6"/>
        <v>0</v>
      </c>
      <c r="AF410">
        <v>0</v>
      </c>
      <c r="AG410">
        <v>0</v>
      </c>
      <c r="AH410">
        <v>0</v>
      </c>
      <c r="AI410" s="121">
        <v>342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342</v>
      </c>
    </row>
    <row r="411" spans="1:41">
      <c r="A411">
        <v>201903</v>
      </c>
      <c r="B411">
        <v>25</v>
      </c>
      <c r="C411" t="s">
        <v>502</v>
      </c>
      <c r="D411">
        <v>3190404736511</v>
      </c>
      <c r="E411" t="s">
        <v>53</v>
      </c>
      <c r="F411" t="s">
        <v>569</v>
      </c>
      <c r="G411" t="s">
        <v>570</v>
      </c>
      <c r="H411" t="s">
        <v>571</v>
      </c>
      <c r="I411" t="s">
        <v>646</v>
      </c>
      <c r="J411" t="s">
        <v>1137</v>
      </c>
      <c r="L411" t="s">
        <v>668</v>
      </c>
      <c r="M411" t="s">
        <v>669</v>
      </c>
      <c r="N411" t="s">
        <v>994</v>
      </c>
      <c r="P411" t="s">
        <v>575</v>
      </c>
      <c r="Q411" t="s">
        <v>620</v>
      </c>
      <c r="R411" t="s">
        <v>1071</v>
      </c>
      <c r="S411">
        <v>20180131</v>
      </c>
      <c r="T411" t="s">
        <v>881</v>
      </c>
      <c r="X411">
        <v>14</v>
      </c>
      <c r="Y411">
        <v>52470</v>
      </c>
      <c r="AA411" t="s">
        <v>577</v>
      </c>
      <c r="AB411">
        <v>20190220</v>
      </c>
      <c r="AE411">
        <f t="shared" si="6"/>
        <v>0</v>
      </c>
      <c r="AF411">
        <v>0</v>
      </c>
      <c r="AG411">
        <v>0</v>
      </c>
      <c r="AH411">
        <v>0</v>
      </c>
      <c r="AI411" s="121">
        <v>262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262</v>
      </c>
    </row>
    <row r="412" spans="1:41">
      <c r="A412">
        <v>201903</v>
      </c>
      <c r="B412">
        <v>25</v>
      </c>
      <c r="C412" t="s">
        <v>502</v>
      </c>
      <c r="D412">
        <v>3190404921111</v>
      </c>
      <c r="E412" t="s">
        <v>53</v>
      </c>
      <c r="F412" t="s">
        <v>569</v>
      </c>
      <c r="G412" t="s">
        <v>570</v>
      </c>
      <c r="H412" t="s">
        <v>571</v>
      </c>
      <c r="I412" t="s">
        <v>633</v>
      </c>
      <c r="L412" t="s">
        <v>641</v>
      </c>
      <c r="M412" t="s">
        <v>642</v>
      </c>
      <c r="N412" t="s">
        <v>921</v>
      </c>
      <c r="P412" t="s">
        <v>575</v>
      </c>
      <c r="Q412" t="s">
        <v>620</v>
      </c>
      <c r="R412" t="s">
        <v>1013</v>
      </c>
      <c r="S412">
        <v>20180201</v>
      </c>
      <c r="T412" t="s">
        <v>823</v>
      </c>
      <c r="X412">
        <v>13</v>
      </c>
      <c r="Y412">
        <v>63772</v>
      </c>
      <c r="AA412" t="s">
        <v>577</v>
      </c>
      <c r="AB412">
        <v>20190220</v>
      </c>
      <c r="AE412">
        <f t="shared" si="6"/>
        <v>0</v>
      </c>
      <c r="AF412">
        <v>0</v>
      </c>
      <c r="AG412">
        <v>0</v>
      </c>
      <c r="AH412">
        <v>0</v>
      </c>
      <c r="AI412" s="121">
        <v>478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478</v>
      </c>
    </row>
    <row r="413" spans="1:41">
      <c r="A413">
        <v>201903</v>
      </c>
      <c r="B413">
        <v>25</v>
      </c>
      <c r="C413" t="s">
        <v>502</v>
      </c>
      <c r="D413">
        <v>3190405978041</v>
      </c>
      <c r="E413" t="s">
        <v>53</v>
      </c>
      <c r="F413" t="s">
        <v>569</v>
      </c>
      <c r="G413" t="s">
        <v>570</v>
      </c>
      <c r="H413" t="s">
        <v>571</v>
      </c>
      <c r="I413" t="s">
        <v>578</v>
      </c>
      <c r="J413" t="s">
        <v>578</v>
      </c>
      <c r="K413" t="s">
        <v>579</v>
      </c>
      <c r="L413" t="s">
        <v>615</v>
      </c>
      <c r="M413" t="s">
        <v>616</v>
      </c>
      <c r="N413" t="s">
        <v>919</v>
      </c>
      <c r="P413" t="s">
        <v>575</v>
      </c>
      <c r="Q413" t="s">
        <v>620</v>
      </c>
      <c r="R413" t="s">
        <v>1013</v>
      </c>
      <c r="S413">
        <v>20180207</v>
      </c>
      <c r="T413" t="s">
        <v>1016</v>
      </c>
      <c r="X413">
        <v>13</v>
      </c>
      <c r="Y413">
        <v>68597</v>
      </c>
      <c r="AA413" t="s">
        <v>577</v>
      </c>
      <c r="AB413">
        <v>20190207</v>
      </c>
      <c r="AE413">
        <f t="shared" si="6"/>
        <v>0</v>
      </c>
      <c r="AF413">
        <v>0</v>
      </c>
      <c r="AG413">
        <v>0</v>
      </c>
      <c r="AH413">
        <v>0</v>
      </c>
      <c r="AI413" s="121">
        <v>514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514</v>
      </c>
    </row>
    <row r="414" spans="1:41">
      <c r="A414">
        <v>201903</v>
      </c>
      <c r="B414">
        <v>25</v>
      </c>
      <c r="C414" t="s">
        <v>502</v>
      </c>
      <c r="D414">
        <v>3190407199511</v>
      </c>
      <c r="E414" t="s">
        <v>53</v>
      </c>
      <c r="F414" t="s">
        <v>569</v>
      </c>
      <c r="G414" t="s">
        <v>570</v>
      </c>
      <c r="H414" t="s">
        <v>571</v>
      </c>
      <c r="I414" t="s">
        <v>1139</v>
      </c>
      <c r="J414" t="s">
        <v>706</v>
      </c>
      <c r="K414" t="s">
        <v>707</v>
      </c>
      <c r="L414" t="s">
        <v>708</v>
      </c>
      <c r="M414" t="s">
        <v>709</v>
      </c>
      <c r="N414" t="s">
        <v>1024</v>
      </c>
      <c r="P414" t="s">
        <v>575</v>
      </c>
      <c r="Q414" t="s">
        <v>620</v>
      </c>
      <c r="R414" t="s">
        <v>1013</v>
      </c>
      <c r="S414">
        <v>20180213</v>
      </c>
      <c r="T414" t="s">
        <v>1026</v>
      </c>
      <c r="X414">
        <v>13</v>
      </c>
      <c r="Y414">
        <v>118959</v>
      </c>
      <c r="AA414" t="s">
        <v>577</v>
      </c>
      <c r="AB414">
        <v>20190225</v>
      </c>
      <c r="AE414">
        <f t="shared" si="6"/>
        <v>0</v>
      </c>
      <c r="AF414">
        <v>0</v>
      </c>
      <c r="AG414">
        <v>0</v>
      </c>
      <c r="AH414">
        <v>0</v>
      </c>
      <c r="AI414" s="121">
        <v>892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892</v>
      </c>
    </row>
    <row r="415" spans="1:41">
      <c r="A415">
        <v>201903</v>
      </c>
      <c r="B415">
        <v>25</v>
      </c>
      <c r="C415" t="s">
        <v>502</v>
      </c>
      <c r="D415">
        <v>3190407234831</v>
      </c>
      <c r="E415" t="s">
        <v>53</v>
      </c>
      <c r="F415" t="s">
        <v>569</v>
      </c>
      <c r="G415" t="s">
        <v>570</v>
      </c>
      <c r="H415" t="s">
        <v>571</v>
      </c>
      <c r="I415" t="s">
        <v>728</v>
      </c>
      <c r="J415" t="s">
        <v>728</v>
      </c>
      <c r="K415" t="s">
        <v>1138</v>
      </c>
      <c r="L415" t="s">
        <v>730</v>
      </c>
      <c r="M415" t="s">
        <v>684</v>
      </c>
      <c r="N415" t="s">
        <v>1226</v>
      </c>
      <c r="P415" t="s">
        <v>575</v>
      </c>
      <c r="Q415" t="s">
        <v>620</v>
      </c>
      <c r="R415" t="s">
        <v>1014</v>
      </c>
      <c r="S415">
        <v>20180228</v>
      </c>
      <c r="T415" t="s">
        <v>1035</v>
      </c>
      <c r="X415">
        <v>13</v>
      </c>
      <c r="Y415">
        <v>39000</v>
      </c>
      <c r="AA415" t="s">
        <v>577</v>
      </c>
      <c r="AB415">
        <v>20190225</v>
      </c>
      <c r="AE415">
        <f t="shared" si="6"/>
        <v>0</v>
      </c>
      <c r="AF415">
        <v>0</v>
      </c>
      <c r="AG415">
        <v>0</v>
      </c>
      <c r="AH415">
        <v>0</v>
      </c>
      <c r="AI415" s="121">
        <v>195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195</v>
      </c>
    </row>
    <row r="416" spans="1:41">
      <c r="A416">
        <v>201903</v>
      </c>
      <c r="B416">
        <v>25</v>
      </c>
      <c r="C416" t="s">
        <v>502</v>
      </c>
      <c r="D416">
        <v>3190449729821</v>
      </c>
      <c r="E416" t="s">
        <v>53</v>
      </c>
      <c r="F416" t="s">
        <v>569</v>
      </c>
      <c r="G416" t="s">
        <v>570</v>
      </c>
      <c r="H416" t="s">
        <v>571</v>
      </c>
      <c r="I416" t="s">
        <v>633</v>
      </c>
      <c r="J416" t="s">
        <v>633</v>
      </c>
      <c r="K416" t="s">
        <v>634</v>
      </c>
      <c r="L416" t="s">
        <v>670</v>
      </c>
      <c r="M416" t="s">
        <v>671</v>
      </c>
      <c r="N416" t="s">
        <v>936</v>
      </c>
      <c r="P416" t="s">
        <v>575</v>
      </c>
      <c r="Q416" t="s">
        <v>620</v>
      </c>
      <c r="R416" t="s">
        <v>1200</v>
      </c>
      <c r="S416">
        <v>20180914</v>
      </c>
      <c r="T416" t="s">
        <v>1218</v>
      </c>
      <c r="X416">
        <v>6</v>
      </c>
      <c r="Y416">
        <v>37000</v>
      </c>
      <c r="AA416" t="s">
        <v>577</v>
      </c>
      <c r="AB416">
        <v>20190225</v>
      </c>
      <c r="AE416">
        <f t="shared" si="6"/>
        <v>0</v>
      </c>
      <c r="AF416">
        <v>0</v>
      </c>
      <c r="AG416">
        <v>0</v>
      </c>
      <c r="AH416">
        <v>0</v>
      </c>
      <c r="AI416" s="121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</row>
    <row r="417" spans="1:41">
      <c r="A417">
        <v>201903</v>
      </c>
      <c r="B417">
        <v>25</v>
      </c>
      <c r="C417" t="s">
        <v>502</v>
      </c>
      <c r="D417">
        <v>3190449816801</v>
      </c>
      <c r="E417" t="s">
        <v>53</v>
      </c>
      <c r="F417" t="s">
        <v>569</v>
      </c>
      <c r="G417" t="s">
        <v>570</v>
      </c>
      <c r="H417" t="s">
        <v>571</v>
      </c>
      <c r="I417" t="s">
        <v>646</v>
      </c>
      <c r="L417" t="s">
        <v>677</v>
      </c>
      <c r="M417" t="s">
        <v>678</v>
      </c>
      <c r="N417" t="s">
        <v>938</v>
      </c>
      <c r="P417" t="s">
        <v>575</v>
      </c>
      <c r="Q417" t="s">
        <v>620</v>
      </c>
      <c r="R417" t="s">
        <v>968</v>
      </c>
      <c r="S417">
        <v>20180914</v>
      </c>
      <c r="T417" t="s">
        <v>990</v>
      </c>
      <c r="X417">
        <v>6</v>
      </c>
      <c r="Y417">
        <v>42500</v>
      </c>
      <c r="AA417" t="s">
        <v>577</v>
      </c>
      <c r="AB417">
        <v>20190225</v>
      </c>
      <c r="AE417">
        <f t="shared" si="6"/>
        <v>0</v>
      </c>
      <c r="AF417">
        <v>0</v>
      </c>
      <c r="AG417">
        <v>0</v>
      </c>
      <c r="AH417">
        <v>0</v>
      </c>
      <c r="AI417" s="121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</row>
    <row r="418" spans="1:41">
      <c r="A418">
        <v>201903</v>
      </c>
      <c r="B418">
        <v>25</v>
      </c>
      <c r="C418" t="s">
        <v>502</v>
      </c>
      <c r="D418">
        <v>3190450249171</v>
      </c>
      <c r="E418" t="s">
        <v>53</v>
      </c>
      <c r="F418" t="s">
        <v>569</v>
      </c>
      <c r="G418" t="s">
        <v>570</v>
      </c>
      <c r="H418" t="s">
        <v>571</v>
      </c>
      <c r="I418" t="s">
        <v>578</v>
      </c>
      <c r="J418" t="s">
        <v>578</v>
      </c>
      <c r="K418" t="s">
        <v>579</v>
      </c>
      <c r="L418" t="s">
        <v>666</v>
      </c>
      <c r="M418" t="s">
        <v>667</v>
      </c>
      <c r="N418" t="s">
        <v>1003</v>
      </c>
      <c r="P418" t="s">
        <v>575</v>
      </c>
      <c r="Q418" t="s">
        <v>620</v>
      </c>
      <c r="R418" t="s">
        <v>968</v>
      </c>
      <c r="S418">
        <v>20180918</v>
      </c>
      <c r="T418" t="s">
        <v>840</v>
      </c>
      <c r="X418">
        <v>4</v>
      </c>
      <c r="Y418">
        <v>148500</v>
      </c>
      <c r="AA418" t="s">
        <v>577</v>
      </c>
      <c r="AB418">
        <v>20190227</v>
      </c>
      <c r="AE418">
        <f t="shared" si="6"/>
        <v>0</v>
      </c>
      <c r="AF418">
        <v>0</v>
      </c>
      <c r="AG418">
        <v>0</v>
      </c>
      <c r="AH418">
        <v>0</v>
      </c>
      <c r="AI418" s="121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</row>
    <row r="419" spans="1:41">
      <c r="A419">
        <v>201903</v>
      </c>
      <c r="B419">
        <v>25</v>
      </c>
      <c r="C419" t="s">
        <v>502</v>
      </c>
      <c r="D419">
        <v>3190450320561</v>
      </c>
      <c r="E419" t="s">
        <v>53</v>
      </c>
      <c r="F419" t="s">
        <v>569</v>
      </c>
      <c r="G419" t="s">
        <v>570</v>
      </c>
      <c r="H419" t="s">
        <v>571</v>
      </c>
      <c r="I419" t="s">
        <v>646</v>
      </c>
      <c r="L419" t="s">
        <v>677</v>
      </c>
      <c r="M419" t="s">
        <v>678</v>
      </c>
      <c r="N419" t="s">
        <v>938</v>
      </c>
      <c r="P419" t="s">
        <v>575</v>
      </c>
      <c r="Q419" t="s">
        <v>620</v>
      </c>
      <c r="R419" t="s">
        <v>952</v>
      </c>
      <c r="S419">
        <v>20180914</v>
      </c>
      <c r="T419" t="s">
        <v>686</v>
      </c>
      <c r="V419">
        <v>0</v>
      </c>
      <c r="W419">
        <v>0</v>
      </c>
      <c r="X419">
        <v>6</v>
      </c>
      <c r="Y419">
        <v>123506</v>
      </c>
      <c r="AA419" t="s">
        <v>577</v>
      </c>
      <c r="AB419">
        <v>20190215</v>
      </c>
      <c r="AE419">
        <f t="shared" si="6"/>
        <v>0</v>
      </c>
      <c r="AF419">
        <v>0</v>
      </c>
      <c r="AG419">
        <v>0</v>
      </c>
      <c r="AH419">
        <v>0</v>
      </c>
      <c r="AI419" s="121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</row>
    <row r="420" spans="1:41">
      <c r="A420">
        <v>201903</v>
      </c>
      <c r="B420">
        <v>25</v>
      </c>
      <c r="C420" t="s">
        <v>502</v>
      </c>
      <c r="D420">
        <v>3190451243651</v>
      </c>
      <c r="E420" t="s">
        <v>53</v>
      </c>
      <c r="F420" t="s">
        <v>569</v>
      </c>
      <c r="G420" t="s">
        <v>570</v>
      </c>
      <c r="H420" t="s">
        <v>571</v>
      </c>
      <c r="I420" t="s">
        <v>1140</v>
      </c>
      <c r="L420" t="s">
        <v>647</v>
      </c>
      <c r="M420" t="s">
        <v>648</v>
      </c>
      <c r="N420" t="s">
        <v>960</v>
      </c>
      <c r="P420" t="s">
        <v>575</v>
      </c>
      <c r="Q420" t="s">
        <v>620</v>
      </c>
      <c r="R420" t="s">
        <v>961</v>
      </c>
      <c r="S420">
        <v>20180920</v>
      </c>
      <c r="T420" t="s">
        <v>860</v>
      </c>
      <c r="V420">
        <v>0</v>
      </c>
      <c r="W420">
        <v>0</v>
      </c>
      <c r="X420">
        <v>6</v>
      </c>
      <c r="Y420">
        <v>25000</v>
      </c>
      <c r="AA420" t="s">
        <v>577</v>
      </c>
      <c r="AB420">
        <v>20190215</v>
      </c>
      <c r="AE420">
        <f t="shared" si="6"/>
        <v>0</v>
      </c>
      <c r="AF420">
        <v>0</v>
      </c>
      <c r="AG420">
        <v>0</v>
      </c>
      <c r="AH420">
        <v>0</v>
      </c>
      <c r="AI420" s="121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</row>
    <row r="421" spans="1:41">
      <c r="A421">
        <v>201903</v>
      </c>
      <c r="B421">
        <v>25</v>
      </c>
      <c r="C421" t="s">
        <v>502</v>
      </c>
      <c r="D421">
        <v>3190451386711</v>
      </c>
      <c r="E421" t="s">
        <v>53</v>
      </c>
      <c r="F421" t="s">
        <v>569</v>
      </c>
      <c r="G421" t="s">
        <v>570</v>
      </c>
      <c r="H421" t="s">
        <v>571</v>
      </c>
      <c r="I421" t="s">
        <v>633</v>
      </c>
      <c r="J421" t="s">
        <v>633</v>
      </c>
      <c r="K421" t="s">
        <v>634</v>
      </c>
      <c r="L421" t="s">
        <v>670</v>
      </c>
      <c r="M421" t="s">
        <v>671</v>
      </c>
      <c r="N421" t="s">
        <v>936</v>
      </c>
      <c r="P421" t="s">
        <v>575</v>
      </c>
      <c r="Q421" t="s">
        <v>620</v>
      </c>
      <c r="R421" t="s">
        <v>1200</v>
      </c>
      <c r="S421">
        <v>20180928</v>
      </c>
      <c r="T421" t="s">
        <v>832</v>
      </c>
      <c r="X421">
        <v>6</v>
      </c>
      <c r="Y421">
        <v>44200</v>
      </c>
      <c r="AA421" t="s">
        <v>577</v>
      </c>
      <c r="AB421">
        <v>20190220</v>
      </c>
      <c r="AE421">
        <f t="shared" si="6"/>
        <v>0</v>
      </c>
      <c r="AF421">
        <v>0</v>
      </c>
      <c r="AG421">
        <v>0</v>
      </c>
      <c r="AH421">
        <v>0</v>
      </c>
      <c r="AI421" s="1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</row>
    <row r="422" spans="1:41">
      <c r="A422">
        <v>201903</v>
      </c>
      <c r="B422">
        <v>25</v>
      </c>
      <c r="C422" t="s">
        <v>502</v>
      </c>
      <c r="D422">
        <v>3190451441721</v>
      </c>
      <c r="E422" t="s">
        <v>53</v>
      </c>
      <c r="F422" t="s">
        <v>569</v>
      </c>
      <c r="G422" t="s">
        <v>570</v>
      </c>
      <c r="H422" t="s">
        <v>571</v>
      </c>
      <c r="I422" t="s">
        <v>578</v>
      </c>
      <c r="J422" t="s">
        <v>578</v>
      </c>
      <c r="K422" t="s">
        <v>579</v>
      </c>
      <c r="L422" t="s">
        <v>666</v>
      </c>
      <c r="M422" t="s">
        <v>667</v>
      </c>
      <c r="N422" t="s">
        <v>1003</v>
      </c>
      <c r="P422" t="s">
        <v>575</v>
      </c>
      <c r="Q422" t="s">
        <v>620</v>
      </c>
      <c r="R422" t="s">
        <v>968</v>
      </c>
      <c r="S422">
        <v>20180919</v>
      </c>
      <c r="T422" t="s">
        <v>796</v>
      </c>
      <c r="X422">
        <v>5</v>
      </c>
      <c r="Y422">
        <v>109000</v>
      </c>
      <c r="AA422" t="s">
        <v>577</v>
      </c>
      <c r="AB422">
        <v>20190207</v>
      </c>
      <c r="AE422">
        <f t="shared" si="6"/>
        <v>0</v>
      </c>
      <c r="AF422">
        <v>0</v>
      </c>
      <c r="AG422">
        <v>0</v>
      </c>
      <c r="AH422">
        <v>0</v>
      </c>
      <c r="AI422" s="121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</row>
    <row r="423" spans="1:41">
      <c r="A423">
        <v>201903</v>
      </c>
      <c r="B423">
        <v>25</v>
      </c>
      <c r="C423" t="s">
        <v>502</v>
      </c>
      <c r="D423">
        <v>3190451933331</v>
      </c>
      <c r="E423" t="s">
        <v>53</v>
      </c>
      <c r="F423" t="s">
        <v>569</v>
      </c>
      <c r="G423" t="s">
        <v>570</v>
      </c>
      <c r="H423" t="s">
        <v>571</v>
      </c>
      <c r="I423" t="s">
        <v>633</v>
      </c>
      <c r="J423" t="s">
        <v>633</v>
      </c>
      <c r="K423" t="s">
        <v>634</v>
      </c>
      <c r="L423" t="s">
        <v>672</v>
      </c>
      <c r="M423" t="s">
        <v>673</v>
      </c>
      <c r="N423" t="s">
        <v>934</v>
      </c>
      <c r="P423" t="s">
        <v>575</v>
      </c>
      <c r="Q423" t="s">
        <v>620</v>
      </c>
      <c r="R423" t="s">
        <v>961</v>
      </c>
      <c r="S423">
        <v>20180920</v>
      </c>
      <c r="T423" t="s">
        <v>833</v>
      </c>
      <c r="X423">
        <v>6</v>
      </c>
      <c r="Y423">
        <v>19600</v>
      </c>
      <c r="AA423" t="s">
        <v>577</v>
      </c>
      <c r="AB423">
        <v>20190220</v>
      </c>
      <c r="AE423">
        <f t="shared" si="6"/>
        <v>0</v>
      </c>
      <c r="AF423">
        <v>0</v>
      </c>
      <c r="AG423">
        <v>0</v>
      </c>
      <c r="AH423">
        <v>0</v>
      </c>
      <c r="AI423" s="121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</row>
    <row r="424" spans="1:41">
      <c r="A424">
        <v>201903</v>
      </c>
      <c r="B424">
        <v>25</v>
      </c>
      <c r="C424" t="s">
        <v>502</v>
      </c>
      <c r="D424">
        <v>3190452158951</v>
      </c>
      <c r="E424" t="s">
        <v>53</v>
      </c>
      <c r="F424" t="s">
        <v>569</v>
      </c>
      <c r="G424" t="s">
        <v>570</v>
      </c>
      <c r="H424" t="s">
        <v>571</v>
      </c>
      <c r="I424" t="s">
        <v>621</v>
      </c>
      <c r="J424" t="s">
        <v>621</v>
      </c>
      <c r="K424" t="s">
        <v>622</v>
      </c>
      <c r="L424" t="s">
        <v>664</v>
      </c>
      <c r="M424" t="s">
        <v>665</v>
      </c>
      <c r="N424" t="s">
        <v>939</v>
      </c>
      <c r="P424" t="s">
        <v>575</v>
      </c>
      <c r="Q424" t="s">
        <v>620</v>
      </c>
      <c r="R424" t="s">
        <v>952</v>
      </c>
      <c r="S424">
        <v>20180921</v>
      </c>
      <c r="T424" t="s">
        <v>886</v>
      </c>
      <c r="X424">
        <v>6</v>
      </c>
      <c r="Y424">
        <v>104362</v>
      </c>
      <c r="AA424" t="s">
        <v>577</v>
      </c>
      <c r="AB424">
        <v>20190225</v>
      </c>
      <c r="AE424">
        <f t="shared" si="6"/>
        <v>0</v>
      </c>
      <c r="AF424">
        <v>0</v>
      </c>
      <c r="AG424">
        <v>0</v>
      </c>
      <c r="AH424">
        <v>0</v>
      </c>
      <c r="AI424" s="121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</row>
    <row r="425" spans="1:41">
      <c r="A425">
        <v>201903</v>
      </c>
      <c r="B425">
        <v>25</v>
      </c>
      <c r="C425" t="s">
        <v>502</v>
      </c>
      <c r="D425">
        <v>3190452471931</v>
      </c>
      <c r="E425" t="s">
        <v>53</v>
      </c>
      <c r="F425" t="s">
        <v>569</v>
      </c>
      <c r="G425" t="s">
        <v>570</v>
      </c>
      <c r="H425" t="s">
        <v>571</v>
      </c>
      <c r="I425" t="s">
        <v>633</v>
      </c>
      <c r="J425" t="s">
        <v>633</v>
      </c>
      <c r="K425" t="s">
        <v>634</v>
      </c>
      <c r="L425" t="s">
        <v>670</v>
      </c>
      <c r="M425" t="s">
        <v>671</v>
      </c>
      <c r="N425" t="s">
        <v>936</v>
      </c>
      <c r="P425" t="s">
        <v>575</v>
      </c>
      <c r="Q425" t="s">
        <v>620</v>
      </c>
      <c r="R425" t="s">
        <v>1200</v>
      </c>
      <c r="S425">
        <v>20180928</v>
      </c>
      <c r="T425" t="s">
        <v>683</v>
      </c>
      <c r="V425">
        <v>0</v>
      </c>
      <c r="W425">
        <v>0</v>
      </c>
      <c r="X425">
        <v>6</v>
      </c>
      <c r="Y425">
        <v>32000</v>
      </c>
      <c r="AA425" t="s">
        <v>577</v>
      </c>
      <c r="AB425">
        <v>20190220</v>
      </c>
      <c r="AE425">
        <f t="shared" si="6"/>
        <v>0</v>
      </c>
      <c r="AF425">
        <v>0</v>
      </c>
      <c r="AG425">
        <v>0</v>
      </c>
      <c r="AH425">
        <v>0</v>
      </c>
      <c r="AI425" s="121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</row>
    <row r="426" spans="1:41">
      <c r="A426">
        <v>201903</v>
      </c>
      <c r="B426">
        <v>25</v>
      </c>
      <c r="C426" t="s">
        <v>502</v>
      </c>
      <c r="D426">
        <v>3190452540851</v>
      </c>
      <c r="E426" t="s">
        <v>53</v>
      </c>
      <c r="F426" t="s">
        <v>569</v>
      </c>
      <c r="G426" t="s">
        <v>570</v>
      </c>
      <c r="H426" t="s">
        <v>571</v>
      </c>
      <c r="I426" t="s">
        <v>633</v>
      </c>
      <c r="J426" t="s">
        <v>633</v>
      </c>
      <c r="K426" t="s">
        <v>634</v>
      </c>
      <c r="L426" t="s">
        <v>670</v>
      </c>
      <c r="M426" t="s">
        <v>671</v>
      </c>
      <c r="N426" t="s">
        <v>936</v>
      </c>
      <c r="P426" t="s">
        <v>575</v>
      </c>
      <c r="Q426" t="s">
        <v>620</v>
      </c>
      <c r="R426" t="s">
        <v>1200</v>
      </c>
      <c r="S426">
        <v>20180928</v>
      </c>
      <c r="T426" t="s">
        <v>832</v>
      </c>
      <c r="X426">
        <v>6</v>
      </c>
      <c r="Y426">
        <v>33000</v>
      </c>
      <c r="AA426" t="s">
        <v>577</v>
      </c>
      <c r="AB426">
        <v>20190220</v>
      </c>
      <c r="AE426">
        <f t="shared" si="6"/>
        <v>0</v>
      </c>
      <c r="AF426">
        <v>0</v>
      </c>
      <c r="AG426">
        <v>0</v>
      </c>
      <c r="AH426">
        <v>0</v>
      </c>
      <c r="AI426" s="121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</row>
    <row r="427" spans="1:41">
      <c r="A427">
        <v>201903</v>
      </c>
      <c r="B427">
        <v>25</v>
      </c>
      <c r="C427" t="s">
        <v>502</v>
      </c>
      <c r="D427">
        <v>3190452570951</v>
      </c>
      <c r="E427" t="s">
        <v>53</v>
      </c>
      <c r="F427" t="s">
        <v>569</v>
      </c>
      <c r="G427" t="s">
        <v>570</v>
      </c>
      <c r="H427" t="s">
        <v>571</v>
      </c>
      <c r="I427" t="s">
        <v>633</v>
      </c>
      <c r="J427" t="s">
        <v>633</v>
      </c>
      <c r="K427" t="s">
        <v>634</v>
      </c>
      <c r="L427" t="s">
        <v>651</v>
      </c>
      <c r="M427" t="s">
        <v>652</v>
      </c>
      <c r="N427" t="s">
        <v>946</v>
      </c>
      <c r="P427" t="s">
        <v>575</v>
      </c>
      <c r="Q427" t="s">
        <v>620</v>
      </c>
      <c r="R427" t="s">
        <v>1200</v>
      </c>
      <c r="S427">
        <v>20180928</v>
      </c>
      <c r="T427" t="s">
        <v>953</v>
      </c>
      <c r="X427">
        <v>6</v>
      </c>
      <c r="Y427">
        <v>32000</v>
      </c>
      <c r="AA427" t="s">
        <v>577</v>
      </c>
      <c r="AB427">
        <v>20190225</v>
      </c>
      <c r="AE427">
        <f t="shared" si="6"/>
        <v>0</v>
      </c>
      <c r="AF427">
        <v>0</v>
      </c>
      <c r="AG427">
        <v>0</v>
      </c>
      <c r="AH427">
        <v>0</v>
      </c>
      <c r="AI427" s="121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</row>
    <row r="428" spans="1:41">
      <c r="A428">
        <v>201903</v>
      </c>
      <c r="B428">
        <v>25</v>
      </c>
      <c r="C428" t="s">
        <v>502</v>
      </c>
      <c r="D428">
        <v>3190453276251</v>
      </c>
      <c r="E428" t="s">
        <v>53</v>
      </c>
      <c r="F428" t="s">
        <v>569</v>
      </c>
      <c r="G428" t="s">
        <v>570</v>
      </c>
      <c r="H428" t="s">
        <v>571</v>
      </c>
      <c r="I428" t="s">
        <v>1140</v>
      </c>
      <c r="L428" t="s">
        <v>647</v>
      </c>
      <c r="M428" t="s">
        <v>648</v>
      </c>
      <c r="N428" t="s">
        <v>960</v>
      </c>
      <c r="P428" t="s">
        <v>575</v>
      </c>
      <c r="Q428" t="s">
        <v>620</v>
      </c>
      <c r="R428" t="s">
        <v>961</v>
      </c>
      <c r="S428">
        <v>20181004</v>
      </c>
      <c r="T428" t="s">
        <v>792</v>
      </c>
      <c r="V428">
        <v>0</v>
      </c>
      <c r="W428">
        <v>0</v>
      </c>
      <c r="X428">
        <v>4</v>
      </c>
      <c r="Y428">
        <v>17000</v>
      </c>
      <c r="AA428" t="s">
        <v>577</v>
      </c>
      <c r="AB428">
        <v>20190207</v>
      </c>
      <c r="AE428">
        <f t="shared" si="6"/>
        <v>0</v>
      </c>
      <c r="AF428">
        <v>0</v>
      </c>
      <c r="AG428">
        <v>0</v>
      </c>
      <c r="AH428">
        <v>0</v>
      </c>
      <c r="AI428" s="121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</row>
    <row r="429" spans="1:41">
      <c r="A429">
        <v>201903</v>
      </c>
      <c r="B429">
        <v>25</v>
      </c>
      <c r="C429" t="s">
        <v>502</v>
      </c>
      <c r="D429">
        <v>3190453933691</v>
      </c>
      <c r="E429" t="s">
        <v>53</v>
      </c>
      <c r="F429" t="s">
        <v>569</v>
      </c>
      <c r="G429" t="s">
        <v>570</v>
      </c>
      <c r="H429" t="s">
        <v>571</v>
      </c>
      <c r="I429" t="s">
        <v>674</v>
      </c>
      <c r="J429" t="s">
        <v>674</v>
      </c>
      <c r="K429" t="s">
        <v>675</v>
      </c>
      <c r="L429" t="s">
        <v>489</v>
      </c>
      <c r="M429" t="s">
        <v>488</v>
      </c>
      <c r="N429" t="s">
        <v>902</v>
      </c>
      <c r="P429" t="s">
        <v>575</v>
      </c>
      <c r="Q429" t="s">
        <v>620</v>
      </c>
      <c r="R429" t="s">
        <v>968</v>
      </c>
      <c r="S429">
        <v>20181016</v>
      </c>
      <c r="T429" t="s">
        <v>840</v>
      </c>
      <c r="X429">
        <v>5</v>
      </c>
      <c r="Y429">
        <v>54000</v>
      </c>
      <c r="AA429" t="s">
        <v>577</v>
      </c>
      <c r="AB429">
        <v>20190225</v>
      </c>
      <c r="AE429">
        <f t="shared" si="6"/>
        <v>0</v>
      </c>
      <c r="AF429">
        <v>0</v>
      </c>
      <c r="AG429">
        <v>0</v>
      </c>
      <c r="AH429">
        <v>0</v>
      </c>
      <c r="AI429" s="121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</row>
    <row r="430" spans="1:41">
      <c r="A430">
        <v>201903</v>
      </c>
      <c r="B430">
        <v>25</v>
      </c>
      <c r="C430" t="s">
        <v>502</v>
      </c>
      <c r="D430">
        <v>3190454012321</v>
      </c>
      <c r="E430" t="s">
        <v>53</v>
      </c>
      <c r="F430" t="s">
        <v>569</v>
      </c>
      <c r="G430" t="s">
        <v>570</v>
      </c>
      <c r="H430" t="s">
        <v>571</v>
      </c>
      <c r="I430" t="s">
        <v>674</v>
      </c>
      <c r="J430" t="s">
        <v>674</v>
      </c>
      <c r="K430" t="s">
        <v>675</v>
      </c>
      <c r="L430" t="s">
        <v>489</v>
      </c>
      <c r="M430" t="s">
        <v>488</v>
      </c>
      <c r="N430" t="s">
        <v>902</v>
      </c>
      <c r="P430" t="s">
        <v>575</v>
      </c>
      <c r="Q430" t="s">
        <v>620</v>
      </c>
      <c r="R430" t="s">
        <v>1200</v>
      </c>
      <c r="S430">
        <v>20181008</v>
      </c>
      <c r="T430" t="s">
        <v>882</v>
      </c>
      <c r="X430">
        <v>5</v>
      </c>
      <c r="Y430">
        <v>71000</v>
      </c>
      <c r="AA430" t="s">
        <v>577</v>
      </c>
      <c r="AB430">
        <v>20190228</v>
      </c>
      <c r="AE430">
        <f t="shared" si="6"/>
        <v>0</v>
      </c>
      <c r="AF430">
        <v>0</v>
      </c>
      <c r="AG430">
        <v>0</v>
      </c>
      <c r="AH430">
        <v>0</v>
      </c>
      <c r="AI430" s="121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</row>
    <row r="431" spans="1:41">
      <c r="A431">
        <v>201903</v>
      </c>
      <c r="B431">
        <v>25</v>
      </c>
      <c r="C431" t="s">
        <v>502</v>
      </c>
      <c r="D431">
        <v>3190454427981</v>
      </c>
      <c r="E431" t="s">
        <v>53</v>
      </c>
      <c r="F431" t="s">
        <v>569</v>
      </c>
      <c r="G431" t="s">
        <v>570</v>
      </c>
      <c r="H431" t="s">
        <v>571</v>
      </c>
      <c r="I431" t="s">
        <v>633</v>
      </c>
      <c r="J431" t="s">
        <v>633</v>
      </c>
      <c r="K431" t="s">
        <v>634</v>
      </c>
      <c r="L431" t="s">
        <v>670</v>
      </c>
      <c r="M431" t="s">
        <v>671</v>
      </c>
      <c r="N431" t="s">
        <v>936</v>
      </c>
      <c r="P431" t="s">
        <v>575</v>
      </c>
      <c r="Q431" t="s">
        <v>620</v>
      </c>
      <c r="R431" t="s">
        <v>952</v>
      </c>
      <c r="S431">
        <v>20181008</v>
      </c>
      <c r="T431" t="s">
        <v>701</v>
      </c>
      <c r="V431">
        <v>0</v>
      </c>
      <c r="W431">
        <v>0</v>
      </c>
      <c r="X431">
        <v>5</v>
      </c>
      <c r="Y431">
        <v>68659</v>
      </c>
      <c r="AA431" t="s">
        <v>577</v>
      </c>
      <c r="AB431">
        <v>20190220</v>
      </c>
      <c r="AE431">
        <f t="shared" si="6"/>
        <v>0</v>
      </c>
      <c r="AF431">
        <v>0</v>
      </c>
      <c r="AG431">
        <v>0</v>
      </c>
      <c r="AH431">
        <v>0</v>
      </c>
      <c r="AI431" s="12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</row>
    <row r="432" spans="1:41">
      <c r="A432">
        <v>201903</v>
      </c>
      <c r="B432">
        <v>25</v>
      </c>
      <c r="C432" t="s">
        <v>502</v>
      </c>
      <c r="D432">
        <v>3190455055351</v>
      </c>
      <c r="E432" t="s">
        <v>53</v>
      </c>
      <c r="F432" t="s">
        <v>569</v>
      </c>
      <c r="G432" t="s">
        <v>570</v>
      </c>
      <c r="H432" t="s">
        <v>571</v>
      </c>
      <c r="I432" t="s">
        <v>1140</v>
      </c>
      <c r="L432" t="s">
        <v>647</v>
      </c>
      <c r="M432" t="s">
        <v>648</v>
      </c>
      <c r="N432" t="s">
        <v>960</v>
      </c>
      <c r="P432" t="s">
        <v>575</v>
      </c>
      <c r="Q432" t="s">
        <v>620</v>
      </c>
      <c r="R432" t="s">
        <v>961</v>
      </c>
      <c r="S432">
        <v>20181008</v>
      </c>
      <c r="T432" t="s">
        <v>987</v>
      </c>
      <c r="V432">
        <v>0</v>
      </c>
      <c r="W432">
        <v>0</v>
      </c>
      <c r="X432">
        <v>5</v>
      </c>
      <c r="Y432">
        <v>25000</v>
      </c>
      <c r="AA432" t="s">
        <v>577</v>
      </c>
      <c r="AB432">
        <v>20190208</v>
      </c>
      <c r="AE432">
        <f t="shared" si="6"/>
        <v>0</v>
      </c>
      <c r="AF432">
        <v>0</v>
      </c>
      <c r="AG432">
        <v>0</v>
      </c>
      <c r="AH432">
        <v>0</v>
      </c>
      <c r="AI432" s="121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</row>
    <row r="433" spans="1:41">
      <c r="A433">
        <v>201903</v>
      </c>
      <c r="B433">
        <v>25</v>
      </c>
      <c r="C433" t="s">
        <v>502</v>
      </c>
      <c r="D433">
        <v>3190456193451</v>
      </c>
      <c r="E433" t="s">
        <v>53</v>
      </c>
      <c r="F433" t="s">
        <v>569</v>
      </c>
      <c r="G433" t="s">
        <v>570</v>
      </c>
      <c r="H433" t="s">
        <v>571</v>
      </c>
      <c r="I433" t="s">
        <v>633</v>
      </c>
      <c r="J433" t="s">
        <v>633</v>
      </c>
      <c r="K433" t="s">
        <v>634</v>
      </c>
      <c r="L433" t="s">
        <v>651</v>
      </c>
      <c r="M433" t="s">
        <v>652</v>
      </c>
      <c r="N433" t="s">
        <v>946</v>
      </c>
      <c r="P433" t="s">
        <v>575</v>
      </c>
      <c r="Q433" t="s">
        <v>620</v>
      </c>
      <c r="R433" t="s">
        <v>1001</v>
      </c>
      <c r="S433">
        <v>20181012</v>
      </c>
      <c r="T433" t="s">
        <v>796</v>
      </c>
      <c r="X433">
        <v>5</v>
      </c>
      <c r="Y433">
        <v>50000</v>
      </c>
      <c r="AA433" t="s">
        <v>577</v>
      </c>
      <c r="AB433">
        <v>20190225</v>
      </c>
      <c r="AE433">
        <f t="shared" si="6"/>
        <v>0</v>
      </c>
      <c r="AF433">
        <v>0</v>
      </c>
      <c r="AG433">
        <v>0</v>
      </c>
      <c r="AH433">
        <v>0</v>
      </c>
      <c r="AI433" s="121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</row>
    <row r="434" spans="1:41">
      <c r="A434">
        <v>201903</v>
      </c>
      <c r="B434">
        <v>25</v>
      </c>
      <c r="C434" t="s">
        <v>502</v>
      </c>
      <c r="D434">
        <v>3190456491141</v>
      </c>
      <c r="E434" t="s">
        <v>53</v>
      </c>
      <c r="F434" t="s">
        <v>569</v>
      </c>
      <c r="G434" t="s">
        <v>570</v>
      </c>
      <c r="H434" t="s">
        <v>571</v>
      </c>
      <c r="I434" t="s">
        <v>728</v>
      </c>
      <c r="J434" t="s">
        <v>728</v>
      </c>
      <c r="K434" t="s">
        <v>1141</v>
      </c>
      <c r="L434" t="s">
        <v>732</v>
      </c>
      <c r="M434" t="s">
        <v>733</v>
      </c>
      <c r="N434" t="s">
        <v>1207</v>
      </c>
      <c r="P434" t="s">
        <v>575</v>
      </c>
      <c r="Q434" t="s">
        <v>620</v>
      </c>
      <c r="R434" t="s">
        <v>968</v>
      </c>
      <c r="S434">
        <v>20181017</v>
      </c>
      <c r="T434" t="s">
        <v>826</v>
      </c>
      <c r="X434">
        <v>5</v>
      </c>
      <c r="Y434">
        <v>53500</v>
      </c>
      <c r="AA434" t="s">
        <v>577</v>
      </c>
      <c r="AB434">
        <v>20190211</v>
      </c>
      <c r="AE434">
        <f t="shared" si="6"/>
        <v>0</v>
      </c>
      <c r="AF434">
        <v>0</v>
      </c>
      <c r="AG434">
        <v>0</v>
      </c>
      <c r="AH434">
        <v>0</v>
      </c>
      <c r="AI434" s="121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</row>
    <row r="435" spans="1:41">
      <c r="A435">
        <v>201903</v>
      </c>
      <c r="B435">
        <v>25</v>
      </c>
      <c r="C435" t="s">
        <v>502</v>
      </c>
      <c r="D435">
        <v>3190456529361</v>
      </c>
      <c r="E435" t="s">
        <v>53</v>
      </c>
      <c r="F435" t="s">
        <v>569</v>
      </c>
      <c r="G435" t="s">
        <v>570</v>
      </c>
      <c r="H435" t="s">
        <v>571</v>
      </c>
      <c r="I435" t="s">
        <v>633</v>
      </c>
      <c r="J435" t="s">
        <v>633</v>
      </c>
      <c r="K435" t="s">
        <v>634</v>
      </c>
      <c r="L435" t="s">
        <v>670</v>
      </c>
      <c r="M435" t="s">
        <v>671</v>
      </c>
      <c r="N435" t="s">
        <v>936</v>
      </c>
      <c r="P435" t="s">
        <v>575</v>
      </c>
      <c r="Q435" t="s">
        <v>620</v>
      </c>
      <c r="R435" t="s">
        <v>952</v>
      </c>
      <c r="S435">
        <v>20181015</v>
      </c>
      <c r="T435" t="s">
        <v>1002</v>
      </c>
      <c r="X435">
        <v>5</v>
      </c>
      <c r="Y435">
        <v>36942</v>
      </c>
      <c r="AA435" t="s">
        <v>577</v>
      </c>
      <c r="AB435">
        <v>20190225</v>
      </c>
      <c r="AE435">
        <f t="shared" si="6"/>
        <v>0</v>
      </c>
      <c r="AF435">
        <v>0</v>
      </c>
      <c r="AG435">
        <v>0</v>
      </c>
      <c r="AH435">
        <v>0</v>
      </c>
      <c r="AI435" s="121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</row>
    <row r="436" spans="1:41">
      <c r="A436">
        <v>201903</v>
      </c>
      <c r="B436">
        <v>25</v>
      </c>
      <c r="C436" t="s">
        <v>502</v>
      </c>
      <c r="D436">
        <v>3190457345811</v>
      </c>
      <c r="E436" t="s">
        <v>53</v>
      </c>
      <c r="F436" t="s">
        <v>569</v>
      </c>
      <c r="G436" t="s">
        <v>570</v>
      </c>
      <c r="H436" t="s">
        <v>571</v>
      </c>
      <c r="I436" t="s">
        <v>646</v>
      </c>
      <c r="L436" t="s">
        <v>677</v>
      </c>
      <c r="M436" t="s">
        <v>678</v>
      </c>
      <c r="N436" t="s">
        <v>938</v>
      </c>
      <c r="P436" t="s">
        <v>575</v>
      </c>
      <c r="Q436" t="s">
        <v>540</v>
      </c>
      <c r="R436" t="s">
        <v>955</v>
      </c>
      <c r="S436">
        <v>20181019</v>
      </c>
      <c r="T436" t="s">
        <v>829</v>
      </c>
      <c r="X436">
        <v>5</v>
      </c>
      <c r="Y436">
        <v>8309</v>
      </c>
      <c r="AA436" t="s">
        <v>577</v>
      </c>
      <c r="AB436">
        <v>20190225</v>
      </c>
      <c r="AE436">
        <f t="shared" si="6"/>
        <v>0</v>
      </c>
      <c r="AF436">
        <v>0</v>
      </c>
      <c r="AG436">
        <v>0</v>
      </c>
      <c r="AH436">
        <v>0</v>
      </c>
      <c r="AI436" s="121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</row>
    <row r="437" spans="1:41">
      <c r="A437">
        <v>201903</v>
      </c>
      <c r="B437">
        <v>25</v>
      </c>
      <c r="C437" t="s">
        <v>502</v>
      </c>
      <c r="D437">
        <v>3190457644551</v>
      </c>
      <c r="E437" t="s">
        <v>53</v>
      </c>
      <c r="F437" t="s">
        <v>569</v>
      </c>
      <c r="G437" t="s">
        <v>570</v>
      </c>
      <c r="H437" t="s">
        <v>571</v>
      </c>
      <c r="I437" t="s">
        <v>633</v>
      </c>
      <c r="L437" t="s">
        <v>641</v>
      </c>
      <c r="M437" t="s">
        <v>642</v>
      </c>
      <c r="N437" t="s">
        <v>921</v>
      </c>
      <c r="P437" t="s">
        <v>575</v>
      </c>
      <c r="Q437" t="s">
        <v>620</v>
      </c>
      <c r="R437" t="s">
        <v>1200</v>
      </c>
      <c r="S437">
        <v>20181018</v>
      </c>
      <c r="T437" t="s">
        <v>696</v>
      </c>
      <c r="V437">
        <v>0</v>
      </c>
      <c r="W437">
        <v>0</v>
      </c>
      <c r="X437">
        <v>5</v>
      </c>
      <c r="Y437">
        <v>37000</v>
      </c>
      <c r="AA437" t="s">
        <v>577</v>
      </c>
      <c r="AB437">
        <v>20190220</v>
      </c>
      <c r="AE437">
        <f t="shared" si="6"/>
        <v>0</v>
      </c>
      <c r="AF437">
        <v>0</v>
      </c>
      <c r="AG437">
        <v>0</v>
      </c>
      <c r="AH437">
        <v>0</v>
      </c>
      <c r="AI437" s="121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</row>
    <row r="438" spans="1:41">
      <c r="A438">
        <v>201903</v>
      </c>
      <c r="B438">
        <v>25</v>
      </c>
      <c r="C438" t="s">
        <v>502</v>
      </c>
      <c r="D438">
        <v>3190457758721</v>
      </c>
      <c r="E438" t="s">
        <v>53</v>
      </c>
      <c r="F438" t="s">
        <v>569</v>
      </c>
      <c r="G438" t="s">
        <v>570</v>
      </c>
      <c r="H438" t="s">
        <v>571</v>
      </c>
      <c r="I438" t="s">
        <v>728</v>
      </c>
      <c r="J438" t="s">
        <v>728</v>
      </c>
      <c r="K438" t="s">
        <v>729</v>
      </c>
      <c r="L438" t="s">
        <v>734</v>
      </c>
      <c r="M438" t="s">
        <v>735</v>
      </c>
      <c r="N438" t="s">
        <v>1222</v>
      </c>
      <c r="P438" t="s">
        <v>575</v>
      </c>
      <c r="Q438" t="s">
        <v>620</v>
      </c>
      <c r="R438" t="s">
        <v>951</v>
      </c>
      <c r="S438">
        <v>20181024</v>
      </c>
      <c r="T438" t="s">
        <v>873</v>
      </c>
      <c r="X438">
        <v>5</v>
      </c>
      <c r="Y438">
        <v>40100</v>
      </c>
      <c r="AA438" t="s">
        <v>577</v>
      </c>
      <c r="AB438">
        <v>20190220</v>
      </c>
      <c r="AE438">
        <f t="shared" si="6"/>
        <v>0</v>
      </c>
      <c r="AF438">
        <v>0</v>
      </c>
      <c r="AG438">
        <v>0</v>
      </c>
      <c r="AH438">
        <v>0</v>
      </c>
      <c r="AI438" s="121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</row>
    <row r="439" spans="1:41">
      <c r="A439">
        <v>201903</v>
      </c>
      <c r="B439">
        <v>25</v>
      </c>
      <c r="C439" t="s">
        <v>502</v>
      </c>
      <c r="D439">
        <v>3190458191061</v>
      </c>
      <c r="E439" t="s">
        <v>53</v>
      </c>
      <c r="F439" t="s">
        <v>569</v>
      </c>
      <c r="G439" t="s">
        <v>570</v>
      </c>
      <c r="H439" t="s">
        <v>571</v>
      </c>
      <c r="I439" t="s">
        <v>578</v>
      </c>
      <c r="J439" t="s">
        <v>578</v>
      </c>
      <c r="K439" t="s">
        <v>579</v>
      </c>
      <c r="L439" t="s">
        <v>597</v>
      </c>
      <c r="M439" t="s">
        <v>598</v>
      </c>
      <c r="N439" t="s">
        <v>913</v>
      </c>
      <c r="P439" t="s">
        <v>575</v>
      </c>
      <c r="Q439" t="s">
        <v>620</v>
      </c>
      <c r="R439" t="s">
        <v>1200</v>
      </c>
      <c r="S439">
        <v>20181019</v>
      </c>
      <c r="T439" t="s">
        <v>954</v>
      </c>
      <c r="X439">
        <v>5</v>
      </c>
      <c r="Y439">
        <v>35000</v>
      </c>
      <c r="AA439" t="s">
        <v>577</v>
      </c>
      <c r="AB439">
        <v>20190225</v>
      </c>
      <c r="AE439">
        <f t="shared" si="6"/>
        <v>0</v>
      </c>
      <c r="AF439">
        <v>0</v>
      </c>
      <c r="AG439">
        <v>0</v>
      </c>
      <c r="AH439">
        <v>0</v>
      </c>
      <c r="AI439" s="121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</row>
    <row r="440" spans="1:41">
      <c r="A440">
        <v>201903</v>
      </c>
      <c r="B440">
        <v>25</v>
      </c>
      <c r="C440" t="s">
        <v>502</v>
      </c>
      <c r="D440">
        <v>3190458644351</v>
      </c>
      <c r="E440" t="s">
        <v>53</v>
      </c>
      <c r="F440" t="s">
        <v>569</v>
      </c>
      <c r="G440" t="s">
        <v>570</v>
      </c>
      <c r="H440" t="s">
        <v>571</v>
      </c>
      <c r="I440" t="s">
        <v>646</v>
      </c>
      <c r="L440" t="s">
        <v>677</v>
      </c>
      <c r="M440" t="s">
        <v>678</v>
      </c>
      <c r="N440" t="s">
        <v>938</v>
      </c>
      <c r="P440" t="s">
        <v>575</v>
      </c>
      <c r="Q440" t="s">
        <v>620</v>
      </c>
      <c r="R440" t="s">
        <v>952</v>
      </c>
      <c r="S440">
        <v>20181019</v>
      </c>
      <c r="T440" t="s">
        <v>829</v>
      </c>
      <c r="X440">
        <v>5</v>
      </c>
      <c r="Y440">
        <v>90658</v>
      </c>
      <c r="AA440" t="s">
        <v>577</v>
      </c>
      <c r="AB440">
        <v>20190225</v>
      </c>
      <c r="AE440">
        <f t="shared" si="6"/>
        <v>0</v>
      </c>
      <c r="AF440">
        <v>0</v>
      </c>
      <c r="AG440">
        <v>0</v>
      </c>
      <c r="AH440">
        <v>0</v>
      </c>
      <c r="AI440" s="121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</row>
    <row r="441" spans="1:41">
      <c r="A441">
        <v>201903</v>
      </c>
      <c r="B441">
        <v>25</v>
      </c>
      <c r="C441" t="s">
        <v>502</v>
      </c>
      <c r="D441">
        <v>3190458791351</v>
      </c>
      <c r="E441" t="s">
        <v>53</v>
      </c>
      <c r="F441" t="s">
        <v>569</v>
      </c>
      <c r="G441" t="s">
        <v>570</v>
      </c>
      <c r="H441" t="s">
        <v>571</v>
      </c>
      <c r="I441" t="s">
        <v>674</v>
      </c>
      <c r="L441" t="s">
        <v>491</v>
      </c>
      <c r="M441" t="s">
        <v>490</v>
      </c>
      <c r="N441" t="s">
        <v>907</v>
      </c>
      <c r="P441" t="s">
        <v>575</v>
      </c>
      <c r="Q441" t="s">
        <v>620</v>
      </c>
      <c r="R441" t="s">
        <v>1200</v>
      </c>
      <c r="S441">
        <v>20181022</v>
      </c>
      <c r="T441" t="s">
        <v>962</v>
      </c>
      <c r="X441">
        <v>5</v>
      </c>
      <c r="Y441">
        <v>34000</v>
      </c>
      <c r="AA441" t="s">
        <v>577</v>
      </c>
      <c r="AB441">
        <v>20190207</v>
      </c>
      <c r="AE441">
        <f t="shared" si="6"/>
        <v>0</v>
      </c>
      <c r="AF441">
        <v>0</v>
      </c>
      <c r="AG441">
        <v>0</v>
      </c>
      <c r="AH441">
        <v>0</v>
      </c>
      <c r="AI441" s="12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</row>
    <row r="442" spans="1:41">
      <c r="A442">
        <v>201903</v>
      </c>
      <c r="B442">
        <v>25</v>
      </c>
      <c r="C442" t="s">
        <v>502</v>
      </c>
      <c r="D442">
        <v>3190064482441</v>
      </c>
      <c r="E442" t="s">
        <v>53</v>
      </c>
      <c r="F442" t="s">
        <v>569</v>
      </c>
      <c r="G442" t="s">
        <v>570</v>
      </c>
      <c r="H442" t="s">
        <v>571</v>
      </c>
      <c r="I442" t="s">
        <v>633</v>
      </c>
      <c r="L442" t="s">
        <v>641</v>
      </c>
      <c r="M442" t="s">
        <v>642</v>
      </c>
      <c r="N442" t="s">
        <v>921</v>
      </c>
      <c r="P442" t="s">
        <v>575</v>
      </c>
      <c r="Q442" t="s">
        <v>620</v>
      </c>
      <c r="R442" t="s">
        <v>1011</v>
      </c>
      <c r="S442">
        <v>20170131</v>
      </c>
      <c r="T442" t="s">
        <v>1033</v>
      </c>
      <c r="X442">
        <v>26</v>
      </c>
      <c r="Y442">
        <v>150000</v>
      </c>
      <c r="AA442" t="s">
        <v>577</v>
      </c>
      <c r="AB442">
        <v>20190225</v>
      </c>
      <c r="AE442">
        <f t="shared" si="6"/>
        <v>0</v>
      </c>
      <c r="AF442">
        <v>0</v>
      </c>
      <c r="AG442">
        <v>0</v>
      </c>
      <c r="AH442">
        <v>0</v>
      </c>
      <c r="AI442" s="121">
        <v>1125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1125</v>
      </c>
    </row>
    <row r="443" spans="1:41">
      <c r="A443">
        <v>201903</v>
      </c>
      <c r="B443">
        <v>25</v>
      </c>
      <c r="C443" t="s">
        <v>502</v>
      </c>
      <c r="D443">
        <v>3190064487641</v>
      </c>
      <c r="E443" t="s">
        <v>53</v>
      </c>
      <c r="F443" t="s">
        <v>569</v>
      </c>
      <c r="G443" t="s">
        <v>570</v>
      </c>
      <c r="H443" t="s">
        <v>571</v>
      </c>
      <c r="I443" t="s">
        <v>691</v>
      </c>
      <c r="J443" t="s">
        <v>692</v>
      </c>
      <c r="K443" t="s">
        <v>700</v>
      </c>
      <c r="L443" t="s">
        <v>705</v>
      </c>
      <c r="M443" t="s">
        <v>687</v>
      </c>
      <c r="N443" t="s">
        <v>1227</v>
      </c>
      <c r="P443" t="s">
        <v>575</v>
      </c>
      <c r="Q443" t="s">
        <v>620</v>
      </c>
      <c r="R443" t="s">
        <v>1010</v>
      </c>
      <c r="S443">
        <v>20170131</v>
      </c>
      <c r="T443" t="s">
        <v>834</v>
      </c>
      <c r="X443">
        <v>26</v>
      </c>
      <c r="Y443">
        <v>35000</v>
      </c>
      <c r="AA443" t="s">
        <v>577</v>
      </c>
      <c r="AB443">
        <v>20190220</v>
      </c>
      <c r="AE443">
        <f t="shared" si="6"/>
        <v>0</v>
      </c>
      <c r="AF443">
        <v>0</v>
      </c>
      <c r="AG443">
        <v>0</v>
      </c>
      <c r="AH443">
        <v>0</v>
      </c>
      <c r="AI443" s="121">
        <v>175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175</v>
      </c>
    </row>
    <row r="444" spans="1:41">
      <c r="A444">
        <v>201903</v>
      </c>
      <c r="B444">
        <v>25</v>
      </c>
      <c r="C444" t="s">
        <v>502</v>
      </c>
      <c r="D444">
        <v>3190064636961</v>
      </c>
      <c r="E444" t="s">
        <v>53</v>
      </c>
      <c r="F444" t="s">
        <v>569</v>
      </c>
      <c r="G444" t="s">
        <v>570</v>
      </c>
      <c r="H444" t="s">
        <v>571</v>
      </c>
      <c r="I444" t="s">
        <v>633</v>
      </c>
      <c r="J444" t="s">
        <v>633</v>
      </c>
      <c r="K444" t="s">
        <v>634</v>
      </c>
      <c r="L444" t="s">
        <v>637</v>
      </c>
      <c r="M444" t="s">
        <v>638</v>
      </c>
      <c r="N444" t="s">
        <v>972</v>
      </c>
      <c r="P444" t="s">
        <v>575</v>
      </c>
      <c r="Q444" t="s">
        <v>620</v>
      </c>
      <c r="R444" t="s">
        <v>1010</v>
      </c>
      <c r="S444">
        <v>20170201</v>
      </c>
      <c r="T444" t="s">
        <v>1037</v>
      </c>
      <c r="X444">
        <v>25</v>
      </c>
      <c r="Y444">
        <v>33000</v>
      </c>
      <c r="AA444" t="s">
        <v>577</v>
      </c>
      <c r="AB444">
        <v>20190227</v>
      </c>
      <c r="AE444">
        <f t="shared" si="6"/>
        <v>0</v>
      </c>
      <c r="AF444">
        <v>0</v>
      </c>
      <c r="AG444">
        <v>0</v>
      </c>
      <c r="AH444">
        <v>0</v>
      </c>
      <c r="AI444" s="121">
        <v>165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165</v>
      </c>
    </row>
    <row r="445" spans="1:41">
      <c r="A445">
        <v>201903</v>
      </c>
      <c r="B445">
        <v>25</v>
      </c>
      <c r="C445" t="s">
        <v>502</v>
      </c>
      <c r="D445">
        <v>3190067458471</v>
      </c>
      <c r="E445" t="s">
        <v>53</v>
      </c>
      <c r="F445" t="s">
        <v>569</v>
      </c>
      <c r="G445" t="s">
        <v>570</v>
      </c>
      <c r="H445" t="s">
        <v>571</v>
      </c>
      <c r="I445" t="s">
        <v>1139</v>
      </c>
      <c r="J445" t="s">
        <v>706</v>
      </c>
      <c r="K445" t="s">
        <v>707</v>
      </c>
      <c r="L445" t="s">
        <v>708</v>
      </c>
      <c r="M445" t="s">
        <v>709</v>
      </c>
      <c r="N445" t="s">
        <v>1024</v>
      </c>
      <c r="P445" t="s">
        <v>575</v>
      </c>
      <c r="Q445" t="s">
        <v>620</v>
      </c>
      <c r="R445" t="s">
        <v>1011</v>
      </c>
      <c r="S445">
        <v>20170224</v>
      </c>
      <c r="T445" t="s">
        <v>1061</v>
      </c>
      <c r="X445">
        <v>25</v>
      </c>
      <c r="Y445">
        <v>50300</v>
      </c>
      <c r="AA445" t="s">
        <v>577</v>
      </c>
      <c r="AB445">
        <v>20190211</v>
      </c>
      <c r="AE445">
        <f t="shared" si="6"/>
        <v>0</v>
      </c>
      <c r="AF445">
        <v>0</v>
      </c>
      <c r="AG445">
        <v>0</v>
      </c>
      <c r="AH445">
        <v>0</v>
      </c>
      <c r="AI445" s="121">
        <v>377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377</v>
      </c>
    </row>
    <row r="446" spans="1:41">
      <c r="A446">
        <v>201903</v>
      </c>
      <c r="B446">
        <v>25</v>
      </c>
      <c r="C446" t="s">
        <v>502</v>
      </c>
      <c r="D446">
        <v>3190068937681</v>
      </c>
      <c r="E446" t="s">
        <v>53</v>
      </c>
      <c r="F446" t="s">
        <v>569</v>
      </c>
      <c r="G446" t="s">
        <v>570</v>
      </c>
      <c r="H446" t="s">
        <v>571</v>
      </c>
      <c r="I446" t="s">
        <v>633</v>
      </c>
      <c r="L446" t="s">
        <v>641</v>
      </c>
      <c r="M446" t="s">
        <v>642</v>
      </c>
      <c r="N446" t="s">
        <v>921</v>
      </c>
      <c r="P446" t="s">
        <v>575</v>
      </c>
      <c r="Q446" t="s">
        <v>620</v>
      </c>
      <c r="R446" t="s">
        <v>1011</v>
      </c>
      <c r="S446">
        <v>20170228</v>
      </c>
      <c r="T446" t="s">
        <v>799</v>
      </c>
      <c r="X446">
        <v>23</v>
      </c>
      <c r="Y446">
        <v>63415</v>
      </c>
      <c r="AA446" t="s">
        <v>577</v>
      </c>
      <c r="AB446">
        <v>20190226</v>
      </c>
      <c r="AE446">
        <f t="shared" si="6"/>
        <v>0</v>
      </c>
      <c r="AF446">
        <v>0</v>
      </c>
      <c r="AG446">
        <v>0</v>
      </c>
      <c r="AH446">
        <v>0</v>
      </c>
      <c r="AI446" s="121">
        <v>475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475</v>
      </c>
    </row>
    <row r="447" spans="1:41">
      <c r="A447">
        <v>201903</v>
      </c>
      <c r="B447">
        <v>25</v>
      </c>
      <c r="C447" t="s">
        <v>502</v>
      </c>
      <c r="D447">
        <v>3190070392101</v>
      </c>
      <c r="E447" t="s">
        <v>53</v>
      </c>
      <c r="F447" t="s">
        <v>569</v>
      </c>
      <c r="G447" t="s">
        <v>570</v>
      </c>
      <c r="H447" t="s">
        <v>571</v>
      </c>
      <c r="I447" t="s">
        <v>633</v>
      </c>
      <c r="L447" t="s">
        <v>641</v>
      </c>
      <c r="M447" t="s">
        <v>642</v>
      </c>
      <c r="N447" t="s">
        <v>921</v>
      </c>
      <c r="P447" t="s">
        <v>575</v>
      </c>
      <c r="Q447" t="s">
        <v>620</v>
      </c>
      <c r="R447" t="s">
        <v>1011</v>
      </c>
      <c r="S447">
        <v>20170309</v>
      </c>
      <c r="T447" t="s">
        <v>1097</v>
      </c>
      <c r="X447">
        <v>24</v>
      </c>
      <c r="Y447">
        <v>61753</v>
      </c>
      <c r="AA447" t="s">
        <v>577</v>
      </c>
      <c r="AB447">
        <v>20190220</v>
      </c>
      <c r="AE447">
        <f t="shared" si="6"/>
        <v>0</v>
      </c>
      <c r="AF447">
        <v>0</v>
      </c>
      <c r="AG447">
        <v>0</v>
      </c>
      <c r="AH447">
        <v>0</v>
      </c>
      <c r="AI447" s="121">
        <v>441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441</v>
      </c>
    </row>
    <row r="448" spans="1:41">
      <c r="A448">
        <v>201903</v>
      </c>
      <c r="B448">
        <v>25</v>
      </c>
      <c r="C448" t="s">
        <v>502</v>
      </c>
      <c r="D448">
        <v>3190070392541</v>
      </c>
      <c r="E448" t="s">
        <v>53</v>
      </c>
      <c r="F448" t="s">
        <v>569</v>
      </c>
      <c r="G448" t="s">
        <v>570</v>
      </c>
      <c r="H448" t="s">
        <v>571</v>
      </c>
      <c r="I448" t="s">
        <v>633</v>
      </c>
      <c r="L448" t="s">
        <v>641</v>
      </c>
      <c r="M448" t="s">
        <v>642</v>
      </c>
      <c r="N448" t="s">
        <v>921</v>
      </c>
      <c r="P448" t="s">
        <v>575</v>
      </c>
      <c r="Q448" t="s">
        <v>540</v>
      </c>
      <c r="R448" t="s">
        <v>1096</v>
      </c>
      <c r="S448">
        <v>20170309</v>
      </c>
      <c r="T448" t="s">
        <v>1097</v>
      </c>
      <c r="X448">
        <v>24</v>
      </c>
      <c r="Y448">
        <v>9079</v>
      </c>
      <c r="AA448" t="s">
        <v>577</v>
      </c>
      <c r="AB448">
        <v>20190220</v>
      </c>
      <c r="AE448">
        <f t="shared" si="6"/>
        <v>0</v>
      </c>
      <c r="AF448">
        <v>0</v>
      </c>
      <c r="AG448">
        <v>0</v>
      </c>
      <c r="AH448">
        <v>0</v>
      </c>
      <c r="AI448" s="121">
        <v>46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46</v>
      </c>
    </row>
    <row r="449" spans="1:41">
      <c r="A449">
        <v>201903</v>
      </c>
      <c r="B449">
        <v>25</v>
      </c>
      <c r="C449" t="s">
        <v>502</v>
      </c>
      <c r="D449">
        <v>3190070393141</v>
      </c>
      <c r="E449" t="s">
        <v>53</v>
      </c>
      <c r="F449" t="s">
        <v>569</v>
      </c>
      <c r="G449" t="s">
        <v>570</v>
      </c>
      <c r="H449" t="s">
        <v>571</v>
      </c>
      <c r="I449" t="s">
        <v>633</v>
      </c>
      <c r="L449" t="s">
        <v>641</v>
      </c>
      <c r="M449" t="s">
        <v>642</v>
      </c>
      <c r="N449" t="s">
        <v>921</v>
      </c>
      <c r="P449" t="s">
        <v>575</v>
      </c>
      <c r="Q449" t="s">
        <v>540</v>
      </c>
      <c r="R449" t="s">
        <v>1096</v>
      </c>
      <c r="S449">
        <v>20170309</v>
      </c>
      <c r="T449" t="s">
        <v>1097</v>
      </c>
      <c r="X449">
        <v>24</v>
      </c>
      <c r="Y449">
        <v>5913</v>
      </c>
      <c r="AA449" t="s">
        <v>577</v>
      </c>
      <c r="AB449">
        <v>20190220</v>
      </c>
      <c r="AE449">
        <f t="shared" si="6"/>
        <v>0</v>
      </c>
      <c r="AF449">
        <v>0</v>
      </c>
      <c r="AG449">
        <v>0</v>
      </c>
      <c r="AH449">
        <v>0</v>
      </c>
      <c r="AI449" s="121">
        <v>26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26</v>
      </c>
    </row>
    <row r="450" spans="1:41">
      <c r="A450">
        <v>201903</v>
      </c>
      <c r="B450">
        <v>25</v>
      </c>
      <c r="C450" t="s">
        <v>502</v>
      </c>
      <c r="D450">
        <v>3190070621331</v>
      </c>
      <c r="E450" t="s">
        <v>53</v>
      </c>
      <c r="F450" t="s">
        <v>569</v>
      </c>
      <c r="G450" t="s">
        <v>570</v>
      </c>
      <c r="H450" t="s">
        <v>571</v>
      </c>
      <c r="I450" t="s">
        <v>618</v>
      </c>
      <c r="J450" t="s">
        <v>618</v>
      </c>
      <c r="K450" t="s">
        <v>619</v>
      </c>
      <c r="L450" t="s">
        <v>627</v>
      </c>
      <c r="M450" t="s">
        <v>628</v>
      </c>
      <c r="N450" t="s">
        <v>1043</v>
      </c>
      <c r="P450" t="s">
        <v>575</v>
      </c>
      <c r="Q450" t="s">
        <v>620</v>
      </c>
      <c r="R450" t="s">
        <v>1011</v>
      </c>
      <c r="S450">
        <v>20170310</v>
      </c>
      <c r="T450" t="s">
        <v>1101</v>
      </c>
      <c r="X450">
        <v>24</v>
      </c>
      <c r="Y450">
        <v>50000</v>
      </c>
      <c r="AA450" t="s">
        <v>577</v>
      </c>
      <c r="AB450">
        <v>20190211</v>
      </c>
      <c r="AE450">
        <f t="shared" si="6"/>
        <v>0</v>
      </c>
      <c r="AF450">
        <v>0</v>
      </c>
      <c r="AG450">
        <v>0</v>
      </c>
      <c r="AH450">
        <v>0</v>
      </c>
      <c r="AI450" s="121">
        <v>375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375</v>
      </c>
    </row>
    <row r="451" spans="1:41">
      <c r="A451">
        <v>201903</v>
      </c>
      <c r="B451">
        <v>25</v>
      </c>
      <c r="C451" t="s">
        <v>502</v>
      </c>
      <c r="D451">
        <v>3190071029911</v>
      </c>
      <c r="E451" t="s">
        <v>53</v>
      </c>
      <c r="F451" t="s">
        <v>569</v>
      </c>
      <c r="G451" t="s">
        <v>570</v>
      </c>
      <c r="H451" t="s">
        <v>571</v>
      </c>
      <c r="I451" t="s">
        <v>633</v>
      </c>
      <c r="L451" t="s">
        <v>641</v>
      </c>
      <c r="M451" t="s">
        <v>642</v>
      </c>
      <c r="N451" t="s">
        <v>921</v>
      </c>
      <c r="P451" t="s">
        <v>575</v>
      </c>
      <c r="Q451" t="s">
        <v>620</v>
      </c>
      <c r="R451" t="s">
        <v>1011</v>
      </c>
      <c r="S451">
        <v>20170314</v>
      </c>
      <c r="T451" t="s">
        <v>1103</v>
      </c>
      <c r="X451">
        <v>22</v>
      </c>
      <c r="Y451">
        <v>49534</v>
      </c>
      <c r="AA451" t="s">
        <v>577</v>
      </c>
      <c r="AB451">
        <v>20190228</v>
      </c>
      <c r="AE451">
        <f t="shared" ref="AE451:AE514" si="7">AO451-AI451</f>
        <v>0</v>
      </c>
      <c r="AF451">
        <v>0</v>
      </c>
      <c r="AG451">
        <v>0</v>
      </c>
      <c r="AH451">
        <v>0</v>
      </c>
      <c r="AI451" s="121">
        <v>371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371</v>
      </c>
    </row>
    <row r="452" spans="1:41">
      <c r="A452">
        <v>201903</v>
      </c>
      <c r="B452">
        <v>25</v>
      </c>
      <c r="C452" t="s">
        <v>502</v>
      </c>
      <c r="D452">
        <v>3190072125961</v>
      </c>
      <c r="E452" t="s">
        <v>53</v>
      </c>
      <c r="F452" t="s">
        <v>569</v>
      </c>
      <c r="G452" t="s">
        <v>570</v>
      </c>
      <c r="H452" t="s">
        <v>571</v>
      </c>
      <c r="I452" t="s">
        <v>578</v>
      </c>
      <c r="J452" t="s">
        <v>578</v>
      </c>
      <c r="K452" t="s">
        <v>579</v>
      </c>
      <c r="L452" t="s">
        <v>615</v>
      </c>
      <c r="M452" t="s">
        <v>616</v>
      </c>
      <c r="N452" t="s">
        <v>919</v>
      </c>
      <c r="P452" t="s">
        <v>575</v>
      </c>
      <c r="Q452" t="s">
        <v>620</v>
      </c>
      <c r="R452" t="s">
        <v>1019</v>
      </c>
      <c r="S452">
        <v>20170327</v>
      </c>
      <c r="T452" t="s">
        <v>838</v>
      </c>
      <c r="X452">
        <v>24</v>
      </c>
      <c r="Y452">
        <v>20000</v>
      </c>
      <c r="AA452" t="s">
        <v>577</v>
      </c>
      <c r="AB452">
        <v>20190218</v>
      </c>
      <c r="AE452">
        <f t="shared" si="7"/>
        <v>0</v>
      </c>
      <c r="AF452">
        <v>0</v>
      </c>
      <c r="AG452">
        <v>0</v>
      </c>
      <c r="AH452">
        <v>0</v>
      </c>
      <c r="AI452" s="121">
        <v>100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100</v>
      </c>
    </row>
    <row r="453" spans="1:41">
      <c r="A453">
        <v>201903</v>
      </c>
      <c r="B453">
        <v>25</v>
      </c>
      <c r="C453" t="s">
        <v>502</v>
      </c>
      <c r="D453">
        <v>3190458943301</v>
      </c>
      <c r="E453" t="s">
        <v>53</v>
      </c>
      <c r="F453" t="s">
        <v>569</v>
      </c>
      <c r="G453" t="s">
        <v>570</v>
      </c>
      <c r="H453" t="s">
        <v>571</v>
      </c>
      <c r="I453" t="s">
        <v>633</v>
      </c>
      <c r="J453" t="s">
        <v>633</v>
      </c>
      <c r="K453" t="s">
        <v>634</v>
      </c>
      <c r="L453" t="s">
        <v>670</v>
      </c>
      <c r="M453" t="s">
        <v>671</v>
      </c>
      <c r="N453" t="s">
        <v>936</v>
      </c>
      <c r="P453" t="s">
        <v>575</v>
      </c>
      <c r="Q453" t="s">
        <v>620</v>
      </c>
      <c r="R453" t="s">
        <v>952</v>
      </c>
      <c r="S453">
        <v>20181022</v>
      </c>
      <c r="T453" t="s">
        <v>804</v>
      </c>
      <c r="X453">
        <v>5</v>
      </c>
      <c r="Y453">
        <v>21665</v>
      </c>
      <c r="AA453" t="s">
        <v>577</v>
      </c>
      <c r="AB453">
        <v>20190208</v>
      </c>
      <c r="AE453">
        <f t="shared" si="7"/>
        <v>0</v>
      </c>
      <c r="AF453">
        <v>0</v>
      </c>
      <c r="AG453">
        <v>0</v>
      </c>
      <c r="AH453">
        <v>0</v>
      </c>
      <c r="AI453" s="121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</row>
    <row r="454" spans="1:41">
      <c r="A454">
        <v>201903</v>
      </c>
      <c r="B454">
        <v>25</v>
      </c>
      <c r="C454" t="s">
        <v>502</v>
      </c>
      <c r="D454">
        <v>3190458966481</v>
      </c>
      <c r="E454" t="s">
        <v>53</v>
      </c>
      <c r="F454" t="s">
        <v>569</v>
      </c>
      <c r="G454" t="s">
        <v>570</v>
      </c>
      <c r="H454" t="s">
        <v>571</v>
      </c>
      <c r="I454" t="s">
        <v>633</v>
      </c>
      <c r="J454" t="s">
        <v>633</v>
      </c>
      <c r="K454" t="s">
        <v>634</v>
      </c>
      <c r="L454" t="s">
        <v>670</v>
      </c>
      <c r="M454" t="s">
        <v>671</v>
      </c>
      <c r="N454" t="s">
        <v>936</v>
      </c>
      <c r="P454" t="s">
        <v>575</v>
      </c>
      <c r="Q454" t="s">
        <v>620</v>
      </c>
      <c r="R454" t="s">
        <v>952</v>
      </c>
      <c r="S454">
        <v>20181023</v>
      </c>
      <c r="T454" t="s">
        <v>963</v>
      </c>
      <c r="X454">
        <v>5</v>
      </c>
      <c r="Y454">
        <v>90878</v>
      </c>
      <c r="AA454" t="s">
        <v>577</v>
      </c>
      <c r="AB454">
        <v>20190220</v>
      </c>
      <c r="AE454">
        <f t="shared" si="7"/>
        <v>0</v>
      </c>
      <c r="AF454">
        <v>0</v>
      </c>
      <c r="AG454">
        <v>0</v>
      </c>
      <c r="AH454">
        <v>0</v>
      </c>
      <c r="AI454" s="121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</row>
    <row r="455" spans="1:41">
      <c r="A455">
        <v>201903</v>
      </c>
      <c r="B455">
        <v>25</v>
      </c>
      <c r="C455" t="s">
        <v>502</v>
      </c>
      <c r="D455">
        <v>3190459095671</v>
      </c>
      <c r="E455" t="s">
        <v>53</v>
      </c>
      <c r="F455" t="s">
        <v>569</v>
      </c>
      <c r="G455" t="s">
        <v>570</v>
      </c>
      <c r="H455" t="s">
        <v>571</v>
      </c>
      <c r="I455" t="s">
        <v>633</v>
      </c>
      <c r="J455" t="s">
        <v>633</v>
      </c>
      <c r="K455" t="s">
        <v>634</v>
      </c>
      <c r="L455" t="s">
        <v>670</v>
      </c>
      <c r="M455" t="s">
        <v>671</v>
      </c>
      <c r="N455" t="s">
        <v>936</v>
      </c>
      <c r="P455" t="s">
        <v>575</v>
      </c>
      <c r="Q455" t="s">
        <v>620</v>
      </c>
      <c r="R455" t="s">
        <v>1200</v>
      </c>
      <c r="S455">
        <v>20181024</v>
      </c>
      <c r="T455" t="s">
        <v>653</v>
      </c>
      <c r="V455">
        <v>0</v>
      </c>
      <c r="W455">
        <v>0</v>
      </c>
      <c r="X455">
        <v>5</v>
      </c>
      <c r="Y455">
        <v>35000</v>
      </c>
      <c r="AA455" t="s">
        <v>577</v>
      </c>
      <c r="AB455">
        <v>20190208</v>
      </c>
      <c r="AE455">
        <f t="shared" si="7"/>
        <v>0</v>
      </c>
      <c r="AF455">
        <v>0</v>
      </c>
      <c r="AG455">
        <v>0</v>
      </c>
      <c r="AH455">
        <v>0</v>
      </c>
      <c r="AI455" s="121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</row>
    <row r="456" spans="1:41">
      <c r="A456">
        <v>201903</v>
      </c>
      <c r="B456">
        <v>25</v>
      </c>
      <c r="C456" t="s">
        <v>502</v>
      </c>
      <c r="D456">
        <v>3190459098741</v>
      </c>
      <c r="E456" t="s">
        <v>53</v>
      </c>
      <c r="F456" t="s">
        <v>569</v>
      </c>
      <c r="G456" t="s">
        <v>570</v>
      </c>
      <c r="H456" t="s">
        <v>571</v>
      </c>
      <c r="I456" t="s">
        <v>633</v>
      </c>
      <c r="J456" t="s">
        <v>633</v>
      </c>
      <c r="K456" t="s">
        <v>634</v>
      </c>
      <c r="L456" t="s">
        <v>670</v>
      </c>
      <c r="M456" t="s">
        <v>671</v>
      </c>
      <c r="N456" t="s">
        <v>936</v>
      </c>
      <c r="P456" t="s">
        <v>575</v>
      </c>
      <c r="Q456" t="s">
        <v>620</v>
      </c>
      <c r="R456" t="s">
        <v>1200</v>
      </c>
      <c r="S456">
        <v>20181024</v>
      </c>
      <c r="T456" t="s">
        <v>653</v>
      </c>
      <c r="V456">
        <v>0</v>
      </c>
      <c r="W456">
        <v>0</v>
      </c>
      <c r="X456">
        <v>5</v>
      </c>
      <c r="Y456">
        <v>79000</v>
      </c>
      <c r="AA456" t="s">
        <v>577</v>
      </c>
      <c r="AB456">
        <v>20190208</v>
      </c>
      <c r="AE456">
        <f t="shared" si="7"/>
        <v>0</v>
      </c>
      <c r="AF456">
        <v>0</v>
      </c>
      <c r="AG456">
        <v>0</v>
      </c>
      <c r="AH456">
        <v>0</v>
      </c>
      <c r="AI456" s="121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</row>
    <row r="457" spans="1:41">
      <c r="A457">
        <v>201903</v>
      </c>
      <c r="B457">
        <v>25</v>
      </c>
      <c r="C457" t="s">
        <v>502</v>
      </c>
      <c r="D457">
        <v>3190459151321</v>
      </c>
      <c r="E457" t="s">
        <v>53</v>
      </c>
      <c r="F457" t="s">
        <v>569</v>
      </c>
      <c r="G457" t="s">
        <v>570</v>
      </c>
      <c r="H457" t="s">
        <v>571</v>
      </c>
      <c r="I457" t="s">
        <v>674</v>
      </c>
      <c r="J457" t="s">
        <v>674</v>
      </c>
      <c r="K457" t="s">
        <v>675</v>
      </c>
      <c r="L457" t="s">
        <v>489</v>
      </c>
      <c r="M457" t="s">
        <v>488</v>
      </c>
      <c r="N457" t="s">
        <v>902</v>
      </c>
      <c r="P457" t="s">
        <v>575</v>
      </c>
      <c r="Q457" t="s">
        <v>620</v>
      </c>
      <c r="R457" t="s">
        <v>961</v>
      </c>
      <c r="S457">
        <v>20181023</v>
      </c>
      <c r="T457" t="s">
        <v>966</v>
      </c>
      <c r="X457">
        <v>5</v>
      </c>
      <c r="Y457">
        <v>30000</v>
      </c>
      <c r="AA457" t="s">
        <v>577</v>
      </c>
      <c r="AB457">
        <v>20190220</v>
      </c>
      <c r="AE457">
        <f t="shared" si="7"/>
        <v>0</v>
      </c>
      <c r="AF457">
        <v>0</v>
      </c>
      <c r="AG457">
        <v>0</v>
      </c>
      <c r="AH457">
        <v>0</v>
      </c>
      <c r="AI457" s="121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</row>
    <row r="458" spans="1:41">
      <c r="A458">
        <v>201903</v>
      </c>
      <c r="B458">
        <v>25</v>
      </c>
      <c r="C458" t="s">
        <v>502</v>
      </c>
      <c r="D458">
        <v>3190459533711</v>
      </c>
      <c r="E458" t="s">
        <v>53</v>
      </c>
      <c r="F458" t="s">
        <v>569</v>
      </c>
      <c r="G458" t="s">
        <v>570</v>
      </c>
      <c r="H458" t="s">
        <v>571</v>
      </c>
      <c r="I458" t="s">
        <v>633</v>
      </c>
      <c r="J458" t="s">
        <v>633</v>
      </c>
      <c r="K458" t="s">
        <v>634</v>
      </c>
      <c r="L458" t="s">
        <v>651</v>
      </c>
      <c r="M458" t="s">
        <v>652</v>
      </c>
      <c r="N458" t="s">
        <v>946</v>
      </c>
      <c r="P458" t="s">
        <v>575</v>
      </c>
      <c r="Q458" t="s">
        <v>540</v>
      </c>
      <c r="R458" t="s">
        <v>955</v>
      </c>
      <c r="S458">
        <v>20181025</v>
      </c>
      <c r="T458" t="s">
        <v>796</v>
      </c>
      <c r="X458">
        <v>5</v>
      </c>
      <c r="Y458">
        <v>25409</v>
      </c>
      <c r="AA458" t="s">
        <v>577</v>
      </c>
      <c r="AB458">
        <v>20190225</v>
      </c>
      <c r="AE458">
        <f t="shared" si="7"/>
        <v>0</v>
      </c>
      <c r="AF458">
        <v>0</v>
      </c>
      <c r="AG458">
        <v>0</v>
      </c>
      <c r="AH458">
        <v>0</v>
      </c>
      <c r="AI458" s="121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</row>
    <row r="459" spans="1:41">
      <c r="A459">
        <v>201903</v>
      </c>
      <c r="B459">
        <v>25</v>
      </c>
      <c r="C459" t="s">
        <v>502</v>
      </c>
      <c r="D459">
        <v>3190460266551</v>
      </c>
      <c r="E459" t="s">
        <v>53</v>
      </c>
      <c r="F459" t="s">
        <v>569</v>
      </c>
      <c r="G459" t="s">
        <v>570</v>
      </c>
      <c r="H459" t="s">
        <v>571</v>
      </c>
      <c r="I459" t="s">
        <v>633</v>
      </c>
      <c r="J459" t="s">
        <v>633</v>
      </c>
      <c r="K459" t="s">
        <v>634</v>
      </c>
      <c r="L459" t="s">
        <v>651</v>
      </c>
      <c r="M459" t="s">
        <v>652</v>
      </c>
      <c r="N459" t="s">
        <v>946</v>
      </c>
      <c r="P459" t="s">
        <v>575</v>
      </c>
      <c r="Q459" t="s">
        <v>620</v>
      </c>
      <c r="R459" t="s">
        <v>952</v>
      </c>
      <c r="S459">
        <v>20181025</v>
      </c>
      <c r="T459" t="s">
        <v>796</v>
      </c>
      <c r="X459">
        <v>5</v>
      </c>
      <c r="Y459">
        <v>55525</v>
      </c>
      <c r="AA459" t="s">
        <v>577</v>
      </c>
      <c r="AB459">
        <v>20190225</v>
      </c>
      <c r="AE459">
        <f t="shared" si="7"/>
        <v>0</v>
      </c>
      <c r="AF459">
        <v>0</v>
      </c>
      <c r="AG459">
        <v>0</v>
      </c>
      <c r="AH459">
        <v>0</v>
      </c>
      <c r="AI459" s="121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</row>
    <row r="460" spans="1:41">
      <c r="A460">
        <v>201903</v>
      </c>
      <c r="B460">
        <v>25</v>
      </c>
      <c r="C460" t="s">
        <v>502</v>
      </c>
      <c r="D460">
        <v>3190460570521</v>
      </c>
      <c r="E460" t="s">
        <v>53</v>
      </c>
      <c r="F460" t="s">
        <v>569</v>
      </c>
      <c r="G460" t="s">
        <v>570</v>
      </c>
      <c r="H460" t="s">
        <v>571</v>
      </c>
      <c r="I460" t="s">
        <v>578</v>
      </c>
      <c r="J460" t="s">
        <v>578</v>
      </c>
      <c r="K460" t="s">
        <v>579</v>
      </c>
      <c r="L460" t="s">
        <v>611</v>
      </c>
      <c r="M460" t="s">
        <v>612</v>
      </c>
      <c r="N460" t="s">
        <v>979</v>
      </c>
      <c r="P460" t="s">
        <v>575</v>
      </c>
      <c r="Q460" t="s">
        <v>620</v>
      </c>
      <c r="R460" t="s">
        <v>1200</v>
      </c>
      <c r="S460">
        <v>20181025</v>
      </c>
      <c r="T460" t="s">
        <v>785</v>
      </c>
      <c r="X460">
        <v>5</v>
      </c>
      <c r="Y460">
        <v>60000</v>
      </c>
      <c r="AA460" t="s">
        <v>577</v>
      </c>
      <c r="AB460">
        <v>20190225</v>
      </c>
      <c r="AE460">
        <f t="shared" si="7"/>
        <v>0</v>
      </c>
      <c r="AF460">
        <v>0</v>
      </c>
      <c r="AG460">
        <v>0</v>
      </c>
      <c r="AH460">
        <v>0</v>
      </c>
      <c r="AI460" s="121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</row>
    <row r="461" spans="1:41">
      <c r="A461">
        <v>201903</v>
      </c>
      <c r="B461">
        <v>25</v>
      </c>
      <c r="C461" t="s">
        <v>502</v>
      </c>
      <c r="D461">
        <v>3190461655921</v>
      </c>
      <c r="E461" t="s">
        <v>53</v>
      </c>
      <c r="F461" t="s">
        <v>569</v>
      </c>
      <c r="G461" t="s">
        <v>570</v>
      </c>
      <c r="H461" t="s">
        <v>571</v>
      </c>
      <c r="I461" t="s">
        <v>633</v>
      </c>
      <c r="L461" t="s">
        <v>641</v>
      </c>
      <c r="M461" t="s">
        <v>642</v>
      </c>
      <c r="N461" t="s">
        <v>921</v>
      </c>
      <c r="P461" t="s">
        <v>575</v>
      </c>
      <c r="Q461" t="s">
        <v>620</v>
      </c>
      <c r="R461" t="s">
        <v>952</v>
      </c>
      <c r="S461">
        <v>20181031</v>
      </c>
      <c r="T461" t="s">
        <v>922</v>
      </c>
      <c r="X461">
        <v>5</v>
      </c>
      <c r="Y461">
        <v>31017</v>
      </c>
      <c r="AA461" t="s">
        <v>577</v>
      </c>
      <c r="AB461">
        <v>20190220</v>
      </c>
      <c r="AE461">
        <f t="shared" si="7"/>
        <v>0</v>
      </c>
      <c r="AF461">
        <v>0</v>
      </c>
      <c r="AG461">
        <v>0</v>
      </c>
      <c r="AH461">
        <v>0</v>
      </c>
      <c r="AI461" s="12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</row>
    <row r="462" spans="1:41">
      <c r="A462">
        <v>201903</v>
      </c>
      <c r="B462">
        <v>25</v>
      </c>
      <c r="C462" t="s">
        <v>502</v>
      </c>
      <c r="D462">
        <v>3190462194511</v>
      </c>
      <c r="E462" t="s">
        <v>53</v>
      </c>
      <c r="F462" t="s">
        <v>569</v>
      </c>
      <c r="G462" t="s">
        <v>570</v>
      </c>
      <c r="H462" t="s">
        <v>571</v>
      </c>
      <c r="I462" t="s">
        <v>633</v>
      </c>
      <c r="J462" t="s">
        <v>633</v>
      </c>
      <c r="K462" t="s">
        <v>634</v>
      </c>
      <c r="L462" t="s">
        <v>670</v>
      </c>
      <c r="M462" t="s">
        <v>671</v>
      </c>
      <c r="N462" t="s">
        <v>936</v>
      </c>
      <c r="P462" t="s">
        <v>575</v>
      </c>
      <c r="Q462" t="s">
        <v>620</v>
      </c>
      <c r="R462" t="s">
        <v>1200</v>
      </c>
      <c r="S462">
        <v>20181031</v>
      </c>
      <c r="T462" t="s">
        <v>879</v>
      </c>
      <c r="X462">
        <v>5</v>
      </c>
      <c r="Y462">
        <v>61000</v>
      </c>
      <c r="AA462" t="s">
        <v>577</v>
      </c>
      <c r="AB462">
        <v>20190220</v>
      </c>
      <c r="AE462">
        <f t="shared" si="7"/>
        <v>0</v>
      </c>
      <c r="AF462">
        <v>0</v>
      </c>
      <c r="AG462">
        <v>0</v>
      </c>
      <c r="AH462">
        <v>0</v>
      </c>
      <c r="AI462" s="121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</row>
    <row r="463" spans="1:41">
      <c r="A463">
        <v>201903</v>
      </c>
      <c r="B463">
        <v>25</v>
      </c>
      <c r="C463" t="s">
        <v>502</v>
      </c>
      <c r="D463">
        <v>3190462205211</v>
      </c>
      <c r="E463" t="s">
        <v>53</v>
      </c>
      <c r="F463" t="s">
        <v>569</v>
      </c>
      <c r="G463" t="s">
        <v>570</v>
      </c>
      <c r="H463" t="s">
        <v>571</v>
      </c>
      <c r="I463" t="s">
        <v>633</v>
      </c>
      <c r="J463" t="s">
        <v>633</v>
      </c>
      <c r="K463" t="s">
        <v>634</v>
      </c>
      <c r="L463" t="s">
        <v>670</v>
      </c>
      <c r="M463" t="s">
        <v>671</v>
      </c>
      <c r="N463" t="s">
        <v>936</v>
      </c>
      <c r="P463" t="s">
        <v>575</v>
      </c>
      <c r="Q463" t="s">
        <v>620</v>
      </c>
      <c r="R463" t="s">
        <v>1200</v>
      </c>
      <c r="S463">
        <v>20181031</v>
      </c>
      <c r="T463" t="s">
        <v>879</v>
      </c>
      <c r="X463">
        <v>5</v>
      </c>
      <c r="Y463">
        <v>57000</v>
      </c>
      <c r="AA463" t="s">
        <v>577</v>
      </c>
      <c r="AB463">
        <v>20190220</v>
      </c>
      <c r="AE463">
        <f t="shared" si="7"/>
        <v>0</v>
      </c>
      <c r="AF463">
        <v>0</v>
      </c>
      <c r="AG463">
        <v>0</v>
      </c>
      <c r="AH463">
        <v>0</v>
      </c>
      <c r="AI463" s="121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</row>
    <row r="464" spans="1:41">
      <c r="A464">
        <v>201903</v>
      </c>
      <c r="B464">
        <v>25</v>
      </c>
      <c r="C464" t="s">
        <v>502</v>
      </c>
      <c r="D464">
        <v>3190464674081</v>
      </c>
      <c r="E464" t="s">
        <v>53</v>
      </c>
      <c r="F464" t="s">
        <v>569</v>
      </c>
      <c r="G464" t="s">
        <v>570</v>
      </c>
      <c r="H464" t="s">
        <v>571</v>
      </c>
      <c r="I464" t="s">
        <v>633</v>
      </c>
      <c r="J464" t="s">
        <v>633</v>
      </c>
      <c r="K464" t="s">
        <v>634</v>
      </c>
      <c r="L464" t="s">
        <v>670</v>
      </c>
      <c r="M464" t="s">
        <v>671</v>
      </c>
      <c r="N464" t="s">
        <v>936</v>
      </c>
      <c r="P464" t="s">
        <v>575</v>
      </c>
      <c r="Q464" t="s">
        <v>540</v>
      </c>
      <c r="R464" t="s">
        <v>955</v>
      </c>
      <c r="S464">
        <v>20181109</v>
      </c>
      <c r="T464" t="s">
        <v>864</v>
      </c>
      <c r="X464">
        <v>4</v>
      </c>
      <c r="Y464">
        <v>10263</v>
      </c>
      <c r="AA464" t="s">
        <v>577</v>
      </c>
      <c r="AB464">
        <v>20190220</v>
      </c>
      <c r="AE464">
        <f t="shared" si="7"/>
        <v>0</v>
      </c>
      <c r="AF464">
        <v>0</v>
      </c>
      <c r="AG464">
        <v>0</v>
      </c>
      <c r="AH464">
        <v>0</v>
      </c>
      <c r="AI464" s="121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</row>
    <row r="465" spans="1:41">
      <c r="A465">
        <v>201903</v>
      </c>
      <c r="B465">
        <v>25</v>
      </c>
      <c r="C465" t="s">
        <v>502</v>
      </c>
      <c r="D465">
        <v>3190464935311</v>
      </c>
      <c r="E465" t="s">
        <v>53</v>
      </c>
      <c r="F465" t="s">
        <v>569</v>
      </c>
      <c r="G465" t="s">
        <v>570</v>
      </c>
      <c r="H465" t="s">
        <v>571</v>
      </c>
      <c r="I465" t="s">
        <v>633</v>
      </c>
      <c r="J465" t="s">
        <v>633</v>
      </c>
      <c r="K465" t="s">
        <v>634</v>
      </c>
      <c r="L465" t="s">
        <v>670</v>
      </c>
      <c r="M465" t="s">
        <v>671</v>
      </c>
      <c r="N465" t="s">
        <v>936</v>
      </c>
      <c r="P465" t="s">
        <v>575</v>
      </c>
      <c r="Q465" t="s">
        <v>620</v>
      </c>
      <c r="R465" t="s">
        <v>952</v>
      </c>
      <c r="S465">
        <v>20181109</v>
      </c>
      <c r="T465" t="s">
        <v>864</v>
      </c>
      <c r="X465">
        <v>4</v>
      </c>
      <c r="Y465">
        <v>134447</v>
      </c>
      <c r="AA465" t="s">
        <v>577</v>
      </c>
      <c r="AB465">
        <v>20190220</v>
      </c>
      <c r="AE465">
        <f t="shared" si="7"/>
        <v>0</v>
      </c>
      <c r="AF465">
        <v>0</v>
      </c>
      <c r="AG465">
        <v>0</v>
      </c>
      <c r="AH465">
        <v>0</v>
      </c>
      <c r="AI465" s="121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</row>
    <row r="466" spans="1:41">
      <c r="A466">
        <v>201903</v>
      </c>
      <c r="B466">
        <v>25</v>
      </c>
      <c r="C466" t="s">
        <v>502</v>
      </c>
      <c r="D466">
        <v>3190465541091</v>
      </c>
      <c r="E466" t="s">
        <v>53</v>
      </c>
      <c r="F466" t="s">
        <v>569</v>
      </c>
      <c r="G466" t="s">
        <v>570</v>
      </c>
      <c r="H466" t="s">
        <v>571</v>
      </c>
      <c r="I466" t="s">
        <v>633</v>
      </c>
      <c r="J466" t="s">
        <v>633</v>
      </c>
      <c r="K466" t="s">
        <v>634</v>
      </c>
      <c r="L466" t="s">
        <v>670</v>
      </c>
      <c r="M466" t="s">
        <v>671</v>
      </c>
      <c r="N466" t="s">
        <v>936</v>
      </c>
      <c r="P466" t="s">
        <v>575</v>
      </c>
      <c r="Q466" t="s">
        <v>620</v>
      </c>
      <c r="R466" t="s">
        <v>952</v>
      </c>
      <c r="S466">
        <v>20181113</v>
      </c>
      <c r="T466" t="s">
        <v>863</v>
      </c>
      <c r="X466">
        <v>4</v>
      </c>
      <c r="Y466">
        <v>46617</v>
      </c>
      <c r="AA466" t="s">
        <v>577</v>
      </c>
      <c r="AB466">
        <v>20190225</v>
      </c>
      <c r="AE466">
        <f t="shared" si="7"/>
        <v>0</v>
      </c>
      <c r="AF466">
        <v>0</v>
      </c>
      <c r="AG466">
        <v>0</v>
      </c>
      <c r="AH466">
        <v>0</v>
      </c>
      <c r="AI466" s="121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</row>
    <row r="467" spans="1:41">
      <c r="A467">
        <v>201903</v>
      </c>
      <c r="B467">
        <v>25</v>
      </c>
      <c r="C467" t="s">
        <v>502</v>
      </c>
      <c r="D467">
        <v>3190465742851</v>
      </c>
      <c r="E467" t="s">
        <v>53</v>
      </c>
      <c r="F467" t="s">
        <v>569</v>
      </c>
      <c r="G467" t="s">
        <v>570</v>
      </c>
      <c r="H467" t="s">
        <v>571</v>
      </c>
      <c r="I467" t="s">
        <v>633</v>
      </c>
      <c r="J467" t="s">
        <v>633</v>
      </c>
      <c r="K467" t="s">
        <v>634</v>
      </c>
      <c r="L467" t="s">
        <v>670</v>
      </c>
      <c r="M467" t="s">
        <v>671</v>
      </c>
      <c r="N467" t="s">
        <v>936</v>
      </c>
      <c r="P467" t="s">
        <v>575</v>
      </c>
      <c r="Q467" t="s">
        <v>620</v>
      </c>
      <c r="R467" t="s">
        <v>952</v>
      </c>
      <c r="S467">
        <v>20181113</v>
      </c>
      <c r="T467" t="s">
        <v>811</v>
      </c>
      <c r="X467">
        <v>3</v>
      </c>
      <c r="Y467">
        <v>101801</v>
      </c>
      <c r="AA467" t="s">
        <v>577</v>
      </c>
      <c r="AB467">
        <v>20190228</v>
      </c>
      <c r="AE467">
        <f t="shared" si="7"/>
        <v>0</v>
      </c>
      <c r="AF467">
        <v>0</v>
      </c>
      <c r="AG467">
        <v>0</v>
      </c>
      <c r="AH467">
        <v>0</v>
      </c>
      <c r="AI467" s="121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</row>
    <row r="468" spans="1:41">
      <c r="A468">
        <v>201903</v>
      </c>
      <c r="B468">
        <v>25</v>
      </c>
      <c r="C468" t="s">
        <v>502</v>
      </c>
      <c r="D468">
        <v>3190466144181</v>
      </c>
      <c r="E468" t="s">
        <v>53</v>
      </c>
      <c r="F468" t="s">
        <v>569</v>
      </c>
      <c r="G468" t="s">
        <v>570</v>
      </c>
      <c r="H468" t="s">
        <v>571</v>
      </c>
      <c r="I468" t="s">
        <v>1140</v>
      </c>
      <c r="L468" t="s">
        <v>647</v>
      </c>
      <c r="M468" t="s">
        <v>648</v>
      </c>
      <c r="N468" t="s">
        <v>960</v>
      </c>
      <c r="P468" t="s">
        <v>575</v>
      </c>
      <c r="Q468" t="s">
        <v>620</v>
      </c>
      <c r="R468" t="s">
        <v>961</v>
      </c>
      <c r="S468">
        <v>20181114</v>
      </c>
      <c r="T468" t="s">
        <v>852</v>
      </c>
      <c r="V468">
        <v>0</v>
      </c>
      <c r="W468">
        <v>0</v>
      </c>
      <c r="X468">
        <v>4</v>
      </c>
      <c r="Y468">
        <v>30000</v>
      </c>
      <c r="AA468" t="s">
        <v>577</v>
      </c>
      <c r="AB468">
        <v>20190215</v>
      </c>
      <c r="AE468">
        <f t="shared" si="7"/>
        <v>0</v>
      </c>
      <c r="AF468">
        <v>0</v>
      </c>
      <c r="AG468">
        <v>0</v>
      </c>
      <c r="AH468">
        <v>0</v>
      </c>
      <c r="AI468" s="121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</row>
    <row r="469" spans="1:41">
      <c r="A469">
        <v>201903</v>
      </c>
      <c r="B469">
        <v>25</v>
      </c>
      <c r="C469" t="s">
        <v>502</v>
      </c>
      <c r="D469">
        <v>3190466681831</v>
      </c>
      <c r="E469" t="s">
        <v>53</v>
      </c>
      <c r="F469" t="s">
        <v>569</v>
      </c>
      <c r="G469" t="s">
        <v>570</v>
      </c>
      <c r="H469" t="s">
        <v>571</v>
      </c>
      <c r="I469" t="s">
        <v>633</v>
      </c>
      <c r="L469" t="s">
        <v>641</v>
      </c>
      <c r="M469" t="s">
        <v>642</v>
      </c>
      <c r="N469" t="s">
        <v>921</v>
      </c>
      <c r="P469" t="s">
        <v>575</v>
      </c>
      <c r="Q469" t="s">
        <v>620</v>
      </c>
      <c r="R469" t="s">
        <v>952</v>
      </c>
      <c r="S469">
        <v>20181115</v>
      </c>
      <c r="T469" t="s">
        <v>980</v>
      </c>
      <c r="X469">
        <v>4</v>
      </c>
      <c r="Y469">
        <v>164793</v>
      </c>
      <c r="AA469" t="s">
        <v>577</v>
      </c>
      <c r="AB469">
        <v>20190220</v>
      </c>
      <c r="AE469">
        <f t="shared" si="7"/>
        <v>0</v>
      </c>
      <c r="AF469">
        <v>0</v>
      </c>
      <c r="AG469">
        <v>0</v>
      </c>
      <c r="AH469">
        <v>0</v>
      </c>
      <c r="AI469" s="121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</row>
    <row r="470" spans="1:41">
      <c r="A470">
        <v>201903</v>
      </c>
      <c r="B470">
        <v>25</v>
      </c>
      <c r="C470" t="s">
        <v>502</v>
      </c>
      <c r="D470">
        <v>3190466682571</v>
      </c>
      <c r="E470" t="s">
        <v>53</v>
      </c>
      <c r="F470" t="s">
        <v>569</v>
      </c>
      <c r="G470" t="s">
        <v>570</v>
      </c>
      <c r="H470" t="s">
        <v>571</v>
      </c>
      <c r="I470" t="s">
        <v>633</v>
      </c>
      <c r="L470" t="s">
        <v>641</v>
      </c>
      <c r="M470" t="s">
        <v>642</v>
      </c>
      <c r="N470" t="s">
        <v>921</v>
      </c>
      <c r="P470" t="s">
        <v>575</v>
      </c>
      <c r="Q470" t="s">
        <v>620</v>
      </c>
      <c r="R470" t="s">
        <v>952</v>
      </c>
      <c r="S470">
        <v>20181115</v>
      </c>
      <c r="T470" t="s">
        <v>981</v>
      </c>
      <c r="X470">
        <v>4</v>
      </c>
      <c r="Y470">
        <v>160453</v>
      </c>
      <c r="AA470" t="s">
        <v>577</v>
      </c>
      <c r="AB470">
        <v>20190220</v>
      </c>
      <c r="AE470">
        <f t="shared" si="7"/>
        <v>0</v>
      </c>
      <c r="AF470">
        <v>0</v>
      </c>
      <c r="AG470">
        <v>0</v>
      </c>
      <c r="AH470">
        <v>0</v>
      </c>
      <c r="AI470" s="121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</row>
    <row r="471" spans="1:41">
      <c r="A471">
        <v>201903</v>
      </c>
      <c r="B471">
        <v>25</v>
      </c>
      <c r="C471" t="s">
        <v>502</v>
      </c>
      <c r="D471">
        <v>3190466684251</v>
      </c>
      <c r="E471" t="s">
        <v>53</v>
      </c>
      <c r="F471" t="s">
        <v>569</v>
      </c>
      <c r="G471" t="s">
        <v>570</v>
      </c>
      <c r="H471" t="s">
        <v>571</v>
      </c>
      <c r="I471" t="s">
        <v>633</v>
      </c>
      <c r="L471" t="s">
        <v>641</v>
      </c>
      <c r="M471" t="s">
        <v>642</v>
      </c>
      <c r="N471" t="s">
        <v>921</v>
      </c>
      <c r="P471" t="s">
        <v>575</v>
      </c>
      <c r="Q471" t="s">
        <v>620</v>
      </c>
      <c r="R471" t="s">
        <v>1200</v>
      </c>
      <c r="S471">
        <v>20181115</v>
      </c>
      <c r="T471" t="s">
        <v>982</v>
      </c>
      <c r="X471">
        <v>4</v>
      </c>
      <c r="Y471">
        <v>37000</v>
      </c>
      <c r="AA471" t="s">
        <v>577</v>
      </c>
      <c r="AB471">
        <v>20190220</v>
      </c>
      <c r="AE471">
        <f t="shared" si="7"/>
        <v>0</v>
      </c>
      <c r="AF471">
        <v>0</v>
      </c>
      <c r="AG471">
        <v>0</v>
      </c>
      <c r="AH471">
        <v>0</v>
      </c>
      <c r="AI471" s="12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</row>
    <row r="472" spans="1:41">
      <c r="A472">
        <v>201903</v>
      </c>
      <c r="B472">
        <v>25</v>
      </c>
      <c r="C472" t="s">
        <v>502</v>
      </c>
      <c r="D472">
        <v>3190466685331</v>
      </c>
      <c r="E472" t="s">
        <v>53</v>
      </c>
      <c r="F472" t="s">
        <v>569</v>
      </c>
      <c r="G472" t="s">
        <v>570</v>
      </c>
      <c r="H472" t="s">
        <v>571</v>
      </c>
      <c r="I472" t="s">
        <v>633</v>
      </c>
      <c r="L472" t="s">
        <v>641</v>
      </c>
      <c r="M472" t="s">
        <v>642</v>
      </c>
      <c r="N472" t="s">
        <v>921</v>
      </c>
      <c r="P472" t="s">
        <v>575</v>
      </c>
      <c r="Q472" t="s">
        <v>620</v>
      </c>
      <c r="R472" t="s">
        <v>952</v>
      </c>
      <c r="S472">
        <v>20181116</v>
      </c>
      <c r="T472" t="s">
        <v>982</v>
      </c>
      <c r="X472">
        <v>4</v>
      </c>
      <c r="Y472">
        <v>149096</v>
      </c>
      <c r="AA472" t="s">
        <v>577</v>
      </c>
      <c r="AB472">
        <v>20190220</v>
      </c>
      <c r="AE472">
        <f t="shared" si="7"/>
        <v>0</v>
      </c>
      <c r="AF472">
        <v>0</v>
      </c>
      <c r="AG472">
        <v>0</v>
      </c>
      <c r="AH472">
        <v>0</v>
      </c>
      <c r="AI472" s="121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</row>
    <row r="473" spans="1:41">
      <c r="A473">
        <v>201903</v>
      </c>
      <c r="B473">
        <v>25</v>
      </c>
      <c r="C473" t="s">
        <v>502</v>
      </c>
      <c r="D473">
        <v>3190072129321</v>
      </c>
      <c r="E473" t="s">
        <v>53</v>
      </c>
      <c r="F473" t="s">
        <v>569</v>
      </c>
      <c r="G473" t="s">
        <v>570</v>
      </c>
      <c r="H473" t="s">
        <v>571</v>
      </c>
      <c r="I473" t="s">
        <v>578</v>
      </c>
      <c r="J473" t="s">
        <v>578</v>
      </c>
      <c r="K473" t="s">
        <v>579</v>
      </c>
      <c r="L473" t="s">
        <v>615</v>
      </c>
      <c r="M473" t="s">
        <v>616</v>
      </c>
      <c r="N473" t="s">
        <v>919</v>
      </c>
      <c r="P473" t="s">
        <v>575</v>
      </c>
      <c r="Q473" t="s">
        <v>620</v>
      </c>
      <c r="R473" t="s">
        <v>1019</v>
      </c>
      <c r="S473">
        <v>20170327</v>
      </c>
      <c r="T473" t="s">
        <v>838</v>
      </c>
      <c r="X473">
        <v>24</v>
      </c>
      <c r="Y473">
        <v>35000</v>
      </c>
      <c r="AA473" t="s">
        <v>577</v>
      </c>
      <c r="AB473">
        <v>20190218</v>
      </c>
      <c r="AE473">
        <f t="shared" si="7"/>
        <v>0</v>
      </c>
      <c r="AF473">
        <v>0</v>
      </c>
      <c r="AG473">
        <v>0</v>
      </c>
      <c r="AH473">
        <v>0</v>
      </c>
      <c r="AI473" s="121">
        <v>175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175</v>
      </c>
    </row>
    <row r="474" spans="1:41">
      <c r="A474">
        <v>201903</v>
      </c>
      <c r="B474">
        <v>25</v>
      </c>
      <c r="C474" t="s">
        <v>502</v>
      </c>
      <c r="D474">
        <v>3190072130541</v>
      </c>
      <c r="E474" t="s">
        <v>53</v>
      </c>
      <c r="F474" t="s">
        <v>569</v>
      </c>
      <c r="G474" t="s">
        <v>570</v>
      </c>
      <c r="H474" t="s">
        <v>571</v>
      </c>
      <c r="I474" t="s">
        <v>578</v>
      </c>
      <c r="J474" t="s">
        <v>578</v>
      </c>
      <c r="K474" t="s">
        <v>579</v>
      </c>
      <c r="L474" t="s">
        <v>615</v>
      </c>
      <c r="M474" t="s">
        <v>616</v>
      </c>
      <c r="N474" t="s">
        <v>919</v>
      </c>
      <c r="P474" t="s">
        <v>575</v>
      </c>
      <c r="Q474" t="s">
        <v>620</v>
      </c>
      <c r="R474" t="s">
        <v>1019</v>
      </c>
      <c r="S474">
        <v>20170327</v>
      </c>
      <c r="T474" t="s">
        <v>838</v>
      </c>
      <c r="X474">
        <v>24</v>
      </c>
      <c r="Y474">
        <v>34000</v>
      </c>
      <c r="AA474" t="s">
        <v>577</v>
      </c>
      <c r="AB474">
        <v>20190218</v>
      </c>
      <c r="AE474">
        <f t="shared" si="7"/>
        <v>0</v>
      </c>
      <c r="AF474">
        <v>0</v>
      </c>
      <c r="AG474">
        <v>0</v>
      </c>
      <c r="AH474">
        <v>0</v>
      </c>
      <c r="AI474" s="121">
        <v>170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170</v>
      </c>
    </row>
    <row r="475" spans="1:41">
      <c r="A475">
        <v>201903</v>
      </c>
      <c r="B475">
        <v>25</v>
      </c>
      <c r="C475" t="s">
        <v>502</v>
      </c>
      <c r="D475">
        <v>3190072395831</v>
      </c>
      <c r="E475" t="s">
        <v>53</v>
      </c>
      <c r="F475" t="s">
        <v>569</v>
      </c>
      <c r="G475" t="s">
        <v>570</v>
      </c>
      <c r="H475" t="s">
        <v>571</v>
      </c>
      <c r="I475" t="s">
        <v>674</v>
      </c>
      <c r="J475" t="s">
        <v>674</v>
      </c>
      <c r="K475" t="s">
        <v>675</v>
      </c>
      <c r="L475" t="s">
        <v>485</v>
      </c>
      <c r="M475" t="s">
        <v>484</v>
      </c>
      <c r="N475" t="s">
        <v>914</v>
      </c>
      <c r="P475" t="s">
        <v>575</v>
      </c>
      <c r="Q475" t="s">
        <v>620</v>
      </c>
      <c r="R475" t="s">
        <v>1011</v>
      </c>
      <c r="S475">
        <v>20170321</v>
      </c>
      <c r="T475" t="s">
        <v>1034</v>
      </c>
      <c r="X475">
        <v>24</v>
      </c>
      <c r="Y475">
        <v>66000</v>
      </c>
      <c r="AA475" t="s">
        <v>577</v>
      </c>
      <c r="AB475">
        <v>20190225</v>
      </c>
      <c r="AE475">
        <f t="shared" si="7"/>
        <v>0</v>
      </c>
      <c r="AF475">
        <v>0</v>
      </c>
      <c r="AG475">
        <v>0</v>
      </c>
      <c r="AH475">
        <v>0</v>
      </c>
      <c r="AI475" s="121">
        <v>495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495</v>
      </c>
    </row>
    <row r="476" spans="1:41">
      <c r="A476">
        <v>201903</v>
      </c>
      <c r="B476">
        <v>25</v>
      </c>
      <c r="C476" t="s">
        <v>502</v>
      </c>
      <c r="D476">
        <v>3190072569741</v>
      </c>
      <c r="E476" t="s">
        <v>53</v>
      </c>
      <c r="F476" t="s">
        <v>569</v>
      </c>
      <c r="G476" t="s">
        <v>570</v>
      </c>
      <c r="H476" t="s">
        <v>571</v>
      </c>
      <c r="I476" t="s">
        <v>578</v>
      </c>
      <c r="J476" t="s">
        <v>578</v>
      </c>
      <c r="K476" t="s">
        <v>579</v>
      </c>
      <c r="L476" t="s">
        <v>589</v>
      </c>
      <c r="M476" t="s">
        <v>590</v>
      </c>
      <c r="N476" t="s">
        <v>935</v>
      </c>
      <c r="P476" t="s">
        <v>575</v>
      </c>
      <c r="Q476" t="s">
        <v>620</v>
      </c>
      <c r="R476" t="s">
        <v>1011</v>
      </c>
      <c r="S476">
        <v>20170328</v>
      </c>
      <c r="T476" t="s">
        <v>808</v>
      </c>
      <c r="X476">
        <v>24</v>
      </c>
      <c r="Y476">
        <v>35000</v>
      </c>
      <c r="AA476" t="s">
        <v>577</v>
      </c>
      <c r="AB476">
        <v>20190228</v>
      </c>
      <c r="AE476">
        <f t="shared" si="7"/>
        <v>0</v>
      </c>
      <c r="AF476">
        <v>0</v>
      </c>
      <c r="AG476">
        <v>0</v>
      </c>
      <c r="AH476">
        <v>0</v>
      </c>
      <c r="AI476" s="121">
        <v>262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262</v>
      </c>
    </row>
    <row r="477" spans="1:41">
      <c r="A477">
        <v>201903</v>
      </c>
      <c r="B477">
        <v>25</v>
      </c>
      <c r="C477" t="s">
        <v>502</v>
      </c>
      <c r="D477">
        <v>3190072644151</v>
      </c>
      <c r="E477" t="s">
        <v>53</v>
      </c>
      <c r="F477" t="s">
        <v>569</v>
      </c>
      <c r="G477" t="s">
        <v>570</v>
      </c>
      <c r="H477" t="s">
        <v>571</v>
      </c>
      <c r="I477" t="s">
        <v>578</v>
      </c>
      <c r="J477" t="s">
        <v>578</v>
      </c>
      <c r="K477" t="s">
        <v>579</v>
      </c>
      <c r="L477" t="s">
        <v>580</v>
      </c>
      <c r="M477" t="s">
        <v>581</v>
      </c>
      <c r="N477" t="s">
        <v>915</v>
      </c>
      <c r="P477" t="s">
        <v>575</v>
      </c>
      <c r="Q477" t="s">
        <v>620</v>
      </c>
      <c r="R477" t="s">
        <v>1038</v>
      </c>
      <c r="S477">
        <v>20170327</v>
      </c>
      <c r="T477" t="s">
        <v>849</v>
      </c>
      <c r="X477">
        <v>24</v>
      </c>
      <c r="Y477">
        <v>71000</v>
      </c>
      <c r="AA477" t="s">
        <v>577</v>
      </c>
      <c r="AB477">
        <v>20190225</v>
      </c>
      <c r="AE477">
        <f t="shared" si="7"/>
        <v>0</v>
      </c>
      <c r="AF477">
        <v>0</v>
      </c>
      <c r="AG477">
        <v>0</v>
      </c>
      <c r="AH477">
        <v>0</v>
      </c>
      <c r="AI477" s="121">
        <v>355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355</v>
      </c>
    </row>
    <row r="478" spans="1:41">
      <c r="A478">
        <v>201903</v>
      </c>
      <c r="B478">
        <v>25</v>
      </c>
      <c r="C478" t="s">
        <v>502</v>
      </c>
      <c r="D478">
        <v>3190072752971</v>
      </c>
      <c r="E478" t="s">
        <v>53</v>
      </c>
      <c r="F478" t="s">
        <v>569</v>
      </c>
      <c r="G478" t="s">
        <v>570</v>
      </c>
      <c r="H478" t="s">
        <v>571</v>
      </c>
      <c r="I478" t="s">
        <v>674</v>
      </c>
      <c r="J478" t="s">
        <v>674</v>
      </c>
      <c r="K478" t="s">
        <v>675</v>
      </c>
      <c r="L478" t="s">
        <v>489</v>
      </c>
      <c r="M478" t="s">
        <v>488</v>
      </c>
      <c r="N478" t="s">
        <v>902</v>
      </c>
      <c r="P478" t="s">
        <v>575</v>
      </c>
      <c r="Q478" t="s">
        <v>620</v>
      </c>
      <c r="R478" t="s">
        <v>1011</v>
      </c>
      <c r="S478">
        <v>20170322</v>
      </c>
      <c r="T478" t="s">
        <v>829</v>
      </c>
      <c r="X478">
        <v>24</v>
      </c>
      <c r="Y478">
        <v>40000</v>
      </c>
      <c r="AA478" t="s">
        <v>577</v>
      </c>
      <c r="AB478">
        <v>20190220</v>
      </c>
      <c r="AE478">
        <f t="shared" si="7"/>
        <v>0</v>
      </c>
      <c r="AF478">
        <v>0</v>
      </c>
      <c r="AG478">
        <v>0</v>
      </c>
      <c r="AH478">
        <v>0</v>
      </c>
      <c r="AI478" s="121">
        <v>300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300</v>
      </c>
    </row>
    <row r="479" spans="1:41">
      <c r="A479">
        <v>201903</v>
      </c>
      <c r="B479">
        <v>25</v>
      </c>
      <c r="C479" t="s">
        <v>502</v>
      </c>
      <c r="D479">
        <v>3190073186421</v>
      </c>
      <c r="E479" t="s">
        <v>53</v>
      </c>
      <c r="F479" t="s">
        <v>569</v>
      </c>
      <c r="G479" t="s">
        <v>570</v>
      </c>
      <c r="H479" t="s">
        <v>571</v>
      </c>
      <c r="I479" t="s">
        <v>674</v>
      </c>
      <c r="J479" t="s">
        <v>674</v>
      </c>
      <c r="K479" t="s">
        <v>675</v>
      </c>
      <c r="L479" t="s">
        <v>489</v>
      </c>
      <c r="M479" t="s">
        <v>488</v>
      </c>
      <c r="N479" t="s">
        <v>902</v>
      </c>
      <c r="P479" t="s">
        <v>575</v>
      </c>
      <c r="Q479" t="s">
        <v>620</v>
      </c>
      <c r="R479" t="s">
        <v>1011</v>
      </c>
      <c r="S479">
        <v>20170331</v>
      </c>
      <c r="T479" t="s">
        <v>1054</v>
      </c>
      <c r="X479">
        <v>24</v>
      </c>
      <c r="Y479">
        <v>44000</v>
      </c>
      <c r="AA479" t="s">
        <v>577</v>
      </c>
      <c r="AB479">
        <v>20190225</v>
      </c>
      <c r="AE479">
        <f t="shared" si="7"/>
        <v>0</v>
      </c>
      <c r="AF479">
        <v>0</v>
      </c>
      <c r="AG479">
        <v>0</v>
      </c>
      <c r="AH479">
        <v>0</v>
      </c>
      <c r="AI479" s="121">
        <v>330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330</v>
      </c>
    </row>
    <row r="480" spans="1:41">
      <c r="A480">
        <v>201903</v>
      </c>
      <c r="B480">
        <v>25</v>
      </c>
      <c r="C480" t="s">
        <v>502</v>
      </c>
      <c r="D480">
        <v>3190073345831</v>
      </c>
      <c r="E480" t="s">
        <v>53</v>
      </c>
      <c r="F480" t="s">
        <v>569</v>
      </c>
      <c r="G480" t="s">
        <v>570</v>
      </c>
      <c r="H480" t="s">
        <v>571</v>
      </c>
      <c r="I480" t="s">
        <v>674</v>
      </c>
      <c r="L480" t="s">
        <v>491</v>
      </c>
      <c r="M480" t="s">
        <v>490</v>
      </c>
      <c r="N480" t="s">
        <v>907</v>
      </c>
      <c r="P480" t="s">
        <v>575</v>
      </c>
      <c r="Q480" t="s">
        <v>620</v>
      </c>
      <c r="R480" t="s">
        <v>1011</v>
      </c>
      <c r="S480">
        <v>20170324</v>
      </c>
      <c r="T480" t="s">
        <v>1077</v>
      </c>
      <c r="X480">
        <v>24</v>
      </c>
      <c r="Y480">
        <v>130000</v>
      </c>
      <c r="AA480" t="s">
        <v>577</v>
      </c>
      <c r="AB480">
        <v>20190220</v>
      </c>
      <c r="AE480">
        <f t="shared" si="7"/>
        <v>0</v>
      </c>
      <c r="AF480">
        <v>0</v>
      </c>
      <c r="AG480">
        <v>0</v>
      </c>
      <c r="AH480">
        <v>0</v>
      </c>
      <c r="AI480" s="121">
        <v>975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975</v>
      </c>
    </row>
    <row r="481" spans="1:41">
      <c r="A481">
        <v>201903</v>
      </c>
      <c r="B481">
        <v>25</v>
      </c>
      <c r="C481" t="s">
        <v>502</v>
      </c>
      <c r="D481">
        <v>3190073656791</v>
      </c>
      <c r="E481" t="s">
        <v>53</v>
      </c>
      <c r="F481" t="s">
        <v>569</v>
      </c>
      <c r="G481" t="s">
        <v>570</v>
      </c>
      <c r="H481" t="s">
        <v>571</v>
      </c>
      <c r="I481" t="s">
        <v>674</v>
      </c>
      <c r="J481" t="s">
        <v>674</v>
      </c>
      <c r="K481" t="s">
        <v>675</v>
      </c>
      <c r="L481" t="s">
        <v>489</v>
      </c>
      <c r="M481" t="s">
        <v>488</v>
      </c>
      <c r="N481" t="s">
        <v>902</v>
      </c>
      <c r="P481" t="s">
        <v>575</v>
      </c>
      <c r="Q481" t="s">
        <v>620</v>
      </c>
      <c r="R481" t="s">
        <v>1011</v>
      </c>
      <c r="S481">
        <v>20170328</v>
      </c>
      <c r="T481" t="s">
        <v>1062</v>
      </c>
      <c r="X481">
        <v>24</v>
      </c>
      <c r="Y481">
        <v>74000</v>
      </c>
      <c r="AA481" t="s">
        <v>577</v>
      </c>
      <c r="AB481">
        <v>20190225</v>
      </c>
      <c r="AE481">
        <f t="shared" si="7"/>
        <v>0</v>
      </c>
      <c r="AF481">
        <v>0</v>
      </c>
      <c r="AG481">
        <v>0</v>
      </c>
      <c r="AH481">
        <v>0</v>
      </c>
      <c r="AI481" s="121">
        <v>555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555</v>
      </c>
    </row>
    <row r="482" spans="1:41">
      <c r="A482">
        <v>201903</v>
      </c>
      <c r="B482">
        <v>25</v>
      </c>
      <c r="C482" t="s">
        <v>502</v>
      </c>
      <c r="D482">
        <v>3190073665701</v>
      </c>
      <c r="E482" t="s">
        <v>53</v>
      </c>
      <c r="F482" t="s">
        <v>569</v>
      </c>
      <c r="G482" t="s">
        <v>570</v>
      </c>
      <c r="H482" t="s">
        <v>571</v>
      </c>
      <c r="I482" t="s">
        <v>674</v>
      </c>
      <c r="J482" t="s">
        <v>674</v>
      </c>
      <c r="K482" t="s">
        <v>675</v>
      </c>
      <c r="L482" t="s">
        <v>489</v>
      </c>
      <c r="M482" t="s">
        <v>488</v>
      </c>
      <c r="N482" t="s">
        <v>902</v>
      </c>
      <c r="P482" t="s">
        <v>575</v>
      </c>
      <c r="Q482" t="s">
        <v>620</v>
      </c>
      <c r="R482" t="s">
        <v>1038</v>
      </c>
      <c r="S482">
        <v>20170328</v>
      </c>
      <c r="T482" t="s">
        <v>1062</v>
      </c>
      <c r="X482">
        <v>24</v>
      </c>
      <c r="Y482">
        <v>73000</v>
      </c>
      <c r="AA482" t="s">
        <v>577</v>
      </c>
      <c r="AB482">
        <v>20190225</v>
      </c>
      <c r="AE482">
        <f t="shared" si="7"/>
        <v>0</v>
      </c>
      <c r="AF482">
        <v>0</v>
      </c>
      <c r="AG482">
        <v>0</v>
      </c>
      <c r="AH482">
        <v>0</v>
      </c>
      <c r="AI482" s="121">
        <v>365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365</v>
      </c>
    </row>
    <row r="483" spans="1:41">
      <c r="A483">
        <v>201903</v>
      </c>
      <c r="B483">
        <v>25</v>
      </c>
      <c r="C483" t="s">
        <v>502</v>
      </c>
      <c r="D483">
        <v>3190073880361</v>
      </c>
      <c r="E483" t="s">
        <v>53</v>
      </c>
      <c r="F483" t="s">
        <v>569</v>
      </c>
      <c r="G483" t="s">
        <v>570</v>
      </c>
      <c r="H483" t="s">
        <v>571</v>
      </c>
      <c r="I483" t="s">
        <v>578</v>
      </c>
      <c r="L483" t="s">
        <v>572</v>
      </c>
      <c r="M483" t="s">
        <v>573</v>
      </c>
      <c r="N483" t="s">
        <v>910</v>
      </c>
      <c r="P483" t="s">
        <v>575</v>
      </c>
      <c r="Q483" t="s">
        <v>620</v>
      </c>
      <c r="R483" t="s">
        <v>1011</v>
      </c>
      <c r="S483">
        <v>20170324</v>
      </c>
      <c r="T483" t="s">
        <v>1063</v>
      </c>
      <c r="X483">
        <v>24</v>
      </c>
      <c r="Y483">
        <v>58000</v>
      </c>
      <c r="AA483" t="s">
        <v>577</v>
      </c>
      <c r="AB483">
        <v>20190225</v>
      </c>
      <c r="AE483">
        <f t="shared" si="7"/>
        <v>0</v>
      </c>
      <c r="AF483">
        <v>0</v>
      </c>
      <c r="AG483">
        <v>0</v>
      </c>
      <c r="AH483">
        <v>0</v>
      </c>
      <c r="AI483" s="121">
        <v>435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435</v>
      </c>
    </row>
    <row r="484" spans="1:41">
      <c r="A484">
        <v>201903</v>
      </c>
      <c r="B484">
        <v>25</v>
      </c>
      <c r="C484" t="s">
        <v>502</v>
      </c>
      <c r="D484">
        <v>3190074248571</v>
      </c>
      <c r="E484" t="s">
        <v>53</v>
      </c>
      <c r="F484" t="s">
        <v>569</v>
      </c>
      <c r="G484" t="s">
        <v>570</v>
      </c>
      <c r="H484" t="s">
        <v>571</v>
      </c>
      <c r="I484" t="s">
        <v>674</v>
      </c>
      <c r="L484" t="s">
        <v>491</v>
      </c>
      <c r="M484" t="s">
        <v>490</v>
      </c>
      <c r="N484" t="s">
        <v>907</v>
      </c>
      <c r="P484" t="s">
        <v>575</v>
      </c>
      <c r="Q484" t="s">
        <v>620</v>
      </c>
      <c r="R484" t="s">
        <v>1011</v>
      </c>
      <c r="S484">
        <v>20170328</v>
      </c>
      <c r="T484" t="s">
        <v>1077</v>
      </c>
      <c r="X484">
        <v>24</v>
      </c>
      <c r="Y484">
        <v>58000</v>
      </c>
      <c r="AA484" t="s">
        <v>577</v>
      </c>
      <c r="AB484">
        <v>20190215</v>
      </c>
      <c r="AE484">
        <f t="shared" si="7"/>
        <v>0</v>
      </c>
      <c r="AF484">
        <v>0</v>
      </c>
      <c r="AG484">
        <v>0</v>
      </c>
      <c r="AH484">
        <v>0</v>
      </c>
      <c r="AI484" s="121">
        <v>435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435</v>
      </c>
    </row>
    <row r="485" spans="1:41">
      <c r="A485">
        <v>201903</v>
      </c>
      <c r="B485">
        <v>25</v>
      </c>
      <c r="C485" t="s">
        <v>502</v>
      </c>
      <c r="D485">
        <v>3190075164951</v>
      </c>
      <c r="E485" t="s">
        <v>53</v>
      </c>
      <c r="F485" t="s">
        <v>569</v>
      </c>
      <c r="G485" t="s">
        <v>570</v>
      </c>
      <c r="H485" t="s">
        <v>571</v>
      </c>
      <c r="I485" t="s">
        <v>674</v>
      </c>
      <c r="J485" t="s">
        <v>674</v>
      </c>
      <c r="K485" t="s">
        <v>675</v>
      </c>
      <c r="L485" t="s">
        <v>489</v>
      </c>
      <c r="M485" t="s">
        <v>488</v>
      </c>
      <c r="N485" t="s">
        <v>902</v>
      </c>
      <c r="P485" t="s">
        <v>575</v>
      </c>
      <c r="Q485" t="s">
        <v>620</v>
      </c>
      <c r="R485" t="s">
        <v>1011</v>
      </c>
      <c r="S485">
        <v>20170331</v>
      </c>
      <c r="T485" t="s">
        <v>859</v>
      </c>
      <c r="X485">
        <v>24</v>
      </c>
      <c r="Y485">
        <v>28306</v>
      </c>
      <c r="AA485" t="s">
        <v>577</v>
      </c>
      <c r="AB485">
        <v>20190225</v>
      </c>
      <c r="AE485">
        <f t="shared" si="7"/>
        <v>0</v>
      </c>
      <c r="AF485">
        <v>0</v>
      </c>
      <c r="AG485">
        <v>0</v>
      </c>
      <c r="AH485">
        <v>0</v>
      </c>
      <c r="AI485" s="121">
        <v>212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212</v>
      </c>
    </row>
    <row r="486" spans="1:41">
      <c r="A486">
        <v>201903</v>
      </c>
      <c r="B486">
        <v>25</v>
      </c>
      <c r="C486" t="s">
        <v>502</v>
      </c>
      <c r="D486">
        <v>3190075185421</v>
      </c>
      <c r="E486" t="s">
        <v>53</v>
      </c>
      <c r="F486" t="s">
        <v>569</v>
      </c>
      <c r="G486" t="s">
        <v>570</v>
      </c>
      <c r="H486" t="s">
        <v>571</v>
      </c>
      <c r="I486" t="s">
        <v>633</v>
      </c>
      <c r="L486" t="s">
        <v>641</v>
      </c>
      <c r="M486" t="s">
        <v>642</v>
      </c>
      <c r="N486" t="s">
        <v>921</v>
      </c>
      <c r="P486" t="s">
        <v>575</v>
      </c>
      <c r="Q486" t="s">
        <v>620</v>
      </c>
      <c r="R486" t="s">
        <v>1011</v>
      </c>
      <c r="S486">
        <v>20170331</v>
      </c>
      <c r="T486" t="s">
        <v>1104</v>
      </c>
      <c r="X486">
        <v>24</v>
      </c>
      <c r="Y486">
        <v>94000</v>
      </c>
      <c r="AA486" t="s">
        <v>577</v>
      </c>
      <c r="AB486">
        <v>20190225</v>
      </c>
      <c r="AE486">
        <f t="shared" si="7"/>
        <v>0</v>
      </c>
      <c r="AF486">
        <v>0</v>
      </c>
      <c r="AG486">
        <v>0</v>
      </c>
      <c r="AH486">
        <v>0</v>
      </c>
      <c r="AI486" s="121">
        <v>705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705</v>
      </c>
    </row>
    <row r="487" spans="1:41">
      <c r="A487">
        <v>201903</v>
      </c>
      <c r="B487">
        <v>25</v>
      </c>
      <c r="C487" t="s">
        <v>502</v>
      </c>
      <c r="D487">
        <v>3190075430551</v>
      </c>
      <c r="E487" t="s">
        <v>53</v>
      </c>
      <c r="F487" t="s">
        <v>569</v>
      </c>
      <c r="G487" t="s">
        <v>570</v>
      </c>
      <c r="H487" t="s">
        <v>571</v>
      </c>
      <c r="I487" t="s">
        <v>674</v>
      </c>
      <c r="J487" t="s">
        <v>674</v>
      </c>
      <c r="K487" t="s">
        <v>675</v>
      </c>
      <c r="L487" t="s">
        <v>485</v>
      </c>
      <c r="M487" t="s">
        <v>484</v>
      </c>
      <c r="N487" t="s">
        <v>914</v>
      </c>
      <c r="P487" t="s">
        <v>575</v>
      </c>
      <c r="Q487" t="s">
        <v>620</v>
      </c>
      <c r="R487" t="s">
        <v>1011</v>
      </c>
      <c r="S487">
        <v>20170331</v>
      </c>
      <c r="T487" t="s">
        <v>1115</v>
      </c>
      <c r="X487">
        <v>24</v>
      </c>
      <c r="Y487">
        <v>71000</v>
      </c>
      <c r="AA487" t="s">
        <v>577</v>
      </c>
      <c r="AB487">
        <v>20190225</v>
      </c>
      <c r="AE487">
        <f t="shared" si="7"/>
        <v>0</v>
      </c>
      <c r="AF487">
        <v>0</v>
      </c>
      <c r="AG487">
        <v>0</v>
      </c>
      <c r="AH487">
        <v>0</v>
      </c>
      <c r="AI487" s="121">
        <v>532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532</v>
      </c>
    </row>
    <row r="488" spans="1:41">
      <c r="A488">
        <v>201903</v>
      </c>
      <c r="B488">
        <v>25</v>
      </c>
      <c r="C488" t="s">
        <v>502</v>
      </c>
      <c r="D488">
        <v>3190075920031</v>
      </c>
      <c r="E488" t="s">
        <v>53</v>
      </c>
      <c r="F488" t="s">
        <v>569</v>
      </c>
      <c r="G488" t="s">
        <v>570</v>
      </c>
      <c r="H488" t="s">
        <v>571</v>
      </c>
      <c r="I488" t="s">
        <v>633</v>
      </c>
      <c r="L488" t="s">
        <v>641</v>
      </c>
      <c r="M488" t="s">
        <v>642</v>
      </c>
      <c r="N488" t="s">
        <v>921</v>
      </c>
      <c r="P488" t="s">
        <v>575</v>
      </c>
      <c r="Q488" t="s">
        <v>620</v>
      </c>
      <c r="R488" t="s">
        <v>1011</v>
      </c>
      <c r="S488">
        <v>20170331</v>
      </c>
      <c r="T488" t="s">
        <v>850</v>
      </c>
      <c r="X488">
        <v>24</v>
      </c>
      <c r="Y488">
        <v>48500</v>
      </c>
      <c r="AA488" t="s">
        <v>577</v>
      </c>
      <c r="AB488">
        <v>20190225</v>
      </c>
      <c r="AE488">
        <f t="shared" si="7"/>
        <v>0</v>
      </c>
      <c r="AF488">
        <v>0</v>
      </c>
      <c r="AG488">
        <v>0</v>
      </c>
      <c r="AH488">
        <v>0</v>
      </c>
      <c r="AI488" s="121">
        <v>363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363</v>
      </c>
    </row>
    <row r="489" spans="1:41">
      <c r="A489">
        <v>201903</v>
      </c>
      <c r="B489">
        <v>25</v>
      </c>
      <c r="C489" t="s">
        <v>502</v>
      </c>
      <c r="D489">
        <v>3190076555831</v>
      </c>
      <c r="E489" t="s">
        <v>53</v>
      </c>
      <c r="F489" t="s">
        <v>569</v>
      </c>
      <c r="G489" t="s">
        <v>570</v>
      </c>
      <c r="H489" t="s">
        <v>571</v>
      </c>
      <c r="I489" t="s">
        <v>618</v>
      </c>
      <c r="J489" t="s">
        <v>618</v>
      </c>
      <c r="K489" t="s">
        <v>619</v>
      </c>
      <c r="L489" t="s">
        <v>639</v>
      </c>
      <c r="M489" t="s">
        <v>640</v>
      </c>
      <c r="N489" t="s">
        <v>925</v>
      </c>
      <c r="P489" t="s">
        <v>575</v>
      </c>
      <c r="Q489" t="s">
        <v>699</v>
      </c>
      <c r="R489" t="s">
        <v>1039</v>
      </c>
      <c r="S489">
        <v>20170407</v>
      </c>
      <c r="T489" t="s">
        <v>1040</v>
      </c>
      <c r="V489">
        <v>0</v>
      </c>
      <c r="W489">
        <v>0</v>
      </c>
      <c r="X489">
        <v>23</v>
      </c>
      <c r="Y489">
        <v>30000</v>
      </c>
      <c r="AA489" t="s">
        <v>577</v>
      </c>
      <c r="AB489">
        <v>20190211</v>
      </c>
      <c r="AE489">
        <f t="shared" si="7"/>
        <v>0</v>
      </c>
      <c r="AF489">
        <v>0</v>
      </c>
      <c r="AG489">
        <v>0</v>
      </c>
      <c r="AH489">
        <v>0</v>
      </c>
      <c r="AI489" s="121">
        <v>150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150</v>
      </c>
    </row>
    <row r="490" spans="1:41">
      <c r="A490">
        <v>201903</v>
      </c>
      <c r="B490">
        <v>25</v>
      </c>
      <c r="C490" t="s">
        <v>502</v>
      </c>
      <c r="D490">
        <v>3190076636521</v>
      </c>
      <c r="E490" t="s">
        <v>53</v>
      </c>
      <c r="F490" t="s">
        <v>569</v>
      </c>
      <c r="G490" t="s">
        <v>570</v>
      </c>
      <c r="H490" t="s">
        <v>571</v>
      </c>
      <c r="I490" t="s">
        <v>621</v>
      </c>
      <c r="J490" t="s">
        <v>621</v>
      </c>
      <c r="K490" t="s">
        <v>622</v>
      </c>
      <c r="L490" t="s">
        <v>629</v>
      </c>
      <c r="M490" t="s">
        <v>630</v>
      </c>
      <c r="N490" t="s">
        <v>904</v>
      </c>
      <c r="P490" t="s">
        <v>575</v>
      </c>
      <c r="Q490" t="s">
        <v>620</v>
      </c>
      <c r="R490" t="s">
        <v>1022</v>
      </c>
      <c r="S490">
        <v>20170411</v>
      </c>
      <c r="T490" t="s">
        <v>1041</v>
      </c>
      <c r="V490">
        <v>0</v>
      </c>
      <c r="W490">
        <v>0</v>
      </c>
      <c r="X490">
        <v>23</v>
      </c>
      <c r="Y490">
        <v>43500</v>
      </c>
      <c r="AA490" t="s">
        <v>577</v>
      </c>
      <c r="AB490">
        <v>20190220</v>
      </c>
      <c r="AE490">
        <f t="shared" si="7"/>
        <v>0</v>
      </c>
      <c r="AF490">
        <v>0</v>
      </c>
      <c r="AG490">
        <v>0</v>
      </c>
      <c r="AH490">
        <v>0</v>
      </c>
      <c r="AI490" s="121">
        <v>217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217</v>
      </c>
    </row>
    <row r="491" spans="1:41">
      <c r="A491">
        <v>201903</v>
      </c>
      <c r="B491">
        <v>25</v>
      </c>
      <c r="C491" t="s">
        <v>502</v>
      </c>
      <c r="D491">
        <v>3190077209171</v>
      </c>
      <c r="E491" t="s">
        <v>53</v>
      </c>
      <c r="F491" t="s">
        <v>569</v>
      </c>
      <c r="G491" t="s">
        <v>570</v>
      </c>
      <c r="H491" t="s">
        <v>571</v>
      </c>
      <c r="I491" t="s">
        <v>674</v>
      </c>
      <c r="J491" t="s">
        <v>674</v>
      </c>
      <c r="K491" t="s">
        <v>675</v>
      </c>
      <c r="L491" t="s">
        <v>489</v>
      </c>
      <c r="M491" t="s">
        <v>488</v>
      </c>
      <c r="N491" t="s">
        <v>902</v>
      </c>
      <c r="P491" t="s">
        <v>575</v>
      </c>
      <c r="Q491" t="s">
        <v>620</v>
      </c>
      <c r="R491" t="s">
        <v>1022</v>
      </c>
      <c r="S491">
        <v>20170411</v>
      </c>
      <c r="T491" t="s">
        <v>1049</v>
      </c>
      <c r="V491">
        <v>0</v>
      </c>
      <c r="W491">
        <v>0</v>
      </c>
      <c r="X491">
        <v>23</v>
      </c>
      <c r="Y491">
        <v>52000</v>
      </c>
      <c r="AA491" t="s">
        <v>577</v>
      </c>
      <c r="AB491">
        <v>20190220</v>
      </c>
      <c r="AE491">
        <f t="shared" si="7"/>
        <v>0</v>
      </c>
      <c r="AF491">
        <v>0</v>
      </c>
      <c r="AG491">
        <v>0</v>
      </c>
      <c r="AH491">
        <v>0</v>
      </c>
      <c r="AI491" s="121">
        <v>260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260</v>
      </c>
    </row>
    <row r="492" spans="1:41">
      <c r="A492">
        <v>201903</v>
      </c>
      <c r="B492">
        <v>25</v>
      </c>
      <c r="C492" t="s">
        <v>502</v>
      </c>
      <c r="D492">
        <v>3190077701741</v>
      </c>
      <c r="E492" t="s">
        <v>53</v>
      </c>
      <c r="F492" t="s">
        <v>569</v>
      </c>
      <c r="G492" t="s">
        <v>570</v>
      </c>
      <c r="H492" t="s">
        <v>571</v>
      </c>
      <c r="I492" t="s">
        <v>578</v>
      </c>
      <c r="J492" t="s">
        <v>578</v>
      </c>
      <c r="K492" t="s">
        <v>579</v>
      </c>
      <c r="L492" t="s">
        <v>611</v>
      </c>
      <c r="M492" t="s">
        <v>612</v>
      </c>
      <c r="N492" t="s">
        <v>979</v>
      </c>
      <c r="P492" t="s">
        <v>575</v>
      </c>
      <c r="Q492" t="s">
        <v>620</v>
      </c>
      <c r="R492" t="s">
        <v>1051</v>
      </c>
      <c r="S492">
        <v>20170414</v>
      </c>
      <c r="T492" t="s">
        <v>840</v>
      </c>
      <c r="X492">
        <v>23</v>
      </c>
      <c r="Y492">
        <v>43988</v>
      </c>
      <c r="AA492" t="s">
        <v>577</v>
      </c>
      <c r="AB492">
        <v>20190228</v>
      </c>
      <c r="AE492">
        <f t="shared" si="7"/>
        <v>0</v>
      </c>
      <c r="AF492">
        <v>0</v>
      </c>
      <c r="AG492">
        <v>0</v>
      </c>
      <c r="AH492">
        <v>0</v>
      </c>
      <c r="AI492" s="121">
        <v>657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657</v>
      </c>
    </row>
    <row r="493" spans="1:41">
      <c r="A493">
        <v>201903</v>
      </c>
      <c r="B493">
        <v>25</v>
      </c>
      <c r="C493" t="s">
        <v>502</v>
      </c>
      <c r="D493">
        <v>3190077870121</v>
      </c>
      <c r="E493" t="s">
        <v>53</v>
      </c>
      <c r="F493" t="s">
        <v>569</v>
      </c>
      <c r="G493" t="s">
        <v>570</v>
      </c>
      <c r="H493" t="s">
        <v>571</v>
      </c>
      <c r="I493" t="s">
        <v>674</v>
      </c>
      <c r="J493" t="s">
        <v>674</v>
      </c>
      <c r="K493" t="s">
        <v>675</v>
      </c>
      <c r="L493" t="s">
        <v>489</v>
      </c>
      <c r="M493" t="s">
        <v>488</v>
      </c>
      <c r="N493" t="s">
        <v>902</v>
      </c>
      <c r="P493" t="s">
        <v>575</v>
      </c>
      <c r="Q493" t="s">
        <v>620</v>
      </c>
      <c r="R493" t="s">
        <v>1022</v>
      </c>
      <c r="S493">
        <v>20170419</v>
      </c>
      <c r="T493" t="s">
        <v>889</v>
      </c>
      <c r="X493">
        <v>23</v>
      </c>
      <c r="Y493">
        <v>58000</v>
      </c>
      <c r="AA493" t="s">
        <v>577</v>
      </c>
      <c r="AB493">
        <v>20190215</v>
      </c>
      <c r="AE493">
        <f t="shared" si="7"/>
        <v>0</v>
      </c>
      <c r="AF493">
        <v>0</v>
      </c>
      <c r="AG493">
        <v>0</v>
      </c>
      <c r="AH493">
        <v>0</v>
      </c>
      <c r="AI493" s="121">
        <v>290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290</v>
      </c>
    </row>
    <row r="494" spans="1:41">
      <c r="A494">
        <v>201903</v>
      </c>
      <c r="B494">
        <v>25</v>
      </c>
      <c r="C494" t="s">
        <v>502</v>
      </c>
      <c r="D494">
        <v>3190079275871</v>
      </c>
      <c r="E494" t="s">
        <v>53</v>
      </c>
      <c r="F494" t="s">
        <v>569</v>
      </c>
      <c r="G494" t="s">
        <v>570</v>
      </c>
      <c r="H494" t="s">
        <v>571</v>
      </c>
      <c r="I494" t="s">
        <v>633</v>
      </c>
      <c r="J494" t="s">
        <v>633</v>
      </c>
      <c r="K494" t="s">
        <v>634</v>
      </c>
      <c r="L494" t="s">
        <v>637</v>
      </c>
      <c r="M494" t="s">
        <v>638</v>
      </c>
      <c r="N494" t="s">
        <v>972</v>
      </c>
      <c r="P494" t="s">
        <v>575</v>
      </c>
      <c r="Q494" t="s">
        <v>620</v>
      </c>
      <c r="R494" t="s">
        <v>1022</v>
      </c>
      <c r="S494">
        <v>20170427</v>
      </c>
      <c r="T494" t="s">
        <v>794</v>
      </c>
      <c r="X494">
        <v>23</v>
      </c>
      <c r="Y494">
        <v>38000</v>
      </c>
      <c r="AA494" t="s">
        <v>577</v>
      </c>
      <c r="AB494">
        <v>20190228</v>
      </c>
      <c r="AE494">
        <f t="shared" si="7"/>
        <v>0</v>
      </c>
      <c r="AF494">
        <v>0</v>
      </c>
      <c r="AG494">
        <v>0</v>
      </c>
      <c r="AH494">
        <v>0</v>
      </c>
      <c r="AI494" s="121">
        <v>190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190</v>
      </c>
    </row>
    <row r="495" spans="1:41">
      <c r="A495">
        <v>201903</v>
      </c>
      <c r="B495">
        <v>25</v>
      </c>
      <c r="C495" t="s">
        <v>502</v>
      </c>
      <c r="D495">
        <v>3190080651981</v>
      </c>
      <c r="E495" t="s">
        <v>53</v>
      </c>
      <c r="F495" t="s">
        <v>569</v>
      </c>
      <c r="G495" t="s">
        <v>570</v>
      </c>
      <c r="H495" t="s">
        <v>571</v>
      </c>
      <c r="I495" t="s">
        <v>578</v>
      </c>
      <c r="J495" t="s">
        <v>578</v>
      </c>
      <c r="K495" t="s">
        <v>579</v>
      </c>
      <c r="L495" t="s">
        <v>597</v>
      </c>
      <c r="M495" t="s">
        <v>598</v>
      </c>
      <c r="N495" t="s">
        <v>913</v>
      </c>
      <c r="P495" t="s">
        <v>575</v>
      </c>
      <c r="Q495" t="s">
        <v>620</v>
      </c>
      <c r="R495" t="s">
        <v>1013</v>
      </c>
      <c r="S495">
        <v>20170511</v>
      </c>
      <c r="T495" t="s">
        <v>857</v>
      </c>
      <c r="X495">
        <v>22</v>
      </c>
      <c r="Y495">
        <v>34000</v>
      </c>
      <c r="AA495" t="s">
        <v>577</v>
      </c>
      <c r="AB495">
        <v>20190225</v>
      </c>
      <c r="AE495">
        <f t="shared" si="7"/>
        <v>0</v>
      </c>
      <c r="AF495">
        <v>0</v>
      </c>
      <c r="AG495">
        <v>0</v>
      </c>
      <c r="AH495">
        <v>0</v>
      </c>
      <c r="AI495" s="121">
        <v>255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255</v>
      </c>
    </row>
    <row r="496" spans="1:41">
      <c r="A496">
        <v>201903</v>
      </c>
      <c r="B496">
        <v>25</v>
      </c>
      <c r="C496" t="s">
        <v>502</v>
      </c>
      <c r="D496">
        <v>3190077701741</v>
      </c>
      <c r="E496" t="s">
        <v>53</v>
      </c>
      <c r="F496" t="s">
        <v>569</v>
      </c>
      <c r="G496" t="s">
        <v>570</v>
      </c>
      <c r="H496" t="s">
        <v>571</v>
      </c>
      <c r="I496" t="s">
        <v>578</v>
      </c>
      <c r="J496" t="s">
        <v>578</v>
      </c>
      <c r="K496" t="s">
        <v>579</v>
      </c>
      <c r="L496" t="s">
        <v>611</v>
      </c>
      <c r="M496" t="s">
        <v>612</v>
      </c>
      <c r="N496" t="s">
        <v>979</v>
      </c>
      <c r="P496" t="s">
        <v>575</v>
      </c>
      <c r="Q496" t="s">
        <v>620</v>
      </c>
      <c r="R496" t="s">
        <v>1051</v>
      </c>
      <c r="S496">
        <v>20170414</v>
      </c>
      <c r="T496" t="s">
        <v>840</v>
      </c>
      <c r="X496">
        <v>22</v>
      </c>
      <c r="Y496">
        <v>43988</v>
      </c>
      <c r="AA496" t="s">
        <v>577</v>
      </c>
      <c r="AB496">
        <v>20190228</v>
      </c>
      <c r="AE496">
        <f t="shared" si="7"/>
        <v>0</v>
      </c>
      <c r="AF496">
        <v>0</v>
      </c>
      <c r="AG496">
        <v>0</v>
      </c>
      <c r="AH496">
        <v>0</v>
      </c>
      <c r="AI496" s="121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</row>
    <row r="497" spans="1:41">
      <c r="A497">
        <v>201903</v>
      </c>
      <c r="B497">
        <v>25</v>
      </c>
      <c r="C497" t="s">
        <v>502</v>
      </c>
      <c r="D497">
        <v>3190427026871</v>
      </c>
      <c r="E497" t="s">
        <v>53</v>
      </c>
      <c r="F497" t="s">
        <v>569</v>
      </c>
      <c r="G497" t="s">
        <v>570</v>
      </c>
      <c r="H497" t="s">
        <v>571</v>
      </c>
      <c r="I497" t="s">
        <v>674</v>
      </c>
      <c r="L497" t="s">
        <v>491</v>
      </c>
      <c r="M497" t="s">
        <v>490</v>
      </c>
      <c r="N497" t="s">
        <v>907</v>
      </c>
      <c r="P497" t="s">
        <v>575</v>
      </c>
      <c r="Q497" t="s">
        <v>620</v>
      </c>
      <c r="R497" t="s">
        <v>1007</v>
      </c>
      <c r="S497">
        <v>20180529</v>
      </c>
      <c r="T497" t="s">
        <v>1135</v>
      </c>
      <c r="X497">
        <v>10</v>
      </c>
      <c r="Y497">
        <v>26480</v>
      </c>
      <c r="AA497" t="s">
        <v>577</v>
      </c>
      <c r="AB497">
        <v>20190225</v>
      </c>
      <c r="AE497">
        <f t="shared" si="7"/>
        <v>0</v>
      </c>
      <c r="AF497">
        <v>0</v>
      </c>
      <c r="AG497">
        <v>0</v>
      </c>
      <c r="AH497">
        <v>0</v>
      </c>
      <c r="AI497" s="121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</row>
    <row r="498" spans="1:41">
      <c r="A498">
        <v>201903</v>
      </c>
      <c r="B498">
        <v>25</v>
      </c>
      <c r="C498" t="s">
        <v>502</v>
      </c>
      <c r="D498">
        <v>3190034926251</v>
      </c>
      <c r="E498" t="s">
        <v>53</v>
      </c>
      <c r="F498" t="s">
        <v>569</v>
      </c>
      <c r="G498" t="s">
        <v>570</v>
      </c>
      <c r="H498" t="s">
        <v>571</v>
      </c>
      <c r="I498" t="s">
        <v>618</v>
      </c>
      <c r="J498" t="s">
        <v>618</v>
      </c>
      <c r="K498" t="s">
        <v>619</v>
      </c>
      <c r="L498" t="s">
        <v>689</v>
      </c>
      <c r="M498" t="s">
        <v>690</v>
      </c>
      <c r="N498" t="s">
        <v>988</v>
      </c>
      <c r="P498" t="s">
        <v>575</v>
      </c>
      <c r="Q498" t="s">
        <v>620</v>
      </c>
      <c r="R498" t="s">
        <v>905</v>
      </c>
      <c r="S498">
        <v>20160318</v>
      </c>
      <c r="T498" t="s">
        <v>822</v>
      </c>
      <c r="X498">
        <v>35</v>
      </c>
      <c r="Y498">
        <v>75000</v>
      </c>
      <c r="AA498" t="s">
        <v>577</v>
      </c>
      <c r="AB498">
        <v>20190216</v>
      </c>
      <c r="AE498">
        <f t="shared" si="7"/>
        <v>0</v>
      </c>
      <c r="AF498">
        <v>0</v>
      </c>
      <c r="AG498">
        <v>0</v>
      </c>
      <c r="AH498">
        <v>0</v>
      </c>
      <c r="AI498" s="121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</row>
    <row r="499" spans="1:41">
      <c r="A499">
        <v>201903</v>
      </c>
      <c r="B499">
        <v>25</v>
      </c>
      <c r="C499" t="s">
        <v>502</v>
      </c>
      <c r="D499">
        <v>3190048917641</v>
      </c>
      <c r="E499" t="s">
        <v>53</v>
      </c>
      <c r="F499" t="s">
        <v>569</v>
      </c>
      <c r="G499" t="s">
        <v>570</v>
      </c>
      <c r="H499" t="s">
        <v>571</v>
      </c>
      <c r="I499" t="s">
        <v>674</v>
      </c>
      <c r="J499" t="s">
        <v>674</v>
      </c>
      <c r="K499" t="s">
        <v>675</v>
      </c>
      <c r="L499" t="s">
        <v>489</v>
      </c>
      <c r="M499" t="s">
        <v>488</v>
      </c>
      <c r="N499" t="s">
        <v>902</v>
      </c>
      <c r="P499" t="s">
        <v>575</v>
      </c>
      <c r="Q499" t="s">
        <v>620</v>
      </c>
      <c r="R499" t="s">
        <v>1019</v>
      </c>
      <c r="S499">
        <v>20160725</v>
      </c>
      <c r="T499" t="s">
        <v>1030</v>
      </c>
      <c r="X499">
        <v>31</v>
      </c>
      <c r="Y499">
        <v>23000</v>
      </c>
      <c r="AA499" t="s">
        <v>577</v>
      </c>
      <c r="AB499">
        <v>20190228</v>
      </c>
      <c r="AE499">
        <f t="shared" si="7"/>
        <v>0</v>
      </c>
      <c r="AF499">
        <v>0</v>
      </c>
      <c r="AG499">
        <v>0</v>
      </c>
      <c r="AH499">
        <v>0</v>
      </c>
      <c r="AI499" s="121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</row>
    <row r="500" spans="1:41">
      <c r="A500">
        <v>201903</v>
      </c>
      <c r="B500">
        <v>25</v>
      </c>
      <c r="C500" t="s">
        <v>502</v>
      </c>
      <c r="D500">
        <v>3190051684031</v>
      </c>
      <c r="E500" t="s">
        <v>53</v>
      </c>
      <c r="F500" t="s">
        <v>569</v>
      </c>
      <c r="G500" t="s">
        <v>570</v>
      </c>
      <c r="H500" t="s">
        <v>571</v>
      </c>
      <c r="I500" t="s">
        <v>578</v>
      </c>
      <c r="J500" t="s">
        <v>578</v>
      </c>
      <c r="K500" t="s">
        <v>579</v>
      </c>
      <c r="L500" t="s">
        <v>611</v>
      </c>
      <c r="M500" t="s">
        <v>612</v>
      </c>
      <c r="N500" t="s">
        <v>979</v>
      </c>
      <c r="P500" t="s">
        <v>575</v>
      </c>
      <c r="Q500" t="s">
        <v>620</v>
      </c>
      <c r="R500" t="s">
        <v>1009</v>
      </c>
      <c r="S500">
        <v>20160830</v>
      </c>
      <c r="T500" t="s">
        <v>1150</v>
      </c>
      <c r="X500">
        <v>29</v>
      </c>
      <c r="Y500">
        <v>36104</v>
      </c>
      <c r="AA500" t="s">
        <v>577</v>
      </c>
      <c r="AB500">
        <v>20190228</v>
      </c>
      <c r="AE500">
        <f t="shared" si="7"/>
        <v>0</v>
      </c>
      <c r="AF500">
        <v>0</v>
      </c>
      <c r="AG500">
        <v>0</v>
      </c>
      <c r="AH500">
        <v>0</v>
      </c>
      <c r="AI500" s="121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</row>
    <row r="501" spans="1:41">
      <c r="A501">
        <v>201903</v>
      </c>
      <c r="B501">
        <v>25</v>
      </c>
      <c r="C501" t="s">
        <v>502</v>
      </c>
      <c r="D501">
        <v>3190053678451</v>
      </c>
      <c r="E501" t="s">
        <v>53</v>
      </c>
      <c r="F501" t="s">
        <v>569</v>
      </c>
      <c r="G501" t="s">
        <v>570</v>
      </c>
      <c r="H501" t="s">
        <v>571</v>
      </c>
      <c r="I501" t="s">
        <v>578</v>
      </c>
      <c r="J501" t="s">
        <v>578</v>
      </c>
      <c r="K501" t="s">
        <v>579</v>
      </c>
      <c r="L501" t="s">
        <v>615</v>
      </c>
      <c r="M501" t="s">
        <v>616</v>
      </c>
      <c r="N501" t="s">
        <v>919</v>
      </c>
      <c r="P501" t="s">
        <v>575</v>
      </c>
      <c r="Q501" t="s">
        <v>699</v>
      </c>
      <c r="R501" t="s">
        <v>1012</v>
      </c>
      <c r="S501">
        <v>20160928</v>
      </c>
      <c r="T501" t="s">
        <v>918</v>
      </c>
      <c r="X501">
        <v>29</v>
      </c>
      <c r="Y501">
        <v>30000</v>
      </c>
      <c r="AA501" t="s">
        <v>577</v>
      </c>
      <c r="AB501">
        <v>20190228</v>
      </c>
      <c r="AE501">
        <f t="shared" si="7"/>
        <v>0</v>
      </c>
      <c r="AF501">
        <v>0</v>
      </c>
      <c r="AG501">
        <v>0</v>
      </c>
      <c r="AH501">
        <v>0</v>
      </c>
      <c r="AI501" s="12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</row>
    <row r="502" spans="1:41">
      <c r="A502">
        <v>201903</v>
      </c>
      <c r="B502">
        <v>25</v>
      </c>
      <c r="C502" t="s">
        <v>502</v>
      </c>
      <c r="D502">
        <v>3190062970021</v>
      </c>
      <c r="E502" t="s">
        <v>53</v>
      </c>
      <c r="F502" t="s">
        <v>569</v>
      </c>
      <c r="G502" t="s">
        <v>570</v>
      </c>
      <c r="H502" t="s">
        <v>571</v>
      </c>
      <c r="I502" t="s">
        <v>691</v>
      </c>
      <c r="J502" t="s">
        <v>692</v>
      </c>
      <c r="K502" t="s">
        <v>700</v>
      </c>
      <c r="L502" t="s">
        <v>705</v>
      </c>
      <c r="M502" t="s">
        <v>687</v>
      </c>
      <c r="N502" t="s">
        <v>1227</v>
      </c>
      <c r="P502" t="s">
        <v>575</v>
      </c>
      <c r="Q502" t="s">
        <v>620</v>
      </c>
      <c r="R502" t="s">
        <v>1010</v>
      </c>
      <c r="S502">
        <v>20170117</v>
      </c>
      <c r="T502" t="s">
        <v>822</v>
      </c>
      <c r="X502">
        <v>24</v>
      </c>
      <c r="Y502">
        <v>80400</v>
      </c>
      <c r="AA502" t="s">
        <v>577</v>
      </c>
      <c r="AB502">
        <v>20190228</v>
      </c>
      <c r="AE502">
        <f t="shared" si="7"/>
        <v>0</v>
      </c>
      <c r="AF502">
        <v>0</v>
      </c>
      <c r="AG502">
        <v>0</v>
      </c>
      <c r="AH502">
        <v>0</v>
      </c>
      <c r="AI502" s="121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</row>
    <row r="503" spans="1:41">
      <c r="A503">
        <v>201903</v>
      </c>
      <c r="B503">
        <v>25</v>
      </c>
      <c r="C503" t="s">
        <v>502</v>
      </c>
      <c r="D503">
        <v>3190105595891</v>
      </c>
      <c r="E503" t="s">
        <v>53</v>
      </c>
      <c r="F503" t="s">
        <v>569</v>
      </c>
      <c r="G503" t="s">
        <v>570</v>
      </c>
      <c r="H503" t="s">
        <v>571</v>
      </c>
      <c r="I503" t="s">
        <v>1139</v>
      </c>
      <c r="J503" t="s">
        <v>706</v>
      </c>
      <c r="K503" t="s">
        <v>707</v>
      </c>
      <c r="L503" t="s">
        <v>708</v>
      </c>
      <c r="M503" t="s">
        <v>709</v>
      </c>
      <c r="N503" t="s">
        <v>1024</v>
      </c>
      <c r="P503" t="s">
        <v>575</v>
      </c>
      <c r="Q503" t="s">
        <v>620</v>
      </c>
      <c r="R503" t="s">
        <v>1210</v>
      </c>
      <c r="S503">
        <v>20171107</v>
      </c>
      <c r="T503" t="s">
        <v>1233</v>
      </c>
      <c r="V503">
        <v>0</v>
      </c>
      <c r="W503">
        <v>0</v>
      </c>
      <c r="X503">
        <v>14</v>
      </c>
      <c r="Y503">
        <v>43272</v>
      </c>
      <c r="AA503" t="s">
        <v>577</v>
      </c>
      <c r="AB503">
        <v>20190228</v>
      </c>
      <c r="AE503">
        <f t="shared" si="7"/>
        <v>0</v>
      </c>
      <c r="AF503">
        <v>0</v>
      </c>
      <c r="AG503">
        <v>0</v>
      </c>
      <c r="AH503">
        <v>0</v>
      </c>
      <c r="AI503" s="121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</row>
    <row r="504" spans="1:41">
      <c r="A504">
        <v>201903</v>
      </c>
      <c r="B504">
        <v>25</v>
      </c>
      <c r="C504" t="s">
        <v>502</v>
      </c>
      <c r="D504">
        <v>3190105598791</v>
      </c>
      <c r="E504" t="s">
        <v>53</v>
      </c>
      <c r="F504" t="s">
        <v>569</v>
      </c>
      <c r="G504" t="s">
        <v>570</v>
      </c>
      <c r="H504" t="s">
        <v>571</v>
      </c>
      <c r="I504" t="s">
        <v>1139</v>
      </c>
      <c r="J504" t="s">
        <v>706</v>
      </c>
      <c r="K504" t="s">
        <v>707</v>
      </c>
      <c r="L504" t="s">
        <v>708</v>
      </c>
      <c r="M504" t="s">
        <v>709</v>
      </c>
      <c r="N504" t="s">
        <v>1024</v>
      </c>
      <c r="P504" t="s">
        <v>575</v>
      </c>
      <c r="Q504" t="s">
        <v>620</v>
      </c>
      <c r="R504" t="s">
        <v>1210</v>
      </c>
      <c r="S504">
        <v>20171107</v>
      </c>
      <c r="T504" t="s">
        <v>1233</v>
      </c>
      <c r="V504">
        <v>0</v>
      </c>
      <c r="W504">
        <v>0</v>
      </c>
      <c r="X504">
        <v>14</v>
      </c>
      <c r="Y504">
        <v>52381</v>
      </c>
      <c r="AA504" t="s">
        <v>577</v>
      </c>
      <c r="AB504">
        <v>20190228</v>
      </c>
      <c r="AE504">
        <f t="shared" si="7"/>
        <v>0</v>
      </c>
      <c r="AF504">
        <v>0</v>
      </c>
      <c r="AG504">
        <v>0</v>
      </c>
      <c r="AH504">
        <v>0</v>
      </c>
      <c r="AI504" s="121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</row>
    <row r="505" spans="1:41">
      <c r="A505">
        <v>201903</v>
      </c>
      <c r="B505">
        <v>25</v>
      </c>
      <c r="C505" t="s">
        <v>502</v>
      </c>
      <c r="D505">
        <v>3190105599601</v>
      </c>
      <c r="E505" t="s">
        <v>53</v>
      </c>
      <c r="F505" t="s">
        <v>569</v>
      </c>
      <c r="G505" t="s">
        <v>570</v>
      </c>
      <c r="H505" t="s">
        <v>571</v>
      </c>
      <c r="I505" t="s">
        <v>1139</v>
      </c>
      <c r="J505" t="s">
        <v>706</v>
      </c>
      <c r="K505" t="s">
        <v>707</v>
      </c>
      <c r="L505" t="s">
        <v>708</v>
      </c>
      <c r="M505" t="s">
        <v>709</v>
      </c>
      <c r="N505" t="s">
        <v>1024</v>
      </c>
      <c r="P505" t="s">
        <v>575</v>
      </c>
      <c r="Q505" t="s">
        <v>620</v>
      </c>
      <c r="R505" t="s">
        <v>1013</v>
      </c>
      <c r="S505">
        <v>20171107</v>
      </c>
      <c r="T505" t="s">
        <v>1233</v>
      </c>
      <c r="V505">
        <v>0</v>
      </c>
      <c r="W505">
        <v>0</v>
      </c>
      <c r="X505">
        <v>14</v>
      </c>
      <c r="Y505">
        <v>53710</v>
      </c>
      <c r="AA505" t="s">
        <v>577</v>
      </c>
      <c r="AB505">
        <v>20190228</v>
      </c>
      <c r="AE505">
        <f t="shared" si="7"/>
        <v>0</v>
      </c>
      <c r="AF505">
        <v>0</v>
      </c>
      <c r="AG505">
        <v>0</v>
      </c>
      <c r="AH505">
        <v>0</v>
      </c>
      <c r="AI505" s="121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</row>
    <row r="506" spans="1:41">
      <c r="A506">
        <v>201903</v>
      </c>
      <c r="B506">
        <v>25</v>
      </c>
      <c r="C506" t="s">
        <v>502</v>
      </c>
      <c r="D506">
        <v>3190106087261</v>
      </c>
      <c r="E506" t="s">
        <v>53</v>
      </c>
      <c r="F506" t="s">
        <v>569</v>
      </c>
      <c r="G506" t="s">
        <v>570</v>
      </c>
      <c r="H506" t="s">
        <v>571</v>
      </c>
      <c r="I506" t="s">
        <v>578</v>
      </c>
      <c r="J506" t="s">
        <v>578</v>
      </c>
      <c r="K506" t="s">
        <v>579</v>
      </c>
      <c r="L506" t="s">
        <v>615</v>
      </c>
      <c r="M506" t="s">
        <v>616</v>
      </c>
      <c r="N506" t="s">
        <v>919</v>
      </c>
      <c r="P506" t="s">
        <v>575</v>
      </c>
      <c r="Q506" t="s">
        <v>620</v>
      </c>
      <c r="R506" t="s">
        <v>1014</v>
      </c>
      <c r="S506">
        <v>20171117</v>
      </c>
      <c r="T506" t="s">
        <v>1107</v>
      </c>
      <c r="X506">
        <v>15</v>
      </c>
      <c r="Y506">
        <v>34000</v>
      </c>
      <c r="AA506" t="s">
        <v>577</v>
      </c>
      <c r="AB506">
        <v>20190225</v>
      </c>
      <c r="AE506">
        <f t="shared" si="7"/>
        <v>0</v>
      </c>
      <c r="AF506">
        <v>0</v>
      </c>
      <c r="AG506">
        <v>0</v>
      </c>
      <c r="AH506">
        <v>0</v>
      </c>
      <c r="AI506" s="121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</row>
    <row r="507" spans="1:41">
      <c r="A507">
        <v>201903</v>
      </c>
      <c r="B507">
        <v>25</v>
      </c>
      <c r="C507" t="s">
        <v>502</v>
      </c>
      <c r="D507">
        <v>3190420939031</v>
      </c>
      <c r="E507" t="s">
        <v>53</v>
      </c>
      <c r="F507" t="s">
        <v>569</v>
      </c>
      <c r="G507" t="s">
        <v>570</v>
      </c>
      <c r="H507" t="s">
        <v>571</v>
      </c>
      <c r="I507" t="s">
        <v>578</v>
      </c>
      <c r="J507" t="s">
        <v>578</v>
      </c>
      <c r="K507" t="s">
        <v>579</v>
      </c>
      <c r="L507" t="s">
        <v>583</v>
      </c>
      <c r="M507" t="s">
        <v>584</v>
      </c>
      <c r="N507" t="s">
        <v>1042</v>
      </c>
      <c r="P507" t="s">
        <v>575</v>
      </c>
      <c r="Q507" t="s">
        <v>620</v>
      </c>
      <c r="R507" t="s">
        <v>951</v>
      </c>
      <c r="S507">
        <v>20180424</v>
      </c>
      <c r="T507" t="s">
        <v>846</v>
      </c>
      <c r="X507">
        <v>9</v>
      </c>
      <c r="Y507">
        <v>68000</v>
      </c>
      <c r="AA507" t="s">
        <v>577</v>
      </c>
      <c r="AB507">
        <v>20190211</v>
      </c>
      <c r="AE507">
        <f t="shared" si="7"/>
        <v>0</v>
      </c>
      <c r="AF507">
        <v>0</v>
      </c>
      <c r="AG507">
        <v>0</v>
      </c>
      <c r="AH507">
        <v>0</v>
      </c>
      <c r="AI507" s="121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</row>
    <row r="508" spans="1:41">
      <c r="A508">
        <v>201903</v>
      </c>
      <c r="B508">
        <v>25</v>
      </c>
      <c r="C508" t="s">
        <v>502</v>
      </c>
      <c r="D508">
        <v>3190425392021</v>
      </c>
      <c r="E508" t="s">
        <v>53</v>
      </c>
      <c r="F508" t="s">
        <v>569</v>
      </c>
      <c r="G508" t="s">
        <v>570</v>
      </c>
      <c r="H508" t="s">
        <v>571</v>
      </c>
      <c r="I508" t="s">
        <v>578</v>
      </c>
      <c r="J508" t="s">
        <v>578</v>
      </c>
      <c r="K508" t="s">
        <v>579</v>
      </c>
      <c r="L508" t="s">
        <v>586</v>
      </c>
      <c r="M508" t="s">
        <v>587</v>
      </c>
      <c r="N508" t="s">
        <v>1198</v>
      </c>
      <c r="P508" t="s">
        <v>575</v>
      </c>
      <c r="Q508" t="s">
        <v>620</v>
      </c>
      <c r="R508" t="s">
        <v>961</v>
      </c>
      <c r="S508">
        <v>20180529</v>
      </c>
      <c r="T508" t="s">
        <v>1027</v>
      </c>
      <c r="X508">
        <v>9</v>
      </c>
      <c r="Y508">
        <v>17000</v>
      </c>
      <c r="AA508" t="s">
        <v>577</v>
      </c>
      <c r="AB508">
        <v>20190226</v>
      </c>
      <c r="AE508">
        <f t="shared" si="7"/>
        <v>0</v>
      </c>
      <c r="AF508">
        <v>0</v>
      </c>
      <c r="AG508">
        <v>0</v>
      </c>
      <c r="AH508">
        <v>0</v>
      </c>
      <c r="AI508" s="121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</row>
    <row r="509" spans="1:41">
      <c r="A509">
        <v>201903</v>
      </c>
      <c r="B509">
        <v>25</v>
      </c>
      <c r="C509" t="s">
        <v>502</v>
      </c>
      <c r="D509">
        <v>3190433777151</v>
      </c>
      <c r="E509" t="s">
        <v>53</v>
      </c>
      <c r="F509" t="s">
        <v>569</v>
      </c>
      <c r="G509" t="s">
        <v>570</v>
      </c>
      <c r="H509" t="s">
        <v>571</v>
      </c>
      <c r="I509" t="s">
        <v>578</v>
      </c>
      <c r="J509" t="s">
        <v>578</v>
      </c>
      <c r="K509" t="s">
        <v>579</v>
      </c>
      <c r="L509" t="s">
        <v>586</v>
      </c>
      <c r="M509" t="s">
        <v>587</v>
      </c>
      <c r="N509" t="s">
        <v>1198</v>
      </c>
      <c r="P509" t="s">
        <v>575</v>
      </c>
      <c r="Q509" t="s">
        <v>620</v>
      </c>
      <c r="R509" t="s">
        <v>961</v>
      </c>
      <c r="S509">
        <v>20180703</v>
      </c>
      <c r="T509" t="s">
        <v>1109</v>
      </c>
      <c r="X509">
        <v>7</v>
      </c>
      <c r="Y509">
        <v>24000</v>
      </c>
      <c r="AA509" t="s">
        <v>577</v>
      </c>
      <c r="AB509">
        <v>20190227</v>
      </c>
      <c r="AE509">
        <f t="shared" si="7"/>
        <v>0</v>
      </c>
      <c r="AF509">
        <v>0</v>
      </c>
      <c r="AG509">
        <v>0</v>
      </c>
      <c r="AH509">
        <v>0</v>
      </c>
      <c r="AI509" s="121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</row>
    <row r="510" spans="1:41">
      <c r="A510">
        <v>201903</v>
      </c>
      <c r="B510">
        <v>25</v>
      </c>
      <c r="C510" t="s">
        <v>502</v>
      </c>
      <c r="D510">
        <v>3190444561001</v>
      </c>
      <c r="E510" t="s">
        <v>53</v>
      </c>
      <c r="F510" t="s">
        <v>569</v>
      </c>
      <c r="G510" t="s">
        <v>570</v>
      </c>
      <c r="H510" t="s">
        <v>571</v>
      </c>
      <c r="I510" t="s">
        <v>674</v>
      </c>
      <c r="J510" t="s">
        <v>674</v>
      </c>
      <c r="K510" t="s">
        <v>675</v>
      </c>
      <c r="L510" t="s">
        <v>489</v>
      </c>
      <c r="M510" t="s">
        <v>488</v>
      </c>
      <c r="N510" t="s">
        <v>902</v>
      </c>
      <c r="P510" t="s">
        <v>575</v>
      </c>
      <c r="Q510" t="s">
        <v>620</v>
      </c>
      <c r="R510" t="s">
        <v>961</v>
      </c>
      <c r="S510">
        <v>20180824</v>
      </c>
      <c r="T510" t="s">
        <v>804</v>
      </c>
      <c r="X510">
        <v>6</v>
      </c>
      <c r="Y510">
        <v>27000</v>
      </c>
      <c r="AA510" t="s">
        <v>577</v>
      </c>
      <c r="AB510">
        <v>20190228</v>
      </c>
      <c r="AE510">
        <f t="shared" si="7"/>
        <v>0</v>
      </c>
      <c r="AF510">
        <v>0</v>
      </c>
      <c r="AG510">
        <v>0</v>
      </c>
      <c r="AH510">
        <v>0</v>
      </c>
      <c r="AI510" s="121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</row>
    <row r="511" spans="1:41">
      <c r="A511">
        <v>201903</v>
      </c>
      <c r="B511">
        <v>25</v>
      </c>
      <c r="C511" t="s">
        <v>502</v>
      </c>
      <c r="D511">
        <v>3190445922981</v>
      </c>
      <c r="E511" t="s">
        <v>53</v>
      </c>
      <c r="F511" t="s">
        <v>569</v>
      </c>
      <c r="G511" t="s">
        <v>570</v>
      </c>
      <c r="H511" t="s">
        <v>571</v>
      </c>
      <c r="I511" t="s">
        <v>621</v>
      </c>
      <c r="J511" t="s">
        <v>621</v>
      </c>
      <c r="K511" t="s">
        <v>622</v>
      </c>
      <c r="L511" t="s">
        <v>629</v>
      </c>
      <c r="M511" t="s">
        <v>630</v>
      </c>
      <c r="N511" t="s">
        <v>904</v>
      </c>
      <c r="P511" t="s">
        <v>575</v>
      </c>
      <c r="Q511" t="s">
        <v>620</v>
      </c>
      <c r="R511" t="s">
        <v>952</v>
      </c>
      <c r="S511">
        <v>20180831</v>
      </c>
      <c r="T511" t="s">
        <v>856</v>
      </c>
      <c r="X511">
        <v>6</v>
      </c>
      <c r="Y511">
        <v>36705</v>
      </c>
      <c r="AA511" t="s">
        <v>577</v>
      </c>
      <c r="AB511">
        <v>20190220</v>
      </c>
      <c r="AE511">
        <f t="shared" si="7"/>
        <v>0</v>
      </c>
      <c r="AF511">
        <v>0</v>
      </c>
      <c r="AG511">
        <v>0</v>
      </c>
      <c r="AH511">
        <v>0</v>
      </c>
      <c r="AI511" s="12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</row>
    <row r="512" spans="1:41">
      <c r="A512">
        <v>201903</v>
      </c>
      <c r="B512">
        <v>25</v>
      </c>
      <c r="C512" t="s">
        <v>502</v>
      </c>
      <c r="D512">
        <v>3190448024881</v>
      </c>
      <c r="E512" t="s">
        <v>53</v>
      </c>
      <c r="F512" t="s">
        <v>569</v>
      </c>
      <c r="G512" t="s">
        <v>570</v>
      </c>
      <c r="H512" t="s">
        <v>571</v>
      </c>
      <c r="I512" t="s">
        <v>674</v>
      </c>
      <c r="L512" t="s">
        <v>491</v>
      </c>
      <c r="M512" t="s">
        <v>490</v>
      </c>
      <c r="N512" t="s">
        <v>907</v>
      </c>
      <c r="P512" t="s">
        <v>575</v>
      </c>
      <c r="Q512" t="s">
        <v>620</v>
      </c>
      <c r="R512" t="s">
        <v>968</v>
      </c>
      <c r="S512">
        <v>20180910</v>
      </c>
      <c r="T512" t="s">
        <v>794</v>
      </c>
      <c r="X512">
        <v>5</v>
      </c>
      <c r="Y512">
        <v>114000</v>
      </c>
      <c r="AA512" t="s">
        <v>577</v>
      </c>
      <c r="AB512">
        <v>20190228</v>
      </c>
      <c r="AE512">
        <f t="shared" si="7"/>
        <v>0</v>
      </c>
      <c r="AF512">
        <v>0</v>
      </c>
      <c r="AG512">
        <v>0</v>
      </c>
      <c r="AH512">
        <v>0</v>
      </c>
      <c r="AI512" s="121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</row>
    <row r="513" spans="1:41">
      <c r="A513">
        <v>201903</v>
      </c>
      <c r="B513">
        <v>25</v>
      </c>
      <c r="C513" t="s">
        <v>502</v>
      </c>
      <c r="D513">
        <v>3190466946701</v>
      </c>
      <c r="E513" t="s">
        <v>53</v>
      </c>
      <c r="F513" t="s">
        <v>569</v>
      </c>
      <c r="G513" t="s">
        <v>570</v>
      </c>
      <c r="H513" t="s">
        <v>571</v>
      </c>
      <c r="I513" t="s">
        <v>674</v>
      </c>
      <c r="J513" t="s">
        <v>674</v>
      </c>
      <c r="K513" t="s">
        <v>675</v>
      </c>
      <c r="L513" t="s">
        <v>482</v>
      </c>
      <c r="M513" t="s">
        <v>481</v>
      </c>
      <c r="N513" t="s">
        <v>967</v>
      </c>
      <c r="P513" t="s">
        <v>575</v>
      </c>
      <c r="Q513" t="s">
        <v>620</v>
      </c>
      <c r="R513" t="s">
        <v>952</v>
      </c>
      <c r="S513">
        <v>20181116</v>
      </c>
      <c r="T513" t="s">
        <v>843</v>
      </c>
      <c r="X513">
        <v>3</v>
      </c>
      <c r="Y513">
        <v>154755</v>
      </c>
      <c r="AA513" t="s">
        <v>577</v>
      </c>
      <c r="AB513">
        <v>20190225</v>
      </c>
      <c r="AE513">
        <f t="shared" si="7"/>
        <v>0</v>
      </c>
      <c r="AF513">
        <v>0</v>
      </c>
      <c r="AG513">
        <v>0</v>
      </c>
      <c r="AH513">
        <v>0</v>
      </c>
      <c r="AI513" s="121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</row>
    <row r="514" spans="1:41">
      <c r="A514">
        <v>201903</v>
      </c>
      <c r="B514">
        <v>25</v>
      </c>
      <c r="C514" t="s">
        <v>502</v>
      </c>
      <c r="D514">
        <v>3190470165811</v>
      </c>
      <c r="E514" t="s">
        <v>53</v>
      </c>
      <c r="F514" t="s">
        <v>569</v>
      </c>
      <c r="G514" t="s">
        <v>570</v>
      </c>
      <c r="H514" t="s">
        <v>571</v>
      </c>
      <c r="I514" t="s">
        <v>633</v>
      </c>
      <c r="J514" t="s">
        <v>633</v>
      </c>
      <c r="K514" t="s">
        <v>634</v>
      </c>
      <c r="L514" t="s">
        <v>672</v>
      </c>
      <c r="M514" t="s">
        <v>673</v>
      </c>
      <c r="N514" t="s">
        <v>934</v>
      </c>
      <c r="P514" t="s">
        <v>575</v>
      </c>
      <c r="Q514" t="s">
        <v>620</v>
      </c>
      <c r="R514" t="s">
        <v>1200</v>
      </c>
      <c r="S514">
        <v>20181127</v>
      </c>
      <c r="T514" t="s">
        <v>842</v>
      </c>
      <c r="X514">
        <v>3</v>
      </c>
      <c r="Y514">
        <v>31000</v>
      </c>
      <c r="AA514" t="s">
        <v>577</v>
      </c>
      <c r="AB514">
        <v>20190225</v>
      </c>
      <c r="AE514">
        <f t="shared" si="7"/>
        <v>0</v>
      </c>
      <c r="AF514">
        <v>0</v>
      </c>
      <c r="AG514">
        <v>0</v>
      </c>
      <c r="AH514">
        <v>0</v>
      </c>
      <c r="AI514" s="121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</row>
    <row r="515" spans="1:41">
      <c r="A515">
        <v>201903</v>
      </c>
      <c r="B515">
        <v>25</v>
      </c>
      <c r="C515" t="s">
        <v>502</v>
      </c>
      <c r="D515">
        <v>3190424372181</v>
      </c>
      <c r="E515" t="s">
        <v>53</v>
      </c>
      <c r="F515" t="s">
        <v>569</v>
      </c>
      <c r="G515" t="s">
        <v>570</v>
      </c>
      <c r="H515" t="s">
        <v>571</v>
      </c>
      <c r="I515" t="s">
        <v>578</v>
      </c>
      <c r="J515" t="s">
        <v>578</v>
      </c>
      <c r="K515" t="s">
        <v>579</v>
      </c>
      <c r="L515" t="s">
        <v>724</v>
      </c>
      <c r="M515" t="s">
        <v>725</v>
      </c>
      <c r="N515" t="s">
        <v>1017</v>
      </c>
      <c r="P515" t="s">
        <v>575</v>
      </c>
      <c r="Q515" t="s">
        <v>620</v>
      </c>
      <c r="R515" t="s">
        <v>1007</v>
      </c>
      <c r="S515">
        <v>20180514</v>
      </c>
      <c r="T515" t="s">
        <v>1018</v>
      </c>
      <c r="X515">
        <v>10</v>
      </c>
      <c r="Y515">
        <v>33000</v>
      </c>
      <c r="AA515" t="s">
        <v>577</v>
      </c>
      <c r="AB515">
        <v>20190220</v>
      </c>
      <c r="AE515">
        <f t="shared" ref="AE515:AE525" si="8">AO515-AI515</f>
        <v>19173</v>
      </c>
      <c r="AF515">
        <v>0</v>
      </c>
      <c r="AG515">
        <v>19173</v>
      </c>
      <c r="AH515">
        <v>0</v>
      </c>
      <c r="AI515" s="121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19173</v>
      </c>
    </row>
    <row r="516" spans="1:41">
      <c r="A516">
        <v>201903</v>
      </c>
      <c r="B516">
        <v>25</v>
      </c>
      <c r="C516" t="s">
        <v>502</v>
      </c>
      <c r="D516">
        <v>3190410798511</v>
      </c>
      <c r="E516" t="s">
        <v>53</v>
      </c>
      <c r="F516" t="s">
        <v>569</v>
      </c>
      <c r="G516" t="s">
        <v>570</v>
      </c>
      <c r="H516" t="s">
        <v>571</v>
      </c>
      <c r="I516" t="s">
        <v>578</v>
      </c>
      <c r="J516" t="s">
        <v>578</v>
      </c>
      <c r="K516" t="s">
        <v>579</v>
      </c>
      <c r="L516" t="s">
        <v>597</v>
      </c>
      <c r="M516" t="s">
        <v>598</v>
      </c>
      <c r="N516" t="s">
        <v>913</v>
      </c>
      <c r="P516" t="s">
        <v>575</v>
      </c>
      <c r="Q516" t="s">
        <v>620</v>
      </c>
      <c r="R516" t="s">
        <v>1051</v>
      </c>
      <c r="S516">
        <v>20180307</v>
      </c>
      <c r="T516" t="s">
        <v>977</v>
      </c>
      <c r="X516">
        <v>12</v>
      </c>
      <c r="Y516">
        <v>22683</v>
      </c>
      <c r="AA516" t="s">
        <v>577</v>
      </c>
      <c r="AB516">
        <v>20190225</v>
      </c>
      <c r="AE516">
        <f t="shared" si="8"/>
        <v>15560</v>
      </c>
      <c r="AF516">
        <v>0</v>
      </c>
      <c r="AG516">
        <v>15560</v>
      </c>
      <c r="AH516">
        <v>0</v>
      </c>
      <c r="AI516" s="121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15560</v>
      </c>
    </row>
    <row r="517" spans="1:41">
      <c r="A517">
        <v>201903</v>
      </c>
      <c r="B517">
        <v>25</v>
      </c>
      <c r="C517" t="s">
        <v>502</v>
      </c>
      <c r="D517">
        <v>3190411969451</v>
      </c>
      <c r="E517" t="s">
        <v>53</v>
      </c>
      <c r="F517" t="s">
        <v>569</v>
      </c>
      <c r="G517" t="s">
        <v>570</v>
      </c>
      <c r="H517" t="s">
        <v>571</v>
      </c>
      <c r="I517" t="s">
        <v>618</v>
      </c>
      <c r="J517" t="s">
        <v>618</v>
      </c>
      <c r="K517" t="s">
        <v>619</v>
      </c>
      <c r="L517" t="s">
        <v>644</v>
      </c>
      <c r="M517" t="s">
        <v>645</v>
      </c>
      <c r="N517" t="s">
        <v>1127</v>
      </c>
      <c r="P517" t="s">
        <v>575</v>
      </c>
      <c r="Q517" t="s">
        <v>699</v>
      </c>
      <c r="R517" t="s">
        <v>1128</v>
      </c>
      <c r="S517">
        <v>20180313</v>
      </c>
      <c r="T517" t="s">
        <v>1129</v>
      </c>
      <c r="X517">
        <v>12</v>
      </c>
      <c r="Y517">
        <v>30000</v>
      </c>
      <c r="AA517" t="s">
        <v>577</v>
      </c>
      <c r="AB517">
        <v>20190225</v>
      </c>
      <c r="AE517">
        <f t="shared" si="8"/>
        <v>17336</v>
      </c>
      <c r="AF517">
        <v>0</v>
      </c>
      <c r="AG517">
        <v>17336</v>
      </c>
      <c r="AH517">
        <v>0</v>
      </c>
      <c r="AI517" s="121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17336</v>
      </c>
    </row>
    <row r="518" spans="1:41">
      <c r="A518">
        <v>201903</v>
      </c>
      <c r="B518">
        <v>25</v>
      </c>
      <c r="C518" t="s">
        <v>502</v>
      </c>
      <c r="D518">
        <v>3190414000771</v>
      </c>
      <c r="E518" t="s">
        <v>53</v>
      </c>
      <c r="F518" t="s">
        <v>569</v>
      </c>
      <c r="G518" t="s">
        <v>570</v>
      </c>
      <c r="H518" t="s">
        <v>571</v>
      </c>
      <c r="I518" t="s">
        <v>646</v>
      </c>
      <c r="L518" t="s">
        <v>677</v>
      </c>
      <c r="M518" t="s">
        <v>678</v>
      </c>
      <c r="N518" t="s">
        <v>938</v>
      </c>
      <c r="P518" t="s">
        <v>575</v>
      </c>
      <c r="Q518" t="s">
        <v>620</v>
      </c>
      <c r="R518" t="s">
        <v>1134</v>
      </c>
      <c r="S518">
        <v>20180326</v>
      </c>
      <c r="T518" t="s">
        <v>977</v>
      </c>
      <c r="X518">
        <v>12</v>
      </c>
      <c r="Y518">
        <v>23000</v>
      </c>
      <c r="AA518" t="s">
        <v>577</v>
      </c>
      <c r="AB518">
        <v>20190215</v>
      </c>
      <c r="AE518">
        <f t="shared" si="8"/>
        <v>18515</v>
      </c>
      <c r="AF518">
        <v>0</v>
      </c>
      <c r="AG518">
        <v>18515</v>
      </c>
      <c r="AH518">
        <v>0</v>
      </c>
      <c r="AI518" s="121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18515</v>
      </c>
    </row>
    <row r="519" spans="1:41">
      <c r="A519">
        <v>201903</v>
      </c>
      <c r="B519">
        <v>25</v>
      </c>
      <c r="C519" t="s">
        <v>502</v>
      </c>
      <c r="D519">
        <v>3190419621291</v>
      </c>
      <c r="E519" t="s">
        <v>53</v>
      </c>
      <c r="F519" t="s">
        <v>569</v>
      </c>
      <c r="G519" t="s">
        <v>570</v>
      </c>
      <c r="H519" t="s">
        <v>571</v>
      </c>
      <c r="I519" t="s">
        <v>578</v>
      </c>
      <c r="J519" t="s">
        <v>578</v>
      </c>
      <c r="K519" t="s">
        <v>579</v>
      </c>
      <c r="L519" t="s">
        <v>586</v>
      </c>
      <c r="M519" t="s">
        <v>587</v>
      </c>
      <c r="N519" t="s">
        <v>1198</v>
      </c>
      <c r="P519" t="s">
        <v>575</v>
      </c>
      <c r="Q519" t="s">
        <v>620</v>
      </c>
      <c r="R519" t="s">
        <v>961</v>
      </c>
      <c r="S519">
        <v>20180424</v>
      </c>
      <c r="T519" t="s">
        <v>821</v>
      </c>
      <c r="X519">
        <v>11</v>
      </c>
      <c r="Y519">
        <v>11000</v>
      </c>
      <c r="AA519" t="s">
        <v>577</v>
      </c>
      <c r="AB519">
        <v>20190225</v>
      </c>
      <c r="AE519">
        <f t="shared" si="8"/>
        <v>8932</v>
      </c>
      <c r="AF519">
        <v>0</v>
      </c>
      <c r="AG519">
        <v>8932</v>
      </c>
      <c r="AH519">
        <v>0</v>
      </c>
      <c r="AI519" s="121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8932</v>
      </c>
    </row>
    <row r="520" spans="1:41">
      <c r="A520">
        <v>201903</v>
      </c>
      <c r="B520">
        <v>25</v>
      </c>
      <c r="C520" t="s">
        <v>502</v>
      </c>
      <c r="D520">
        <v>3190422642781</v>
      </c>
      <c r="E520" t="s">
        <v>53</v>
      </c>
      <c r="F520" t="s">
        <v>569</v>
      </c>
      <c r="G520" t="s">
        <v>570</v>
      </c>
      <c r="H520" t="s">
        <v>571</v>
      </c>
      <c r="I520" t="s">
        <v>578</v>
      </c>
      <c r="J520" t="s">
        <v>578</v>
      </c>
      <c r="K520" t="s">
        <v>579</v>
      </c>
      <c r="L520" t="s">
        <v>586</v>
      </c>
      <c r="M520" t="s">
        <v>587</v>
      </c>
      <c r="N520" t="s">
        <v>1198</v>
      </c>
      <c r="P520" t="s">
        <v>575</v>
      </c>
      <c r="Q520" t="s">
        <v>620</v>
      </c>
      <c r="R520" t="s">
        <v>961</v>
      </c>
      <c r="S520">
        <v>20180510</v>
      </c>
      <c r="T520" t="s">
        <v>1108</v>
      </c>
      <c r="X520">
        <v>10</v>
      </c>
      <c r="Y520">
        <v>18000</v>
      </c>
      <c r="AA520" t="s">
        <v>577</v>
      </c>
      <c r="AB520">
        <v>20190215</v>
      </c>
      <c r="AE520">
        <f t="shared" si="8"/>
        <v>14616</v>
      </c>
      <c r="AF520">
        <v>0</v>
      </c>
      <c r="AG520">
        <v>14616</v>
      </c>
      <c r="AH520">
        <v>0</v>
      </c>
      <c r="AI520" s="121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14616</v>
      </c>
    </row>
    <row r="521" spans="1:41">
      <c r="A521">
        <v>201903</v>
      </c>
      <c r="B521">
        <v>25</v>
      </c>
      <c r="C521" t="s">
        <v>502</v>
      </c>
      <c r="D521">
        <v>3190424380931</v>
      </c>
      <c r="E521" t="s">
        <v>53</v>
      </c>
      <c r="F521" t="s">
        <v>569</v>
      </c>
      <c r="G521" t="s">
        <v>570</v>
      </c>
      <c r="H521" t="s">
        <v>571</v>
      </c>
      <c r="I521" t="s">
        <v>578</v>
      </c>
      <c r="J521" t="s">
        <v>578</v>
      </c>
      <c r="K521" t="s">
        <v>579</v>
      </c>
      <c r="L521" t="s">
        <v>609</v>
      </c>
      <c r="M521" t="s">
        <v>610</v>
      </c>
      <c r="N521" t="s">
        <v>945</v>
      </c>
      <c r="P521" t="s">
        <v>575</v>
      </c>
      <c r="Q521" t="s">
        <v>620</v>
      </c>
      <c r="R521" t="s">
        <v>1007</v>
      </c>
      <c r="S521">
        <v>20180511</v>
      </c>
      <c r="T521" t="s">
        <v>837</v>
      </c>
      <c r="X521">
        <v>9</v>
      </c>
      <c r="Y521">
        <v>50000</v>
      </c>
      <c r="AA521" t="s">
        <v>577</v>
      </c>
      <c r="AB521">
        <v>20190228</v>
      </c>
      <c r="AE521">
        <f t="shared" si="8"/>
        <v>29050</v>
      </c>
      <c r="AF521">
        <v>0</v>
      </c>
      <c r="AG521">
        <v>29050</v>
      </c>
      <c r="AH521">
        <v>0</v>
      </c>
      <c r="AI521" s="1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29050</v>
      </c>
    </row>
    <row r="522" spans="1:41">
      <c r="A522">
        <v>201903</v>
      </c>
      <c r="B522">
        <v>25</v>
      </c>
      <c r="C522" t="s">
        <v>502</v>
      </c>
      <c r="D522">
        <v>3190426766411</v>
      </c>
      <c r="E522" t="s">
        <v>53</v>
      </c>
      <c r="F522" t="s">
        <v>569</v>
      </c>
      <c r="G522" t="s">
        <v>570</v>
      </c>
      <c r="H522" t="s">
        <v>571</v>
      </c>
      <c r="I522" t="s">
        <v>633</v>
      </c>
      <c r="L522" t="s">
        <v>641</v>
      </c>
      <c r="M522" t="s">
        <v>642</v>
      </c>
      <c r="N522" t="s">
        <v>921</v>
      </c>
      <c r="P522" t="s">
        <v>575</v>
      </c>
      <c r="Q522" t="s">
        <v>699</v>
      </c>
      <c r="R522" t="s">
        <v>974</v>
      </c>
      <c r="S522">
        <v>20180528</v>
      </c>
      <c r="T522" t="s">
        <v>999</v>
      </c>
      <c r="X522">
        <v>8</v>
      </c>
      <c r="Y522">
        <v>20000</v>
      </c>
      <c r="AA522" t="s">
        <v>577</v>
      </c>
      <c r="AB522">
        <v>20190228</v>
      </c>
      <c r="AE522">
        <f t="shared" si="8"/>
        <v>11620</v>
      </c>
      <c r="AF522">
        <v>0</v>
      </c>
      <c r="AG522">
        <v>11620</v>
      </c>
      <c r="AH522">
        <v>0</v>
      </c>
      <c r="AI522" s="121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11620</v>
      </c>
    </row>
    <row r="523" spans="1:41">
      <c r="A523">
        <v>201903</v>
      </c>
      <c r="B523">
        <v>25</v>
      </c>
      <c r="C523" t="s">
        <v>502</v>
      </c>
      <c r="D523">
        <v>3190429859821</v>
      </c>
      <c r="E523" t="s">
        <v>53</v>
      </c>
      <c r="F523" t="s">
        <v>569</v>
      </c>
      <c r="G523" t="s">
        <v>570</v>
      </c>
      <c r="H523" t="s">
        <v>571</v>
      </c>
      <c r="I523" t="s">
        <v>578</v>
      </c>
      <c r="J523" t="s">
        <v>578</v>
      </c>
      <c r="K523" t="s">
        <v>579</v>
      </c>
      <c r="L523" t="s">
        <v>597</v>
      </c>
      <c r="M523" t="s">
        <v>598</v>
      </c>
      <c r="N523" t="s">
        <v>913</v>
      </c>
      <c r="P523" t="s">
        <v>575</v>
      </c>
      <c r="Q523" t="s">
        <v>620</v>
      </c>
      <c r="R523" t="s">
        <v>1074</v>
      </c>
      <c r="S523">
        <v>20180612</v>
      </c>
      <c r="T523" t="s">
        <v>1075</v>
      </c>
      <c r="X523">
        <v>9</v>
      </c>
      <c r="Y523">
        <v>52000</v>
      </c>
      <c r="AA523" t="s">
        <v>577</v>
      </c>
      <c r="AB523">
        <v>20190225</v>
      </c>
      <c r="AE523">
        <f t="shared" si="8"/>
        <v>39793</v>
      </c>
      <c r="AF523">
        <v>0</v>
      </c>
      <c r="AG523">
        <v>39793</v>
      </c>
      <c r="AH523">
        <v>0</v>
      </c>
      <c r="AI523" s="121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39793</v>
      </c>
    </row>
    <row r="524" spans="1:41">
      <c r="A524">
        <v>201903</v>
      </c>
      <c r="B524">
        <v>25</v>
      </c>
      <c r="C524" t="s">
        <v>502</v>
      </c>
      <c r="D524">
        <v>3190487718701</v>
      </c>
      <c r="E524" t="s">
        <v>53</v>
      </c>
      <c r="F524" t="s">
        <v>662</v>
      </c>
      <c r="G524" t="s">
        <v>570</v>
      </c>
      <c r="H524" t="s">
        <v>571</v>
      </c>
      <c r="I524" t="s">
        <v>633</v>
      </c>
      <c r="L524" t="s">
        <v>641</v>
      </c>
      <c r="M524" t="s">
        <v>642</v>
      </c>
      <c r="N524" t="s">
        <v>921</v>
      </c>
      <c r="P524" t="s">
        <v>663</v>
      </c>
      <c r="Q524" t="s">
        <v>620</v>
      </c>
      <c r="R524" t="s">
        <v>957</v>
      </c>
      <c r="S524">
        <v>20190201</v>
      </c>
      <c r="T524" t="s">
        <v>884</v>
      </c>
      <c r="X524">
        <v>1</v>
      </c>
      <c r="Y524">
        <v>47999</v>
      </c>
      <c r="Z524">
        <v>113278</v>
      </c>
      <c r="AA524" t="s">
        <v>577</v>
      </c>
      <c r="AB524">
        <v>20190201</v>
      </c>
      <c r="AE524">
        <f t="shared" si="8"/>
        <v>243547</v>
      </c>
      <c r="AF524">
        <v>243547</v>
      </c>
      <c r="AG524">
        <v>0</v>
      </c>
      <c r="AH524">
        <v>0</v>
      </c>
      <c r="AI524" s="121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243547</v>
      </c>
    </row>
    <row r="525" spans="1:41">
      <c r="A525">
        <v>201903</v>
      </c>
      <c r="B525">
        <v>25</v>
      </c>
      <c r="C525" t="s">
        <v>502</v>
      </c>
      <c r="D525">
        <v>3190489092591</v>
      </c>
      <c r="E525" t="s">
        <v>53</v>
      </c>
      <c r="F525" t="s">
        <v>662</v>
      </c>
      <c r="G525" t="s">
        <v>570</v>
      </c>
      <c r="H525" t="s">
        <v>571</v>
      </c>
      <c r="I525" t="s">
        <v>633</v>
      </c>
      <c r="L525" t="s">
        <v>641</v>
      </c>
      <c r="M525" t="s">
        <v>642</v>
      </c>
      <c r="N525" t="s">
        <v>921</v>
      </c>
      <c r="P525" t="s">
        <v>663</v>
      </c>
      <c r="Q525" t="s">
        <v>620</v>
      </c>
      <c r="R525" t="s">
        <v>957</v>
      </c>
      <c r="S525">
        <v>20190208</v>
      </c>
      <c r="T525" t="s">
        <v>833</v>
      </c>
      <c r="X525">
        <v>1</v>
      </c>
      <c r="Y525">
        <v>113209</v>
      </c>
      <c r="Z525">
        <v>267173</v>
      </c>
      <c r="AA525" t="s">
        <v>577</v>
      </c>
      <c r="AB525">
        <v>20190208</v>
      </c>
      <c r="AE525">
        <f t="shared" si="8"/>
        <v>574421</v>
      </c>
      <c r="AF525">
        <v>574421</v>
      </c>
      <c r="AG525">
        <v>0</v>
      </c>
      <c r="AH525">
        <v>0</v>
      </c>
      <c r="AI525" s="121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574421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29</vt:i4>
      </vt:variant>
    </vt:vector>
  </HeadingPairs>
  <TitlesOfParts>
    <vt:vector size="36" baseType="lpstr">
      <vt:lpstr>Guide</vt:lpstr>
      <vt:lpstr>수수료작업</vt:lpstr>
      <vt:lpstr>파일정보</vt:lpstr>
      <vt:lpstr>시트명변경</vt:lpstr>
      <vt:lpstr>데이터가져오기</vt:lpstr>
      <vt:lpstr>TEMP</vt:lpstr>
      <vt:lpstr>TempSht</vt:lpstr>
      <vt:lpstr>TEMP!Extract</vt:lpstr>
      <vt:lpstr>가온_피스토스_필터</vt:lpstr>
      <vt:lpstr>대상2</vt:lpstr>
      <vt:lpstr>대상년월</vt:lpstr>
      <vt:lpstr>대상작업</vt:lpstr>
      <vt:lpstr>박종철지급율</vt:lpstr>
      <vt:lpstr>박종철필터</vt:lpstr>
      <vt:lpstr>사원수수료컬럼명</vt:lpstr>
      <vt:lpstr>시작점</vt:lpstr>
      <vt:lpstr>실손필터</vt:lpstr>
      <vt:lpstr>씨티엠필터</vt:lpstr>
      <vt:lpstr>여주레전드초회필터</vt:lpstr>
      <vt:lpstr>여주레전드필터</vt:lpstr>
      <vt:lpstr>원장작업시트</vt:lpstr>
      <vt:lpstr>원장정산율</vt:lpstr>
      <vt:lpstr>원장지점필터</vt:lpstr>
      <vt:lpstr>원장필터</vt:lpstr>
      <vt:lpstr>자동차일반</vt:lpstr>
      <vt:lpstr>작업정보</vt:lpstr>
      <vt:lpstr>재물필터</vt:lpstr>
      <vt:lpstr>지점초회필터</vt:lpstr>
      <vt:lpstr>지점필터</vt:lpstr>
      <vt:lpstr>팀필터</vt:lpstr>
      <vt:lpstr>피스토스환수</vt:lpstr>
      <vt:lpstr>피스토스환수율</vt:lpstr>
      <vt:lpstr>필터조건명</vt:lpstr>
      <vt:lpstr>환수결과파일명</vt:lpstr>
      <vt:lpstr>환수대상컬럼</vt:lpstr>
      <vt:lpstr>환수대상필터</vt:lpstr>
    </vt:vector>
  </TitlesOfParts>
  <Company>win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</dc:creator>
  <cp:lastModifiedBy>hkc cloud01</cp:lastModifiedBy>
  <cp:lastPrinted>2020-05-24T00:23:38Z</cp:lastPrinted>
  <dcterms:created xsi:type="dcterms:W3CDTF">2017-12-14T07:46:07Z</dcterms:created>
  <dcterms:modified xsi:type="dcterms:W3CDTF">2021-09-24T07:29:51Z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b05cd796-7621-4b38-9e22-6a1d4a2ff226</vt:lpwstr>
  </property>
</Properties>
</file>