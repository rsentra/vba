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글로벌백업(180329)\77.EXCEL\My VBA\"/>
    </mc:Choice>
  </mc:AlternateContent>
  <bookViews>
    <workbookView xWindow="-108" yWindow="-108" windowWidth="23256" windowHeight="12576" activeTab="1"/>
  </bookViews>
  <sheets>
    <sheet name="안내" sheetId="11" r:id="rId1"/>
    <sheet name="정산작업" sheetId="10" r:id="rId2"/>
    <sheet name="파일정보" sheetId="7" r:id="rId3"/>
    <sheet name="지점손익" sheetId="12" state="hidden" r:id="rId4"/>
    <sheet name="메트로,씨티" sheetId="13" r:id="rId5"/>
    <sheet name="월별정산사원" sheetId="15" r:id="rId6"/>
    <sheet name="Sheet1" sheetId="14" r:id="rId7"/>
    <sheet name="Sheet3" sheetId="17" r:id="rId8"/>
    <sheet name="Sheet2" sheetId="18" r:id="rId9"/>
  </sheets>
  <functionGroups builtInGroupCount="18"/>
  <externalReferences>
    <externalReference r:id="rId10"/>
  </externalReferences>
  <definedNames>
    <definedName name="_xlnm._FilterDatabase" localSheetId="7" hidden="1">Sheet3!$A$1:$B$5</definedName>
    <definedName name="_xlnm._FilterDatabase" localSheetId="4" hidden="1">'메트로,씨티'!#REF!</definedName>
    <definedName name="OR수수료">OFFSET(정산작업!$B$20,0,0,COUNTA(정산작업!$B$20:$B$30),5)</definedName>
    <definedName name="ss">파일정보!$F$51,파일정보!$F$53</definedName>
    <definedName name="공동정산대상">정산작업!$AC$4</definedName>
    <definedName name="공동정산필터">정산작업!$AB$5:$AC$25</definedName>
    <definedName name="글래드명">'메트로,씨티'!$L$11:$L$12</definedName>
    <definedName name="기준색">정산작업!$W$6</definedName>
    <definedName name="대상월">정산작업!$B$5</definedName>
    <definedName name="메트로HL전월정산">'메트로,씨티'!$A$20:$E$20</definedName>
    <definedName name="메트로원장필터">'메트로,씨티'!$N$11:$Q$25</definedName>
    <definedName name="메트로필터">'메트로,씨티'!$K$11:$K$13</definedName>
    <definedName name="법인행번호">'메트로,씨티'!$K$21</definedName>
    <definedName name="사원변환">OFFSET(정산작업!$P$7,0,0,COUNTA(정산작업!$P$7:$P$36),3)</definedName>
    <definedName name="사원행번호">'메트로,씨티'!$L$21</definedName>
    <definedName name="승격공로금">정산작업!$C$49</definedName>
    <definedName name="승격분담금">정산작업!$C$48</definedName>
    <definedName name="시상파일명">'메트로,씨티'!$A$15:$D$15</definedName>
    <definedName name="씨티엠원장필터">OFFSET('메트로,씨티'!$N$6,0,0,COUNTA('메트로,씨티'!$N$6:$N$8),3)</definedName>
    <definedName name="씨티엠지점전월정산">'메트로,씨티'!$A$21:$E$21</definedName>
    <definedName name="씨티엠필터">'메트로,씨티'!$K$6:$K$7</definedName>
    <definedName name="여주원장필터">OFFSET('메트로,씨티'!$N$29,0,0,COUNTA('메트로,씨티'!$N$29:$N$31),3)</definedName>
    <definedName name="여주지점전월정산">'메트로,씨티'!$A$22:$E$22</definedName>
    <definedName name="원장정산">정산작업!$B$10:$F$15</definedName>
    <definedName name="원장파일명">'메트로,씨티'!$A$17:$E$18</definedName>
    <definedName name="원장필터">정산작업!$U$6:$U$7</definedName>
    <definedName name="작업대상지점2">'메트로,씨티'!$B$5</definedName>
    <definedName name="지점변환">OFFSET(정산작업!$I$7,0,0,COUNTA(정산작업!$I$7:$I$52)+1,2)</definedName>
    <definedName name="총괄분담금">정산작업!$C$47</definedName>
    <definedName name="총괄분담금2">정산작업!$C$50</definedName>
    <definedName name="추가정산">OFFSET(정산작업!$B$41,0,0,COUNTA(정산작업!$B$41:$B$44),5)</definedName>
    <definedName name="팀변환">OFFSET(정산작업!$L$7,0,0,COUNTA(정산작업!$L$7:$L$22),3)</definedName>
    <definedName name="파일1년월">OFFSET(파일정보!$A$3,0,0,COUNTA(파일정보!$A$3:$A$27),1)</definedName>
    <definedName name="파일1정보">OFFSET(파일정보!$A$3,0,0,COUNTA(파일정보!$A$3:$A$27),6)</definedName>
    <definedName name="파일2정보">OFFSET(파일정보!$A$32,0,0,COUNTA(파일정보!$A$32:$A$49),7)</definedName>
    <definedName name="피스토스수금">정산작업!$B$35:$F$37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" i="10" l="1"/>
  <c r="H14" i="10" l="1"/>
  <c r="H15" i="10"/>
  <c r="AC5" i="10" l="1"/>
  <c r="AB15" i="10" l="1"/>
  <c r="H13" i="10" l="1"/>
  <c r="H12" i="10" l="1"/>
  <c r="H11" i="10"/>
  <c r="L21" i="13" l="1"/>
  <c r="K21" i="13"/>
  <c r="A17" i="13" l="1"/>
  <c r="C17" i="13" s="1"/>
  <c r="B7" i="13"/>
  <c r="C20" i="13" l="1"/>
  <c r="C22" i="13"/>
  <c r="C21" i="13"/>
  <c r="D17" i="13"/>
  <c r="D22" i="13"/>
  <c r="D21" i="13"/>
  <c r="D20" i="13"/>
  <c r="A18" i="13"/>
  <c r="A15" i="13"/>
  <c r="C15" i="13" s="1"/>
  <c r="B4" i="13"/>
  <c r="D18" i="13" l="1"/>
  <c r="C18" i="13"/>
  <c r="D15" i="13"/>
  <c r="K36" i="7" l="1"/>
  <c r="K37" i="7" s="1"/>
  <c r="I36" i="7"/>
  <c r="L36" i="7" s="1"/>
  <c r="I37" i="7" l="1"/>
  <c r="L37" i="7" s="1"/>
  <c r="D6" i="12"/>
  <c r="D3" i="12" l="1"/>
  <c r="A32" i="7" l="1"/>
  <c r="D32" i="7" l="1"/>
  <c r="C32" i="7"/>
  <c r="C33" i="7" l="1"/>
  <c r="A33" i="7"/>
  <c r="A34" i="7" l="1"/>
  <c r="D34" i="7" s="1"/>
  <c r="C34" i="7"/>
  <c r="D33" i="7"/>
  <c r="C35" i="7" l="1"/>
  <c r="C37" i="7"/>
  <c r="D35" i="7"/>
  <c r="D38" i="7" s="1"/>
  <c r="D37" i="7"/>
  <c r="A35" i="7"/>
  <c r="A37" i="7"/>
  <c r="D36" i="7" l="1"/>
  <c r="D39" i="7" s="1"/>
  <c r="A36" i="7"/>
  <c r="A39" i="7" s="1"/>
  <c r="A40" i="7" s="1"/>
  <c r="A41" i="7" s="1"/>
  <c r="A42" i="7" s="1"/>
  <c r="D42" i="7" s="1"/>
  <c r="A38" i="7"/>
  <c r="C36" i="7"/>
  <c r="C39" i="7" s="1"/>
  <c r="C40" i="7" s="1"/>
  <c r="C41" i="7" s="1"/>
  <c r="C38" i="7"/>
  <c r="D41" i="7" l="1"/>
  <c r="A45" i="7"/>
  <c r="C43" i="7"/>
  <c r="A43" i="7"/>
  <c r="D40" i="7"/>
  <c r="A46" i="7" l="1"/>
  <c r="D46" i="7" s="1"/>
  <c r="D43" i="7"/>
  <c r="C45" i="7"/>
  <c r="C48" i="7" s="1"/>
  <c r="C42" i="7"/>
  <c r="D45" i="7"/>
  <c r="A48" i="7"/>
  <c r="D48" i="7" s="1"/>
  <c r="C44" i="7"/>
  <c r="C47" i="7" s="1"/>
  <c r="C46" i="7"/>
  <c r="A44" i="7"/>
  <c r="D44" i="7" s="1"/>
  <c r="A47" i="7" l="1"/>
  <c r="D47" i="7" s="1"/>
</calcChain>
</file>

<file path=xl/comments1.xml><?xml version="1.0" encoding="utf-8"?>
<comments xmlns="http://schemas.openxmlformats.org/spreadsheetml/2006/main">
  <authors>
    <author>HK</author>
  </authors>
  <commentList>
    <comment ref="F31" authorId="0" shapeId="0">
      <text>
        <r>
          <rPr>
            <sz val="9"/>
            <color indexed="81"/>
            <rFont val="Tahoma"/>
            <family val="2"/>
          </rPr>
          <t>&lt;</t>
        </r>
        <r>
          <rPr>
            <sz val="9"/>
            <color indexed="81"/>
            <rFont val="돋움"/>
            <family val="3"/>
            <charset val="129"/>
          </rPr>
          <t>참조영역은</t>
        </r>
        <r>
          <rPr>
            <sz val="9"/>
            <color indexed="81"/>
            <rFont val="Tahoma"/>
            <family val="2"/>
          </rPr>
          <t xml:space="preserve"> &gt;
-</t>
        </r>
        <r>
          <rPr>
            <sz val="9"/>
            <color indexed="81"/>
            <rFont val="돋움"/>
            <family val="3"/>
            <charset val="129"/>
          </rPr>
          <t>연속영역은</t>
        </r>
        <r>
          <rPr>
            <sz val="9"/>
            <color indexed="81"/>
            <rFont val="Tahoma"/>
            <family val="2"/>
          </rPr>
          <t xml:space="preserve"> C47:F47 </t>
        </r>
        <r>
          <rPr>
            <sz val="9"/>
            <color indexed="81"/>
            <rFont val="돋움"/>
            <family val="3"/>
            <charset val="129"/>
          </rPr>
          <t>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지정
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비연속영역은</t>
        </r>
        <r>
          <rPr>
            <sz val="9"/>
            <color indexed="81"/>
            <rFont val="Tahoma"/>
            <family val="2"/>
          </rPr>
          <t xml:space="preserve"> ,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 xml:space="preserve">원정정산
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차액지급급있는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생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장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자동차순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2. OR</t>
        </r>
        <r>
          <rPr>
            <sz val="9"/>
            <color indexed="81"/>
            <rFont val="돋움"/>
            <family val="3"/>
            <charset val="129"/>
          </rPr>
          <t xml:space="preserve">수수료
</t>
        </r>
        <r>
          <rPr>
            <sz val="9"/>
            <color indexed="81"/>
            <rFont val="Tahoma"/>
            <family val="2"/>
          </rPr>
          <t xml:space="preserve">  OR</t>
        </r>
        <r>
          <rPr>
            <sz val="9"/>
            <color indexed="81"/>
            <rFont val="돋움"/>
            <family val="3"/>
            <charset val="129"/>
          </rPr>
          <t>지급액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지점장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팀장합계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J16" authorId="0" shapeId="0">
      <text>
        <r>
          <rPr>
            <b/>
            <sz val="9"/>
            <color indexed="81"/>
            <rFont val="돋움"/>
            <family val="3"/>
            <charset val="129"/>
          </rPr>
          <t>사원추가등으로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위치변경시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수정필요</t>
        </r>
      </text>
    </comment>
  </commentList>
</comments>
</file>

<file path=xl/sharedStrings.xml><?xml version="1.0" encoding="utf-8"?>
<sst xmlns="http://schemas.openxmlformats.org/spreadsheetml/2006/main" count="960" uniqueCount="599">
  <si>
    <t>파일명</t>
    <phoneticPr fontId="1" type="noConversion"/>
  </si>
  <si>
    <t>시트명</t>
    <phoneticPr fontId="1" type="noConversion"/>
  </si>
  <si>
    <t>경로명</t>
    <phoneticPr fontId="1" type="noConversion"/>
  </si>
  <si>
    <t>구분</t>
    <phoneticPr fontId="1" type="noConversion"/>
  </si>
  <si>
    <t>년월</t>
    <phoneticPr fontId="1" type="noConversion"/>
  </si>
  <si>
    <t>종목</t>
    <phoneticPr fontId="1" type="noConversion"/>
  </si>
  <si>
    <t>작업목적</t>
    <phoneticPr fontId="1" type="noConversion"/>
  </si>
  <si>
    <t>후속작업</t>
    <phoneticPr fontId="1" type="noConversion"/>
  </si>
  <si>
    <t>프로그램흐름</t>
    <phoneticPr fontId="1" type="noConversion"/>
  </si>
  <si>
    <t>설명</t>
    <phoneticPr fontId="1" type="noConversion"/>
  </si>
  <si>
    <t xml:space="preserve">  특히, 글꼴색이 이 색이면 손대지 말것</t>
    <phoneticPr fontId="1" type="noConversion"/>
  </si>
  <si>
    <t>?</t>
    <phoneticPr fontId="1" type="noConversion"/>
  </si>
  <si>
    <t>파일을 선택하면</t>
    <phoneticPr fontId="1" type="noConversion"/>
  </si>
  <si>
    <t>파일목록의 맨위에 경로와 파일명을 추가함</t>
    <phoneticPr fontId="1" type="noConversion"/>
  </si>
  <si>
    <t>정산지점</t>
    <phoneticPr fontId="1" type="noConversion"/>
  </si>
  <si>
    <t>MP신중동</t>
  </si>
  <si>
    <t>리치라이프</t>
  </si>
  <si>
    <t>인스모아</t>
  </si>
  <si>
    <t>MP메트로</t>
    <phoneticPr fontId="1" type="noConversion"/>
  </si>
  <si>
    <t>라온지점</t>
    <phoneticPr fontId="1" type="noConversion"/>
  </si>
  <si>
    <t>경기지점</t>
    <phoneticPr fontId="1" type="noConversion"/>
  </si>
  <si>
    <t>박종철</t>
    <phoneticPr fontId="1" type="noConversion"/>
  </si>
  <si>
    <t>원장지점(FROM)</t>
    <phoneticPr fontId="1" type="noConversion"/>
  </si>
  <si>
    <t>정산지점(TO)</t>
    <phoneticPr fontId="1" type="noConversion"/>
  </si>
  <si>
    <t>원장지점/팀(FROM)</t>
    <phoneticPr fontId="1" type="noConversion"/>
  </si>
  <si>
    <t>정산지점(TO)</t>
    <phoneticPr fontId="1" type="noConversion"/>
  </si>
  <si>
    <t>원장지점/사원(FROM)</t>
    <phoneticPr fontId="1" type="noConversion"/>
  </si>
  <si>
    <t>유창백</t>
    <phoneticPr fontId="1" type="noConversion"/>
  </si>
  <si>
    <t>영수구분</t>
    <phoneticPr fontId="1" type="noConversion"/>
  </si>
  <si>
    <t>당월</t>
    <phoneticPr fontId="1" type="noConversion"/>
  </si>
  <si>
    <t>송승환</t>
    <phoneticPr fontId="1" type="noConversion"/>
  </si>
  <si>
    <t>이은희</t>
    <phoneticPr fontId="1" type="noConversion"/>
  </si>
  <si>
    <t>강동지점</t>
    <phoneticPr fontId="1" type="noConversion"/>
  </si>
  <si>
    <t>1.지점코드로 변환 테이블</t>
    <phoneticPr fontId="1" type="noConversion"/>
  </si>
  <si>
    <t>2.팀코드로 변환 (지점코드 공용인 경우)</t>
    <phoneticPr fontId="1" type="noConversion"/>
  </si>
  <si>
    <t>[작업정보 설정]</t>
    <phoneticPr fontId="1" type="noConversion"/>
  </si>
  <si>
    <t xml:space="preserve"> - 수입원장의 지점코드를 내부의 정산지점 코드로 변환하는 규칙. 아래 1,2,3의 순서로 적용함</t>
    <phoneticPr fontId="1" type="noConversion"/>
  </si>
  <si>
    <t>대상월</t>
    <phoneticPr fontId="1" type="noConversion"/>
  </si>
  <si>
    <t>기준색-수기입력cell 표시용</t>
    <phoneticPr fontId="1" type="noConversion"/>
  </si>
  <si>
    <t>장기</t>
    <phoneticPr fontId="1" type="noConversion"/>
  </si>
  <si>
    <t>일반</t>
    <phoneticPr fontId="1" type="noConversion"/>
  </si>
  <si>
    <t>자동차</t>
    <phoneticPr fontId="1" type="noConversion"/>
  </si>
  <si>
    <t>피스토스</t>
    <phoneticPr fontId="1" type="noConversion"/>
  </si>
  <si>
    <t>구분</t>
    <phoneticPr fontId="1" type="noConversion"/>
  </si>
  <si>
    <t>총액</t>
    <phoneticPr fontId="1" type="noConversion"/>
  </si>
  <si>
    <t>팀장</t>
    <phoneticPr fontId="1" type="noConversion"/>
  </si>
  <si>
    <t>여기에 입력된 값을 KJ정산파일 생성시 해당 위치에 넣음</t>
    <phoneticPr fontId="1" type="noConversion"/>
  </si>
  <si>
    <t>매월 KJ 정산 파일을 생성해주는 기능</t>
    <phoneticPr fontId="1" type="noConversion"/>
  </si>
  <si>
    <t>2016.11이전</t>
    <phoneticPr fontId="1" type="noConversion"/>
  </si>
  <si>
    <t>금액</t>
    <phoneticPr fontId="1" type="noConversion"/>
  </si>
  <si>
    <t>작업완료후 결과파일에 직접 넣어도 됨</t>
    <phoneticPr fontId="1" type="noConversion"/>
  </si>
  <si>
    <t>[기준정보 설정]</t>
    <phoneticPr fontId="1" type="noConversion"/>
  </si>
  <si>
    <t>입력정보</t>
    <phoneticPr fontId="1" type="noConversion"/>
  </si>
  <si>
    <t>J</t>
    <phoneticPr fontId="1" type="noConversion"/>
  </si>
  <si>
    <t>N</t>
    <phoneticPr fontId="1" type="noConversion"/>
  </si>
  <si>
    <t>종목별 열</t>
    <phoneticPr fontId="1" type="noConversion"/>
  </si>
  <si>
    <t>F</t>
    <phoneticPr fontId="1" type="noConversion"/>
  </si>
  <si>
    <t>[수금수수료] - 당월수입원장에서 자동으로 가져옴</t>
    <phoneticPr fontId="1" type="noConversion"/>
  </si>
  <si>
    <t>정산작업</t>
    <phoneticPr fontId="1" type="noConversion"/>
  </si>
  <si>
    <t>참조영역</t>
    <phoneticPr fontId="1" type="noConversion"/>
  </si>
  <si>
    <t xml:space="preserve"> -작업정보 입력/ 기준정보 설정 확인 후 클릭 /클릭 / 클릭</t>
    <phoneticPr fontId="1" type="noConversion"/>
  </si>
  <si>
    <t>파일명설정</t>
    <phoneticPr fontId="1" type="noConversion"/>
  </si>
  <si>
    <t>당월 수수료 파일의 경로, 파일명 정보 추출용</t>
    <phoneticPr fontId="1" type="noConversion"/>
  </si>
  <si>
    <t>당월 KJ정산 파일 생성 목적</t>
    <phoneticPr fontId="1" type="noConversion"/>
  </si>
  <si>
    <t>←KJ정산시트 위치정보</t>
    <phoneticPr fontId="1" type="noConversion"/>
  </si>
  <si>
    <t>[원장정산]  - 원장정산값 버튼 이용하면 상동,조은값 가져옴</t>
    <phoneticPr fontId="1" type="noConversion"/>
  </si>
  <si>
    <t>결과 검증 및 수기 처리값 입력 ,  필요시 정산/요약시트 변경 가능</t>
    <phoneticPr fontId="1" type="noConversion"/>
  </si>
  <si>
    <t>* 정산시트에는 작업에 관한 설정 정보가 있음</t>
    <phoneticPr fontId="1" type="noConversion"/>
  </si>
  <si>
    <t>원장필터</t>
    <phoneticPr fontId="1" type="noConversion"/>
  </si>
  <si>
    <t>MP메트로1팀</t>
    <phoneticPr fontId="1" type="noConversion"/>
  </si>
  <si>
    <t>지점장</t>
    <phoneticPr fontId="1" type="noConversion"/>
  </si>
  <si>
    <t>KJ정산 셀</t>
    <phoneticPr fontId="1" type="noConversion"/>
  </si>
  <si>
    <t>작업구분</t>
    <phoneticPr fontId="1" type="noConversion"/>
  </si>
  <si>
    <t>원장정산</t>
    <phoneticPr fontId="1" type="noConversion"/>
  </si>
  <si>
    <t>OR수수료</t>
    <phoneticPr fontId="1" type="noConversion"/>
  </si>
  <si>
    <t>[OR 수수료] - 원장정산값 버튼 이용하면 값을 가져옴</t>
    <phoneticPr fontId="1" type="noConversion"/>
  </si>
  <si>
    <t>일반</t>
  </si>
  <si>
    <t>자동차</t>
  </si>
  <si>
    <t>파일내에 참조영역이 바뀌면</t>
    <phoneticPr fontId="1" type="noConversion"/>
  </si>
  <si>
    <t>여기를 반드시 수정해주어야 함</t>
    <phoneticPr fontId="1" type="noConversion"/>
  </si>
  <si>
    <t>←</t>
    <phoneticPr fontId="1" type="noConversion"/>
  </si>
  <si>
    <t>원본파일명</t>
    <phoneticPr fontId="1" type="noConversion"/>
  </si>
  <si>
    <r>
      <t>수입원장정산/ OR수수료산출 파일  -</t>
    </r>
    <r>
      <rPr>
        <b/>
        <sz val="11"/>
        <color rgb="FFFF0000"/>
        <rFont val="맑은 고딕"/>
        <family val="3"/>
        <charset val="129"/>
        <scheme val="minor"/>
      </rPr>
      <t>위 정보를 참조하여 경로/파일명은 자동생성,    시트명 및 참조영역은 변경시 수정해야함</t>
    </r>
    <phoneticPr fontId="1" type="noConversion"/>
  </si>
  <si>
    <t>&lt;&lt;파일1목록&gt;&gt; -당월 수수료 명세 파일 위치</t>
    <phoneticPr fontId="1" type="noConversion"/>
  </si>
  <si>
    <t>원장정산/ OR 값</t>
    <phoneticPr fontId="1" type="noConversion"/>
  </si>
  <si>
    <t>당월 보종별 수입원장 정산값(해당지점-상동,조은) 및 OR수수료 지급액 추출용으로서, 원본 파일내의 값이 있는 셀 위치가 변하면 파일정보를 수정해주어야함</t>
    <phoneticPr fontId="1" type="noConversion"/>
  </si>
  <si>
    <t>지점</t>
    <phoneticPr fontId="1" type="noConversion"/>
  </si>
  <si>
    <t>소스파일</t>
    <phoneticPr fontId="1" type="noConversion"/>
  </si>
  <si>
    <t>① 당월 수수료 목록 가죠오기, ② 당월 원장 가져오기,  ③ 전월 원장에서 이월분 및 정산/요약 시트 가져오기 ④ 기타 수수료 입력값을 정산시트에 넣기</t>
    <phoneticPr fontId="1" type="noConversion"/>
  </si>
  <si>
    <t>소스파일</t>
    <phoneticPr fontId="1" type="noConversion"/>
  </si>
  <si>
    <t>1.당월 수수료 파일(전 종목)  2. 당월 수입원장 파일  3. 전월 KJ정산 파일</t>
    <phoneticPr fontId="1" type="noConversion"/>
  </si>
  <si>
    <t>KJ정산생성</t>
    <phoneticPr fontId="1" type="noConversion"/>
  </si>
  <si>
    <t>버튼명</t>
    <phoneticPr fontId="1" type="noConversion"/>
  </si>
  <si>
    <t>수입원장정산 파일, OR수수료 지급파일</t>
    <phoneticPr fontId="1" type="noConversion"/>
  </si>
  <si>
    <t>경로</t>
    <phoneticPr fontId="1" type="noConversion"/>
  </si>
  <si>
    <t>손익파일</t>
    <phoneticPr fontId="1" type="noConversion"/>
  </si>
  <si>
    <t>결과파일</t>
    <phoneticPr fontId="1" type="noConversion"/>
  </si>
  <si>
    <t>KJ정산파일</t>
    <phoneticPr fontId="1" type="noConversion"/>
  </si>
  <si>
    <t>경비파일</t>
    <phoneticPr fontId="1" type="noConversion"/>
  </si>
  <si>
    <t>C:\Users\Administrator\Documents\10.KJ원장\</t>
    <phoneticPr fontId="1" type="noConversion"/>
  </si>
  <si>
    <t>실적월</t>
    <phoneticPr fontId="1" type="noConversion"/>
  </si>
  <si>
    <t>경비월</t>
    <phoneticPr fontId="1" type="noConversion"/>
  </si>
  <si>
    <t>지점 경비 지출 내역.XLSX</t>
    <phoneticPr fontId="1" type="noConversion"/>
  </si>
  <si>
    <t>지점별 월별 손익시트에 실적월 정보를 추가하는 매크로 (아이리치,라온,강동,경기)</t>
    <phoneticPr fontId="1" type="noConversion"/>
  </si>
  <si>
    <t>지점손익</t>
    <phoneticPr fontId="1" type="noConversion"/>
  </si>
  <si>
    <t>작업목적</t>
    <phoneticPr fontId="1" type="noConversion"/>
  </si>
  <si>
    <t>4개 지점의 실적, 수수료,시상,경비를 집계</t>
    <phoneticPr fontId="1" type="noConversion"/>
  </si>
  <si>
    <t>매칭안된 경비항목들</t>
    <phoneticPr fontId="1" type="noConversion"/>
  </si>
  <si>
    <t>A1</t>
    <phoneticPr fontId="1" type="noConversion"/>
  </si>
  <si>
    <t>추가정산</t>
    <phoneticPr fontId="1" type="noConversion"/>
  </si>
  <si>
    <t>[추가정산] - 원장정산값 버튼</t>
    <phoneticPr fontId="1" type="noConversion"/>
  </si>
  <si>
    <t>Sheet1</t>
    <phoneticPr fontId="1" type="noConversion"/>
  </si>
  <si>
    <t>kj정산명칭</t>
    <phoneticPr fontId="1" type="noConversion"/>
  </si>
  <si>
    <t>명칭셀</t>
    <phoneticPr fontId="1" type="noConversion"/>
  </si>
  <si>
    <t>월별손익_지점2.xlsx</t>
    <phoneticPr fontId="1" type="noConversion"/>
  </si>
  <si>
    <t>작업요령</t>
    <phoneticPr fontId="1" type="noConversion"/>
  </si>
  <si>
    <t>2. 소스 및 결과파일 유무 체크</t>
    <phoneticPr fontId="1" type="noConversion"/>
  </si>
  <si>
    <t>3. 버튼 클릭</t>
    <phoneticPr fontId="1" type="noConversion"/>
  </si>
  <si>
    <t>4. 매칭안된 경비 항목들 결과파일에 수기입력</t>
    <phoneticPr fontId="1" type="noConversion"/>
  </si>
  <si>
    <t>결과 검증 및 경비항목 수기 입력, 한빛계속분 정산 수기입력</t>
    <phoneticPr fontId="1" type="noConversion"/>
  </si>
  <si>
    <t>생보</t>
    <phoneticPr fontId="1" type="noConversion"/>
  </si>
  <si>
    <t>R</t>
    <phoneticPr fontId="1" type="noConversion"/>
  </si>
  <si>
    <t>E:\글로벌백업(180329)\10.KJ원장\</t>
    <phoneticPr fontId="1" type="noConversion"/>
  </si>
  <si>
    <t>강동</t>
  </si>
  <si>
    <t>1. 실적월,경비월 변경</t>
    <phoneticPr fontId="1" type="noConversion"/>
  </si>
  <si>
    <t>이호진</t>
    <phoneticPr fontId="1" type="noConversion"/>
  </si>
  <si>
    <t>윤제열</t>
    <phoneticPr fontId="1" type="noConversion"/>
  </si>
  <si>
    <t>수입원장의 남동지점중 윤제열 -&gt; 메트로 지점으로 변경</t>
    <phoneticPr fontId="1" type="noConversion"/>
  </si>
  <si>
    <t>시상손익 값 복사 from KJ시상정산.XLS</t>
    <phoneticPr fontId="1" type="noConversion"/>
  </si>
  <si>
    <t>E:\글로벌백업(180329)\00 본부\성과분석\</t>
    <phoneticPr fontId="1" type="noConversion"/>
  </si>
  <si>
    <t>C:\Users\Administrator\Documents\00 본부\성과분석\</t>
    <phoneticPr fontId="1" type="noConversion"/>
  </si>
  <si>
    <t>송내</t>
    <phoneticPr fontId="1" type="noConversion"/>
  </si>
  <si>
    <t>e:\글로벌백업(180329)\10.KJ원장\</t>
    <phoneticPr fontId="1" type="noConversion"/>
  </si>
  <si>
    <t>e:\글로벌백업(180329)\00 본부\성과분석\</t>
    <phoneticPr fontId="1" type="noConversion"/>
  </si>
  <si>
    <t>씨티엠지점</t>
  </si>
  <si>
    <t>박윤희</t>
    <phoneticPr fontId="1" type="noConversion"/>
  </si>
  <si>
    <t>김혜은</t>
    <phoneticPr fontId="1" type="noConversion"/>
  </si>
  <si>
    <t>전용순</t>
  </si>
  <si>
    <t>백혜경</t>
  </si>
  <si>
    <t>심정임</t>
  </si>
  <si>
    <t>채연숙</t>
  </si>
  <si>
    <t>문홍주</t>
    <phoneticPr fontId="1" type="noConversion"/>
  </si>
  <si>
    <t>결과</t>
    <phoneticPr fontId="1" type="noConversion"/>
  </si>
  <si>
    <t>김미화2</t>
    <phoneticPr fontId="1" type="noConversion"/>
  </si>
  <si>
    <t>씨티엠1팀</t>
  </si>
  <si>
    <t>3.사원번호로 변환 (팀 코드없는 관리자인 경우)</t>
    <phoneticPr fontId="1" type="noConversion"/>
  </si>
  <si>
    <t>성공지점</t>
    <phoneticPr fontId="1" type="noConversion"/>
  </si>
  <si>
    <t>장기</t>
  </si>
  <si>
    <t>11월임대료</t>
  </si>
  <si>
    <t>아이리치</t>
  </si>
  <si>
    <t>전기요금/수도</t>
  </si>
  <si>
    <t>라온</t>
  </si>
  <si>
    <t>11월 카드사용</t>
  </si>
  <si>
    <t>마감실적리스트(생명)-201812251601.xlsx</t>
    <phoneticPr fontId="1" type="noConversion"/>
  </si>
  <si>
    <t>마감실적리스트(일반)-201812251604.xlsx</t>
    <phoneticPr fontId="1" type="noConversion"/>
  </si>
  <si>
    <t>마감실적리스트(자동차)-201812251604.xlsx</t>
    <phoneticPr fontId="1" type="noConversion"/>
  </si>
  <si>
    <t>마감실적리스트(장기)-201812251603.xlsx</t>
    <phoneticPr fontId="1" type="noConversion"/>
  </si>
  <si>
    <t>속도이슈때문에 팀 변환은 매크로에서 미사용</t>
    <phoneticPr fontId="1" type="noConversion"/>
  </si>
  <si>
    <t>마감실적리스트(생명)-201901240925.xlsx</t>
  </si>
  <si>
    <t>마감실적리스트(장기)-201902261101.xlsx</t>
    <phoneticPr fontId="1" type="noConversion"/>
  </si>
  <si>
    <t>마감실적리스트(일반)-201901240926.xlsx</t>
  </si>
  <si>
    <t>일반</t>
    <phoneticPr fontId="1" type="noConversion"/>
  </si>
  <si>
    <t>마감실적리스트(일반)-201902261058.xlsx</t>
    <phoneticPr fontId="1" type="noConversion"/>
  </si>
  <si>
    <t>마감실적리스트(자동차)-201901241840.xlsx</t>
  </si>
  <si>
    <t>마감실적리스트(자동차)-201902261058.xlsx</t>
    <phoneticPr fontId="1" type="noConversion"/>
  </si>
  <si>
    <t>마감실적리스트(장기)-201901241842.xlsx</t>
  </si>
  <si>
    <t>마감실적리스트(생명)-201902261057.xlsx</t>
    <phoneticPr fontId="1" type="noConversion"/>
  </si>
  <si>
    <t>라온지점</t>
    <phoneticPr fontId="1" type="noConversion"/>
  </si>
  <si>
    <t>사원번호</t>
  </si>
  <si>
    <t>이강희</t>
  </si>
  <si>
    <t>김대곤</t>
  </si>
  <si>
    <t>이승희2</t>
  </si>
  <si>
    <t>지급년월</t>
  </si>
  <si>
    <t>적용일</t>
  </si>
  <si>
    <t>보험사</t>
  </si>
  <si>
    <t>증권번호</t>
  </si>
  <si>
    <t>계약종류</t>
  </si>
  <si>
    <t>지급구분</t>
  </si>
  <si>
    <t>총괄</t>
  </si>
  <si>
    <t>본부</t>
  </si>
  <si>
    <t>지점</t>
  </si>
  <si>
    <t>직할지점</t>
  </si>
  <si>
    <t>팀</t>
  </si>
  <si>
    <t>사원명</t>
  </si>
  <si>
    <t>FC코드</t>
  </si>
  <si>
    <t>표준상태</t>
  </si>
  <si>
    <t>상태</t>
  </si>
  <si>
    <t>상품군</t>
  </si>
  <si>
    <t>상품명</t>
  </si>
  <si>
    <t>계약일자</t>
  </si>
  <si>
    <t>계약자명</t>
  </si>
  <si>
    <t>납입주기</t>
  </si>
  <si>
    <t>보장기간</t>
  </si>
  <si>
    <t>납입기간</t>
  </si>
  <si>
    <t>납입회차</t>
  </si>
  <si>
    <t>보험료</t>
  </si>
  <si>
    <t>원수사성적</t>
  </si>
  <si>
    <t>영수구분</t>
  </si>
  <si>
    <t>영수일자</t>
  </si>
  <si>
    <t>자동차_물건구분</t>
  </si>
  <si>
    <t>자동차_보험종목</t>
  </si>
  <si>
    <t>수수료계</t>
  </si>
  <si>
    <t>원장</t>
    <phoneticPr fontId="1" type="noConversion"/>
  </si>
  <si>
    <t>지점ID</t>
  </si>
  <si>
    <t>팀ID</t>
  </si>
  <si>
    <t>담당</t>
  </si>
  <si>
    <t>담당ID</t>
  </si>
  <si>
    <t>담당명</t>
  </si>
  <si>
    <t>모집사용인</t>
  </si>
  <si>
    <t>전담당</t>
  </si>
  <si>
    <t>위촉상태</t>
  </si>
  <si>
    <t>계약일</t>
  </si>
  <si>
    <t>보험회사</t>
  </si>
  <si>
    <t>대리점</t>
  </si>
  <si>
    <t>보험상품</t>
  </si>
  <si>
    <t>상품코드</t>
  </si>
  <si>
    <t>보종</t>
  </si>
  <si>
    <t>정산월구분</t>
  </si>
  <si>
    <t>월납보험료</t>
  </si>
  <si>
    <t>수정보험료</t>
  </si>
  <si>
    <t>조정보험료</t>
  </si>
  <si>
    <t>실손월납보</t>
  </si>
  <si>
    <t>실손수정보</t>
  </si>
  <si>
    <t>수수료T</t>
  </si>
  <si>
    <t>수수료H</t>
  </si>
  <si>
    <t>수수료M</t>
  </si>
  <si>
    <t>수수료S</t>
  </si>
  <si>
    <t>수정율</t>
  </si>
  <si>
    <t>구분</t>
  </si>
  <si>
    <t>총회차</t>
  </si>
  <si>
    <t>피보험자</t>
  </si>
  <si>
    <t>생년월일 / 성별</t>
  </si>
  <si>
    <t>계약자</t>
  </si>
  <si>
    <t>영수일</t>
  </si>
  <si>
    <t>개시일</t>
  </si>
  <si>
    <t>만기일</t>
  </si>
  <si>
    <t>경로</t>
  </si>
  <si>
    <t>기타1</t>
  </si>
  <si>
    <t>납입방법</t>
  </si>
  <si>
    <t>상담자</t>
  </si>
  <si>
    <t>위촉여부</t>
  </si>
  <si>
    <t>납입보험료</t>
  </si>
  <si>
    <t>대리점코드</t>
  </si>
  <si>
    <t>납입</t>
  </si>
  <si>
    <t>물건</t>
  </si>
  <si>
    <t>차량번호</t>
  </si>
  <si>
    <t>환산보험료</t>
  </si>
  <si>
    <t>환산율</t>
  </si>
  <si>
    <t>이종선</t>
    <phoneticPr fontId="1" type="noConversion"/>
  </si>
  <si>
    <t>이종선은 라온소속이나 별도 정산위해 메트로로 강제변환</t>
    <phoneticPr fontId="1" type="noConversion"/>
  </si>
  <si>
    <t>레전드지점</t>
  </si>
  <si>
    <t>김성희2</t>
    <phoneticPr fontId="1" type="noConversion"/>
  </si>
  <si>
    <t>의정부</t>
    <phoneticPr fontId="1" type="noConversion"/>
  </si>
  <si>
    <t>의정부</t>
    <phoneticPr fontId="1" type="noConversion"/>
  </si>
  <si>
    <t>안인희</t>
    <phoneticPr fontId="1" type="noConversion"/>
  </si>
  <si>
    <t>C49:F49</t>
    <phoneticPr fontId="1" type="noConversion"/>
  </si>
  <si>
    <t>MP리치라이프</t>
    <phoneticPr fontId="1" type="noConversion"/>
  </si>
  <si>
    <t>신승휴</t>
    <phoneticPr fontId="1" type="noConversion"/>
  </si>
  <si>
    <t>박윤나</t>
    <phoneticPr fontId="1" type="noConversion"/>
  </si>
  <si>
    <t>정주용</t>
    <phoneticPr fontId="1" type="noConversion"/>
  </si>
  <si>
    <t>이광호</t>
    <phoneticPr fontId="1" type="noConversion"/>
  </si>
  <si>
    <t>황지야</t>
    <phoneticPr fontId="1" type="noConversion"/>
  </si>
  <si>
    <t>박정호</t>
    <phoneticPr fontId="1" type="noConversion"/>
  </si>
  <si>
    <t>허유지</t>
  </si>
  <si>
    <t>이선화4</t>
  </si>
  <si>
    <t>이경희2</t>
  </si>
  <si>
    <t>전서연</t>
  </si>
  <si>
    <t>이은희</t>
  </si>
  <si>
    <t>강하나</t>
  </si>
  <si>
    <t>최두이</t>
  </si>
  <si>
    <t>김근실</t>
  </si>
  <si>
    <t>최미란2</t>
  </si>
  <si>
    <t>의정부</t>
    <phoneticPr fontId="1" type="noConversion"/>
  </si>
  <si>
    <t>F4</t>
    <phoneticPr fontId="1" type="noConversion"/>
  </si>
  <si>
    <t xml:space="preserve"> - 메트로는 지사시상컬럼</t>
    <phoneticPr fontId="1" type="noConversion"/>
  </si>
  <si>
    <t>대상월</t>
    <phoneticPr fontId="1" type="noConversion"/>
  </si>
  <si>
    <t>시상파일</t>
    <phoneticPr fontId="1" type="noConversion"/>
  </si>
  <si>
    <t>작업구분</t>
    <phoneticPr fontId="1" type="noConversion"/>
  </si>
  <si>
    <t>지점</t>
    <phoneticPr fontId="1" type="noConversion"/>
  </si>
  <si>
    <t>원장파일</t>
    <phoneticPr fontId="1" type="noConversion"/>
  </si>
  <si>
    <t>영수구분</t>
    <phoneticPr fontId="1" type="noConversion"/>
  </si>
  <si>
    <t>직할지점</t>
    <phoneticPr fontId="1" type="noConversion"/>
  </si>
  <si>
    <t>씨티엠원장 필터</t>
    <phoneticPr fontId="1" type="noConversion"/>
  </si>
  <si>
    <t>메트로원장 필터</t>
    <phoneticPr fontId="1" type="noConversion"/>
  </si>
  <si>
    <t>씨티엠지점</t>
    <phoneticPr fontId="1" type="noConversion"/>
  </si>
  <si>
    <t>사원명</t>
    <phoneticPr fontId="1" type="noConversion"/>
  </si>
  <si>
    <t>씨티엠수수료 필터</t>
    <phoneticPr fontId="1" type="noConversion"/>
  </si>
  <si>
    <t>메트로수수료 필터</t>
    <phoneticPr fontId="1" type="noConversion"/>
  </si>
  <si>
    <t>년월</t>
    <phoneticPr fontId="1" type="noConversion"/>
  </si>
  <si>
    <t>폴더</t>
    <phoneticPr fontId="1" type="noConversion"/>
  </si>
  <si>
    <t>파일</t>
    <phoneticPr fontId="1" type="noConversion"/>
  </si>
  <si>
    <t>시트</t>
    <phoneticPr fontId="1" type="noConversion"/>
  </si>
  <si>
    <t>당월</t>
    <phoneticPr fontId="1" type="noConversion"/>
  </si>
  <si>
    <t>전체</t>
    <phoneticPr fontId="1" type="noConversion"/>
  </si>
  <si>
    <t>전월</t>
    <phoneticPr fontId="1" type="noConversion"/>
  </si>
  <si>
    <t>메트로HL</t>
    <phoneticPr fontId="1" type="noConversion"/>
  </si>
  <si>
    <t>정산</t>
    <phoneticPr fontId="1" type="noConversion"/>
  </si>
  <si>
    <t>씨티엠지점</t>
    <phoneticPr fontId="1" type="noConversion"/>
  </si>
  <si>
    <t>정산결과(지사분리)</t>
    <phoneticPr fontId="1" type="noConversion"/>
  </si>
  <si>
    <t>정산결과(전월)</t>
    <phoneticPr fontId="1" type="noConversion"/>
  </si>
  <si>
    <t>[매크로 기능 설명]</t>
    <phoneticPr fontId="1" type="noConversion"/>
  </si>
  <si>
    <t>1.IBSS파일을 순차적으로 열어 복사</t>
    <phoneticPr fontId="1" type="noConversion"/>
  </si>
  <si>
    <t>2.시상 파일을 열어 복사(손보,생보)</t>
    <phoneticPr fontId="1" type="noConversion"/>
  </si>
  <si>
    <t>3.원장 파일을 열어 복사 (수입전월,수입전월이월)</t>
    <phoneticPr fontId="1" type="noConversion"/>
  </si>
  <si>
    <t>4.정산결과 파일을 열어 정산시트를 복사</t>
    <phoneticPr fontId="1" type="noConversion"/>
  </si>
  <si>
    <t xml:space="preserve">5.파일 저장 </t>
    <phoneticPr fontId="1" type="noConversion"/>
  </si>
  <si>
    <t>제이엔제이</t>
    <phoneticPr fontId="1" type="noConversion"/>
  </si>
  <si>
    <t>E34</t>
    <phoneticPr fontId="1" type="noConversion"/>
  </si>
  <si>
    <t>최대호</t>
    <phoneticPr fontId="1" type="noConversion"/>
  </si>
  <si>
    <t>장미향</t>
    <phoneticPr fontId="1" type="noConversion"/>
  </si>
  <si>
    <t>윤정화</t>
    <phoneticPr fontId="1" type="noConversion"/>
  </si>
  <si>
    <t>함정석</t>
    <phoneticPr fontId="1" type="noConversion"/>
  </si>
  <si>
    <t>박경화</t>
    <phoneticPr fontId="1" type="noConversion"/>
  </si>
  <si>
    <t>문홍주</t>
  </si>
  <si>
    <t>ba101171005</t>
  </si>
  <si>
    <t>문홍주A</t>
  </si>
  <si>
    <t>박경화</t>
  </si>
  <si>
    <t>이호진2</t>
    <phoneticPr fontId="1" type="noConversion"/>
  </si>
  <si>
    <t>윤제열</t>
  </si>
  <si>
    <t>김유진2</t>
  </si>
  <si>
    <t>최대호</t>
    <phoneticPr fontId="1" type="noConversion"/>
  </si>
  <si>
    <t>이종연</t>
  </si>
  <si>
    <t>장정훈</t>
  </si>
  <si>
    <t>함정석</t>
  </si>
  <si>
    <t>이종선</t>
  </si>
  <si>
    <t>사원번호</t>
    <phoneticPr fontId="1" type="noConversion"/>
  </si>
  <si>
    <t>참고</t>
    <phoneticPr fontId="1" type="noConversion"/>
  </si>
  <si>
    <t>이름</t>
    <phoneticPr fontId="1" type="noConversion"/>
  </si>
  <si>
    <t>지점</t>
    <phoneticPr fontId="1" type="noConversion"/>
  </si>
  <si>
    <t>메트로</t>
    <phoneticPr fontId="1" type="noConversion"/>
  </si>
  <si>
    <t>HL</t>
    <phoneticPr fontId="1" type="noConversion"/>
  </si>
  <si>
    <t>계약일&lt;'20180601</t>
    <phoneticPr fontId="1" type="noConversion"/>
  </si>
  <si>
    <t>메트로-MP</t>
    <phoneticPr fontId="1" type="noConversion"/>
  </si>
  <si>
    <t>문홍주 2018.6.1이전 MP 모집계약은 '메트로-MP'로 강제변환</t>
    <phoneticPr fontId="1" type="noConversion"/>
  </si>
  <si>
    <t xml:space="preserve">  VBA에 로직처리됨</t>
    <phoneticPr fontId="1" type="noConversion"/>
  </si>
  <si>
    <t>제이엔제이팀</t>
    <phoneticPr fontId="1" type="noConversion"/>
  </si>
  <si>
    <t>메트로HL</t>
    <phoneticPr fontId="1" type="noConversion"/>
  </si>
  <si>
    <t>법인시상</t>
    <phoneticPr fontId="1" type="noConversion"/>
  </si>
  <si>
    <t>사원시상</t>
    <phoneticPr fontId="1" type="noConversion"/>
  </si>
  <si>
    <t>작업대상</t>
    <phoneticPr fontId="1" type="noConversion"/>
  </si>
  <si>
    <t>정산결과의 법인/사원시상 시작행</t>
    <phoneticPr fontId="1" type="noConversion"/>
  </si>
  <si>
    <t>추가확인(수작업)</t>
    <phoneticPr fontId="1" type="noConversion"/>
  </si>
  <si>
    <t xml:space="preserve"> -시티엠: KJ정산과 일치여부</t>
    <phoneticPr fontId="1" type="noConversion"/>
  </si>
  <si>
    <t xml:space="preserve"> -메트로: 정산값 및 사원추가여부</t>
    <phoneticPr fontId="1" type="noConversion"/>
  </si>
  <si>
    <t>시흥1팀</t>
    <phoneticPr fontId="1" type="noConversion"/>
  </si>
  <si>
    <t>파일명</t>
    <phoneticPr fontId="1" type="noConversion"/>
  </si>
  <si>
    <t>기준시트</t>
    <phoneticPr fontId="1" type="noConversion"/>
  </si>
  <si>
    <t>대상시트</t>
    <phoneticPr fontId="1" type="noConversion"/>
  </si>
  <si>
    <t>1.작업순서 : 사원추가 -&gt; 누계수식</t>
    <phoneticPr fontId="1" type="noConversion"/>
  </si>
  <si>
    <t>2.작업종료후 검증 및 파일저장 필요</t>
    <phoneticPr fontId="1" type="noConversion"/>
  </si>
  <si>
    <t>제이엔제이1팀</t>
    <phoneticPr fontId="1" type="noConversion"/>
  </si>
  <si>
    <t>사원코드열</t>
    <phoneticPr fontId="1" type="noConversion"/>
  </si>
  <si>
    <t>c</t>
    <phoneticPr fontId="1" type="noConversion"/>
  </si>
  <si>
    <t>아래 지정파일의 사원코드열의 값을 비교하여, 기준시트에 있으나 대상시트에 없는 사원을 추가하는 기능임</t>
    <phoneticPr fontId="1" type="noConversion"/>
  </si>
  <si>
    <t>지점변환</t>
    <phoneticPr fontId="1" type="noConversion"/>
  </si>
  <si>
    <t>집계</t>
    <phoneticPr fontId="1" type="noConversion"/>
  </si>
  <si>
    <t>u</t>
    <phoneticPr fontId="1" type="noConversion"/>
  </si>
  <si>
    <t>2019-12 KJ 전체 정산A.xlsx</t>
  </si>
  <si>
    <t>여주 원장필터</t>
    <phoneticPr fontId="1" type="noConversion"/>
  </si>
  <si>
    <t>여주지점</t>
    <phoneticPr fontId="1" type="noConversion"/>
  </si>
  <si>
    <t>정산</t>
    <phoneticPr fontId="1" type="noConversion"/>
  </si>
  <si>
    <t>누계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</si>
  <si>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</si>
  <si>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</si>
  <si>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</si>
  <si>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</si>
  <si>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</si>
  <si>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</si>
  <si>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</si>
  <si>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</si>
  <si>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</si>
  <si>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</si>
  <si>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</si>
  <si>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</si>
  <si>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수금요약</t>
    <phoneticPr fontId="1" type="noConversion"/>
  </si>
  <si>
    <t>L19,J19</t>
    <phoneticPr fontId="1" type="noConversion"/>
  </si>
  <si>
    <t>수금수수료</t>
    <phoneticPr fontId="1" type="noConversion"/>
  </si>
  <si>
    <t>L19</t>
    <phoneticPr fontId="1" type="noConversion"/>
  </si>
  <si>
    <t>F34</t>
    <phoneticPr fontId="1" type="noConversion"/>
  </si>
  <si>
    <t>E35</t>
    <phoneticPr fontId="1" type="noConversion"/>
  </si>
  <si>
    <t>F17</t>
    <phoneticPr fontId="1" type="noConversion"/>
  </si>
  <si>
    <t>의정부-채경미</t>
    <phoneticPr fontId="1" type="noConversion"/>
  </si>
  <si>
    <t>의정부-최주영</t>
    <phoneticPr fontId="1" type="noConversion"/>
  </si>
  <si>
    <t>의정부-염경분</t>
    <phoneticPr fontId="1" type="noConversion"/>
  </si>
  <si>
    <t>전진</t>
  </si>
  <si>
    <t>C51:F51</t>
    <phoneticPr fontId="1" type="noConversion"/>
  </si>
  <si>
    <t>여주지점-김주만</t>
    <phoneticPr fontId="1" type="noConversion"/>
  </si>
  <si>
    <t>요약</t>
    <phoneticPr fontId="1" type="noConversion"/>
  </si>
  <si>
    <t>G22</t>
    <phoneticPr fontId="1" type="noConversion"/>
  </si>
  <si>
    <t>G24</t>
    <phoneticPr fontId="1" type="noConversion"/>
  </si>
  <si>
    <t>G26</t>
    <phoneticPr fontId="1" type="noConversion"/>
  </si>
  <si>
    <t>레전드지점-신승휴</t>
    <phoneticPr fontId="1" type="noConversion"/>
  </si>
  <si>
    <t>여주지점-박진숙</t>
    <phoneticPr fontId="1" type="noConversion"/>
  </si>
  <si>
    <t>레전드지점-신승휴</t>
    <phoneticPr fontId="1" type="noConversion"/>
  </si>
  <si>
    <t>여주지점-박진숙</t>
    <phoneticPr fontId="1" type="noConversion"/>
  </si>
  <si>
    <t xml:space="preserve"> -여주: 값 확인</t>
    <phoneticPr fontId="1" type="noConversion"/>
  </si>
  <si>
    <t>월별정산_지점사원별_총괄표(2020).xlsx</t>
    <phoneticPr fontId="1" type="noConversion"/>
  </si>
  <si>
    <t>G28</t>
    <phoneticPr fontId="1" type="noConversion"/>
  </si>
  <si>
    <t>당월</t>
    <phoneticPr fontId="1" type="noConversion"/>
  </si>
  <si>
    <t>5월</t>
    <phoneticPr fontId="1" type="noConversion"/>
  </si>
  <si>
    <t>2월</t>
  </si>
  <si>
    <t>김묘정</t>
  </si>
  <si>
    <t xml:space="preserve"> =&gt;수입원장정산시 처리되므로 사용안되는 로직임</t>
    <phoneticPr fontId="1" type="noConversion"/>
  </si>
  <si>
    <t>F18</t>
    <phoneticPr fontId="1" type="noConversion"/>
  </si>
  <si>
    <t>MP송내</t>
    <phoneticPr fontId="1" type="noConversion"/>
  </si>
  <si>
    <t>여주지점-장인순</t>
    <phoneticPr fontId="1" type="noConversion"/>
  </si>
  <si>
    <t>여주지점-장인순</t>
    <phoneticPr fontId="1" type="noConversion"/>
  </si>
  <si>
    <t>&lt;&gt;송내</t>
    <phoneticPr fontId="1" type="noConversion"/>
  </si>
  <si>
    <t>worksheet</t>
    <phoneticPr fontId="1" type="noConversion"/>
  </si>
  <si>
    <t>생보</t>
  </si>
  <si>
    <t>worksheet</t>
  </si>
  <si>
    <t>C57:F57</t>
    <phoneticPr fontId="1" type="noConversion"/>
  </si>
  <si>
    <t>천정화</t>
  </si>
  <si>
    <t>김건일</t>
    <phoneticPr fontId="1" type="noConversion"/>
  </si>
  <si>
    <t>글래드상동</t>
    <phoneticPr fontId="1" type="noConversion"/>
  </si>
  <si>
    <t>글래드조은</t>
    <phoneticPr fontId="1" type="noConversion"/>
  </si>
  <si>
    <t>글래드경기</t>
    <phoneticPr fontId="1" type="noConversion"/>
  </si>
  <si>
    <t>글래드가온(피스)</t>
    <phoneticPr fontId="1" type="noConversion"/>
  </si>
  <si>
    <t>글래드가온</t>
    <phoneticPr fontId="1" type="noConversion"/>
  </si>
  <si>
    <t>글래드가온</t>
    <phoneticPr fontId="1" type="noConversion"/>
  </si>
  <si>
    <t>글래드피스토스</t>
  </si>
  <si>
    <t>글래드신중동</t>
  </si>
  <si>
    <t>글래드상동</t>
  </si>
  <si>
    <t>글래드방이</t>
  </si>
  <si>
    <t>글래드시흥</t>
  </si>
  <si>
    <t>글래드아이리치</t>
  </si>
  <si>
    <t>글래드인스모아</t>
  </si>
  <si>
    <t>글래드메트로</t>
  </si>
  <si>
    <t>글래드조은</t>
  </si>
  <si>
    <t>글래드경기</t>
  </si>
  <si>
    <t>글래드강동</t>
  </si>
  <si>
    <t>글래드여주</t>
  </si>
  <si>
    <t>글래드송내</t>
  </si>
  <si>
    <t>글래드성공</t>
  </si>
  <si>
    <t>글래드의정부</t>
  </si>
  <si>
    <t>글래드가온</t>
  </si>
  <si>
    <t>글래드레전드</t>
  </si>
  <si>
    <t>글래드라온</t>
  </si>
  <si>
    <t>글래드프라임</t>
  </si>
  <si>
    <t>글래드제이엔제이</t>
  </si>
  <si>
    <t xml:space="preserve"> - 시티는 글래드시상,추가시상,95%산출</t>
  </si>
  <si>
    <t>엠피인스모아</t>
    <phoneticPr fontId="1" type="noConversion"/>
  </si>
  <si>
    <t>글래드</t>
    <phoneticPr fontId="1" type="noConversion"/>
  </si>
  <si>
    <t>글래드제이엔제이</t>
    <phoneticPr fontId="1" type="noConversion"/>
  </si>
  <si>
    <t>글래드씨티엠</t>
    <phoneticPr fontId="1" type="noConversion"/>
  </si>
  <si>
    <t>C62:F62</t>
    <phoneticPr fontId="1" type="noConversion"/>
  </si>
  <si>
    <t>글래드제이엔제이</t>
    <phoneticPr fontId="1" type="noConversion"/>
  </si>
  <si>
    <t>글래드씨티엠</t>
    <phoneticPr fontId="1" type="noConversion"/>
  </si>
  <si>
    <t>GLD809183006</t>
  </si>
  <si>
    <t>GLD809183025</t>
  </si>
  <si>
    <t>GLD809173019</t>
  </si>
  <si>
    <t>GLD809183015</t>
  </si>
  <si>
    <t>GLD101171005</t>
  </si>
  <si>
    <t>GLD809183014</t>
  </si>
  <si>
    <t>GLD809183002</t>
  </si>
  <si>
    <t>GLD809173022</t>
  </si>
  <si>
    <t>GLD800161001</t>
  </si>
  <si>
    <t>GLD809183007</t>
  </si>
  <si>
    <t>GLD809181003</t>
  </si>
  <si>
    <t>GLD809183004</t>
  </si>
  <si>
    <t>GLD809191007</t>
  </si>
  <si>
    <t>GLD800172001</t>
  </si>
  <si>
    <t>GLD809183016</t>
  </si>
  <si>
    <t>GLD809183012</t>
  </si>
  <si>
    <t>GLD809182001</t>
  </si>
  <si>
    <t>GLD809183027</t>
  </si>
  <si>
    <t>GLD809181004</t>
  </si>
  <si>
    <t>GLD806163001</t>
  </si>
  <si>
    <t>GLD806163003</t>
  </si>
  <si>
    <t>GLD682163001</t>
  </si>
  <si>
    <t>GLD806163002</t>
  </si>
  <si>
    <t>GLD809183010</t>
  </si>
  <si>
    <t>GLD809193013</t>
  </si>
  <si>
    <t>GLD809191005</t>
  </si>
  <si>
    <t>GLD809193028</t>
  </si>
  <si>
    <t>GLD809193014</t>
  </si>
  <si>
    <t>GLD809183033</t>
  </si>
  <si>
    <t>GLD809193015</t>
  </si>
  <si>
    <t>GLD809193005</t>
  </si>
  <si>
    <t>GLD809183036</t>
  </si>
  <si>
    <t>GLD809193019</t>
  </si>
  <si>
    <t>GLD809183034</t>
  </si>
  <si>
    <t>GLD809193024</t>
  </si>
  <si>
    <t>GLD809193025</t>
  </si>
  <si>
    <t>GLD809183013</t>
  </si>
  <si>
    <t>GLD809183011</t>
  </si>
  <si>
    <t>GLD809183018</t>
  </si>
  <si>
    <t>GLD809183029</t>
  </si>
  <si>
    <t>GLD809183035</t>
  </si>
  <si>
    <t>GLD809173018</t>
  </si>
  <si>
    <t>GLD803143001</t>
  </si>
  <si>
    <t>GLD809183024</t>
  </si>
  <si>
    <t>GLD806143004</t>
  </si>
  <si>
    <t>GLD101153010</t>
  </si>
  <si>
    <t>글래드피스토스</t>
    <phoneticPr fontId="10" type="noConversion"/>
  </si>
  <si>
    <t>글래드</t>
    <phoneticPr fontId="1" type="noConversion"/>
  </si>
  <si>
    <t>글래드남동</t>
    <phoneticPr fontId="1" type="noConversion"/>
  </si>
  <si>
    <t>글래드강동</t>
    <phoneticPr fontId="1" type="noConversion"/>
  </si>
  <si>
    <t>글래드씨티엠</t>
    <phoneticPr fontId="1" type="noConversion"/>
  </si>
  <si>
    <t>글래드시흥</t>
    <phoneticPr fontId="1" type="noConversion"/>
  </si>
  <si>
    <t>글래드프라임</t>
    <phoneticPr fontId="1" type="noConversion"/>
  </si>
  <si>
    <t>글래드HL</t>
    <phoneticPr fontId="1" type="noConversion"/>
  </si>
  <si>
    <t>비대상</t>
    <phoneticPr fontId="1" type="noConversion"/>
  </si>
  <si>
    <t>담당</t>
    <phoneticPr fontId="1" type="noConversion"/>
  </si>
  <si>
    <t>GLD809183002</t>
    <phoneticPr fontId="1" type="noConversion"/>
  </si>
  <si>
    <t>지점</t>
    <phoneticPr fontId="1" type="noConversion"/>
  </si>
  <si>
    <t>글래드</t>
    <phoneticPr fontId="1" type="noConversion"/>
  </si>
  <si>
    <t>글래드씨티엠</t>
  </si>
  <si>
    <t>김미화2</t>
  </si>
  <si>
    <t>김혜은</t>
  </si>
  <si>
    <t>GLD809193030</t>
  </si>
  <si>
    <t>송현우</t>
  </si>
  <si>
    <t>글래드시흥</t>
    <phoneticPr fontId="1" type="noConversion"/>
  </si>
  <si>
    <t>GLD101173004</t>
  </si>
  <si>
    <t>김지연</t>
  </si>
  <si>
    <t>T109</t>
    <phoneticPr fontId="1" type="noConversion"/>
  </si>
  <si>
    <t>T98</t>
    <phoneticPr fontId="1" type="noConversion"/>
  </si>
  <si>
    <t>T163</t>
    <phoneticPr fontId="1" type="noConversion"/>
  </si>
  <si>
    <t>T164</t>
    <phoneticPr fontId="1" type="noConversion"/>
  </si>
  <si>
    <t>T165</t>
    <phoneticPr fontId="1" type="noConversion"/>
  </si>
  <si>
    <t>T166</t>
    <phoneticPr fontId="1" type="noConversion"/>
  </si>
  <si>
    <t>T148</t>
    <phoneticPr fontId="1" type="noConversion"/>
  </si>
  <si>
    <t>T149</t>
    <phoneticPr fontId="1" type="noConversion"/>
  </si>
  <si>
    <t>T155</t>
    <phoneticPr fontId="1" type="noConversion"/>
  </si>
  <si>
    <t>T160</t>
    <phoneticPr fontId="1" type="noConversion"/>
  </si>
  <si>
    <t>C123</t>
    <phoneticPr fontId="1" type="noConversion"/>
  </si>
  <si>
    <t>C124</t>
    <phoneticPr fontId="1" type="noConversion"/>
  </si>
  <si>
    <t>F48</t>
    <phoneticPr fontId="1" type="noConversion"/>
  </si>
  <si>
    <t>프라임1팀</t>
    <phoneticPr fontId="1" type="noConversion"/>
  </si>
  <si>
    <t>프라임2팀</t>
    <phoneticPr fontId="1" type="noConversion"/>
  </si>
  <si>
    <t>직할지점</t>
    <phoneticPr fontId="1" type="noConversion"/>
  </si>
  <si>
    <t>x</t>
    <phoneticPr fontId="1" type="noConversion"/>
  </si>
  <si>
    <t>xxx</t>
    <phoneticPr fontId="1" type="noConversion"/>
  </si>
  <si>
    <t>y</t>
    <phoneticPr fontId="1" type="noConversion"/>
  </si>
  <si>
    <t>c</t>
    <phoneticPr fontId="1" type="noConversion"/>
  </si>
  <si>
    <t>c</t>
    <phoneticPr fontId="1" type="noConversion"/>
  </si>
  <si>
    <t>글래드여주</t>
    <phoneticPr fontId="1" type="noConversion"/>
  </si>
  <si>
    <t>당월</t>
    <phoneticPr fontId="1" type="noConversion"/>
  </si>
  <si>
    <t>메트로HL</t>
  </si>
  <si>
    <t>당월</t>
    <phoneticPr fontId="1" type="noConversion"/>
  </si>
  <si>
    <t>총괄분담금</t>
    <phoneticPr fontId="1" type="noConversion"/>
  </si>
  <si>
    <t>승격분담금</t>
    <phoneticPr fontId="1" type="noConversion"/>
  </si>
  <si>
    <t>승격공로금</t>
    <phoneticPr fontId="1" type="noConversion"/>
  </si>
  <si>
    <t>총괄분담금2</t>
    <phoneticPr fontId="1" type="noConversion"/>
  </si>
  <si>
    <t>운영분담금(자동차/일반)</t>
    <phoneticPr fontId="1" type="noConversion"/>
  </si>
  <si>
    <t>운영분담금의 일부를 이전 총괄에 지급</t>
    <phoneticPr fontId="1" type="noConversion"/>
  </si>
  <si>
    <t>운영분담금+승격분담금(장기/생명) (ex, 1.8% + 1%)</t>
    <phoneticPr fontId="1" type="noConversion"/>
  </si>
  <si>
    <t>글래드가온</t>
    <phoneticPr fontId="10" type="noConversion"/>
  </si>
  <si>
    <t>E:\글로벌백업(180329)\04.수수료작업\202109수수료\</t>
  </si>
  <si>
    <t>마감실적리스트(생보)-202110220437.xlsx</t>
  </si>
  <si>
    <t>생보</t>
    <phoneticPr fontId="1" type="noConversion"/>
  </si>
  <si>
    <t>E:\글로벌백업(180329)\04.수수료작업\202110수수료\</t>
    <phoneticPr fontId="1" type="noConversion"/>
  </si>
  <si>
    <t>마감실적리스트(생보)-202111232244.xlsx</t>
    <phoneticPr fontId="1" type="noConversion"/>
  </si>
  <si>
    <t>마감실적리스트(장기)-202110220437.xlsx</t>
  </si>
  <si>
    <t>E:\글로벌백업(180329)\04.수수료작업\202110수수료\</t>
    <phoneticPr fontId="1" type="noConversion"/>
  </si>
  <si>
    <t>마감실적리스트(일반)-202111232244.xlsx</t>
    <phoneticPr fontId="1" type="noConversion"/>
  </si>
  <si>
    <t>마감실적리스트(일반)-202110220437.xlsx</t>
  </si>
  <si>
    <t>자동차</t>
    <phoneticPr fontId="1" type="noConversion"/>
  </si>
  <si>
    <t>E:\글로벌백업(180329)\04.수수료작업\202110수수료\</t>
    <phoneticPr fontId="1" type="noConversion"/>
  </si>
  <si>
    <t>마감실적리스트(자동차)-202111232244.xlsx</t>
    <phoneticPr fontId="1" type="noConversion"/>
  </si>
  <si>
    <t>마감실적리스트(자동차)-202110220437.xlsx</t>
  </si>
  <si>
    <t>장기</t>
    <phoneticPr fontId="1" type="noConversion"/>
  </si>
  <si>
    <t>마감실적리스트(장기)-202111232244.xlsx</t>
    <phoneticPr fontId="1" type="noConversion"/>
  </si>
  <si>
    <t>C53:F53</t>
    <phoneticPr fontId="1" type="noConversion"/>
  </si>
  <si>
    <t>지점</t>
    <phoneticPr fontId="1" type="noConversion"/>
  </si>
  <si>
    <t>GA수수료</t>
  </si>
  <si>
    <t>피보험자 생년월일/성별</t>
  </si>
  <si>
    <t>계약자 생년월일/성별</t>
  </si>
  <si>
    <t>메모</t>
  </si>
  <si>
    <t>F9</t>
    <phoneticPr fontId="1" type="noConversion"/>
  </si>
  <si>
    <t>F10</t>
    <phoneticPr fontId="1" type="noConversion"/>
  </si>
  <si>
    <t>F19</t>
    <phoneticPr fontId="1" type="noConversion"/>
  </si>
  <si>
    <t>glad-mp공동정산 지점</t>
    <phoneticPr fontId="1" type="noConversion"/>
  </si>
  <si>
    <t>2팀은 제이엔제이 이전</t>
    <phoneticPr fontId="1" type="noConversion"/>
  </si>
  <si>
    <t>3팀은 신규 도입</t>
    <phoneticPr fontId="1" type="noConversion"/>
  </si>
  <si>
    <t>구 강동</t>
    <phoneticPr fontId="1" type="noConversion"/>
  </si>
  <si>
    <t>글래드피스토스</t>
    <phoneticPr fontId="10" type="noConversion"/>
  </si>
  <si>
    <t>글래드상동</t>
    <phoneticPr fontId="10" type="noConversion"/>
  </si>
  <si>
    <t>글래드방이</t>
    <phoneticPr fontId="10" type="noConversion"/>
  </si>
  <si>
    <t>글래드남동</t>
    <phoneticPr fontId="10" type="noConversion"/>
  </si>
  <si>
    <t>글래드시흥</t>
    <phoneticPr fontId="10" type="noConversion"/>
  </si>
  <si>
    <t>글래드조은</t>
    <phoneticPr fontId="10" type="noConversion"/>
  </si>
  <si>
    <t>인스모아</t>
    <phoneticPr fontId="10" type="noConversion"/>
  </si>
  <si>
    <t>리치라이프</t>
    <phoneticPr fontId="10" type="noConversion"/>
  </si>
  <si>
    <t>&lt;&gt;씨티엠</t>
    <phoneticPr fontId="10" type="noConversion"/>
  </si>
  <si>
    <t>글래드HL</t>
    <phoneticPr fontId="10" type="noConversion"/>
  </si>
  <si>
    <t>글래드프라임</t>
    <phoneticPr fontId="10" type="noConversion"/>
  </si>
  <si>
    <t>&lt;&gt;프라임2팀</t>
    <phoneticPr fontId="10" type="noConversion"/>
  </si>
  <si>
    <t>글래드라온</t>
    <phoneticPr fontId="10" type="noConversion"/>
  </si>
  <si>
    <t>글래드신중동</t>
    <phoneticPr fontId="10" type="noConversion"/>
  </si>
  <si>
    <t>글래드성공</t>
    <phoneticPr fontId="10" type="noConversion"/>
  </si>
  <si>
    <t>글래드송내</t>
    <phoneticPr fontId="10" type="noConversion"/>
  </si>
  <si>
    <t>&lt;&gt;3팀</t>
    <phoneticPr fontId="10" type="noConversion"/>
  </si>
  <si>
    <t>글래드강동</t>
    <phoneticPr fontId="10" type="noConversion"/>
  </si>
  <si>
    <t>글래드경기</t>
    <phoneticPr fontId="10" type="noConversion"/>
  </si>
  <si>
    <t>글래드아이리치</t>
    <phoneticPr fontId="10" type="noConversion"/>
  </si>
  <si>
    <t>글래드의정부</t>
    <phoneticPr fontId="10" type="noConversion"/>
  </si>
  <si>
    <t>강동</t>
    <phoneticPr fontId="10" type="noConversion"/>
  </si>
  <si>
    <t>원장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</si>
</sst>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;[Red]\-#,##0\ "/>
    <numFmt numFmtId="177" formatCode="0.0%"/>
  </numFmts>
  <fonts count="5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rgb="FF000000"/>
      <name val="Calibri"/>
      <family val="2"/>
    </font>
    <font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rgb="FFFF0000"/>
      <name val="맑은 고딕"/>
      <family val="2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00B050"/>
      <name val="맑은 고딕"/>
      <family val="2"/>
      <charset val="129"/>
      <scheme val="minor"/>
    </font>
    <font>
      <sz val="8"/>
      <name val="나눔고딕"/>
      <family val="2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rgb="FF00B05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9"/>
      <name val="맑은 고딕"/>
      <family val="3"/>
      <charset val="129"/>
    </font>
    <font>
      <sz val="11"/>
      <color indexed="8"/>
      <name val="맑은 고딕"/>
      <family val="2"/>
      <scheme val="minor"/>
    </font>
    <font>
      <sz val="10"/>
      <color theme="0" tint="-0.249977111117893"/>
      <name val="맑은 고딕"/>
      <family val="3"/>
      <charset val="129"/>
      <scheme val="minor"/>
    </font>
    <font>
      <b/>
      <sz val="10"/>
      <color rgb="FF0B527E"/>
      <name val="맑은 고딕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9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11"/>
      <color theme="0" tint="-0.34998626667073579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 tint="-0.14999847407452621"/>
      <name val="맑은 고딕"/>
      <family val="2"/>
      <charset val="129"/>
      <scheme val="minor"/>
    </font>
    <font>
      <sz val="9"/>
      <color theme="0" tint="-0.14999847407452621"/>
      <name val="맑은 고딕"/>
      <family val="2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color rgb="FF333333"/>
      <name val="Dotum"/>
      <family val="3"/>
    </font>
    <font>
      <sz val="10"/>
      <color theme="1"/>
      <name val="나눔고딕"/>
      <family val="3"/>
      <charset val="129"/>
    </font>
    <font>
      <sz val="10"/>
      <color theme="4" tint="-0.249977111117893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31" fillId="0" borderId="0">
      <alignment vertical="center"/>
    </xf>
  </cellStyleXfs>
  <cellXfs count="126">
    <xf numFmtId="0" fontId="0" fillId="0" borderId="0" xfId="0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11" fillId="0" borderId="0" xfId="0" applyFont="1">
      <alignment vertical="center"/>
    </xf>
    <xf numFmtId="0" fontId="5" fillId="0" borderId="1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4" fillId="4" borderId="0" xfId="0" applyFont="1" applyFill="1">
      <alignment vertical="center"/>
    </xf>
    <xf numFmtId="0" fontId="15" fillId="4" borderId="0" xfId="0" applyFont="1" applyFill="1">
      <alignment vertical="center"/>
    </xf>
    <xf numFmtId="0" fontId="16" fillId="0" borderId="0" xfId="0" applyFont="1">
      <alignment vertical="center"/>
    </xf>
    <xf numFmtId="0" fontId="14" fillId="4" borderId="1" xfId="0" applyFont="1" applyFill="1" applyBorder="1" applyAlignment="1">
      <alignment horizontal="center" vertical="center"/>
    </xf>
    <xf numFmtId="0" fontId="17" fillId="4" borderId="0" xfId="0" applyFont="1" applyFill="1">
      <alignment vertical="center"/>
    </xf>
    <xf numFmtId="0" fontId="18" fillId="4" borderId="0" xfId="0" applyFont="1" applyFill="1">
      <alignment vertical="center"/>
    </xf>
    <xf numFmtId="0" fontId="19" fillId="2" borderId="1" xfId="4" applyFont="1" applyFill="1" applyBorder="1" applyAlignment="1">
      <alignment horizontal="center" vertical="center"/>
    </xf>
    <xf numFmtId="0" fontId="19" fillId="2" borderId="1" xfId="4" applyFont="1" applyFill="1" applyBorder="1" applyAlignment="1">
      <alignment horizontal="center" vertical="center"/>
    </xf>
    <xf numFmtId="0" fontId="5" fillId="3" borderId="0" xfId="0" applyFont="1" applyFill="1">
      <alignment vertical="center"/>
    </xf>
    <xf numFmtId="0" fontId="20" fillId="0" borderId="1" xfId="4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1" fillId="0" borderId="1" xfId="4" applyFont="1" applyBorder="1" applyAlignment="1">
      <alignment horizontal="center" vertical="center"/>
    </xf>
    <xf numFmtId="0" fontId="22" fillId="0" borderId="1" xfId="0" applyFont="1" applyBorder="1">
      <alignment vertical="center"/>
    </xf>
    <xf numFmtId="0" fontId="13" fillId="0" borderId="1" xfId="0" applyFont="1" applyBorder="1">
      <alignment vertical="center"/>
    </xf>
    <xf numFmtId="38" fontId="0" fillId="0" borderId="0" xfId="0" applyNumberFormat="1">
      <alignment vertical="center"/>
    </xf>
    <xf numFmtId="38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25" fillId="0" borderId="1" xfId="0" applyFont="1" applyBorder="1" applyAlignment="1">
      <alignment horizontal="center" vertical="center"/>
    </xf>
    <xf numFmtId="176" fontId="25" fillId="5" borderId="1" xfId="0" applyNumberFormat="1" applyFont="1" applyFill="1" applyBorder="1">
      <alignment vertical="center"/>
    </xf>
    <xf numFmtId="0" fontId="11" fillId="0" borderId="1" xfId="0" applyFont="1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Fill="1" applyBorder="1" applyAlignment="1">
      <alignment horizontal="right" vertical="center"/>
    </xf>
    <xf numFmtId="0" fontId="26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38" fontId="5" fillId="0" borderId="0" xfId="0" quotePrefix="1" applyNumberFormat="1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9" fillId="6" borderId="0" xfId="0" applyFont="1" applyFill="1" applyBorder="1" applyAlignment="1">
      <alignment horizontal="left" vertical="center"/>
    </xf>
    <xf numFmtId="0" fontId="30" fillId="0" borderId="1" xfId="4" applyFont="1" applyBorder="1" applyAlignment="1">
      <alignment horizontal="left" vertical="center"/>
    </xf>
    <xf numFmtId="0" fontId="30" fillId="0" borderId="1" xfId="4" applyFont="1" applyBorder="1" applyAlignment="1">
      <alignment horizontal="center" vertical="center"/>
    </xf>
    <xf numFmtId="0" fontId="30" fillId="0" borderId="1" xfId="6" applyFont="1" applyBorder="1" applyAlignment="1">
      <alignment horizontal="left" vertical="center"/>
    </xf>
    <xf numFmtId="0" fontId="32" fillId="0" borderId="1" xfId="0" applyFont="1" applyBorder="1" applyAlignment="1">
      <alignment horizontal="center" vertical="center"/>
    </xf>
    <xf numFmtId="0" fontId="32" fillId="0" borderId="1" xfId="4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9" fillId="0" borderId="0" xfId="0" applyFont="1">
      <alignment vertical="center"/>
    </xf>
    <xf numFmtId="0" fontId="33" fillId="0" borderId="1" xfId="6" applyFont="1" applyBorder="1" applyAlignment="1">
      <alignment horizontal="center" vertical="center"/>
    </xf>
    <xf numFmtId="0" fontId="30" fillId="0" borderId="1" xfId="6" applyFont="1" applyBorder="1" applyAlignment="1">
      <alignment horizontal="center" vertical="center"/>
    </xf>
    <xf numFmtId="0" fontId="31" fillId="0" borderId="0" xfId="6">
      <alignment vertical="center"/>
    </xf>
    <xf numFmtId="0" fontId="6" fillId="0" borderId="0" xfId="4" applyAlignment="1"/>
    <xf numFmtId="0" fontId="0" fillId="0" borderId="0" xfId="0" applyFill="1" applyBorder="1">
      <alignment vertical="center"/>
    </xf>
    <xf numFmtId="0" fontId="0" fillId="0" borderId="0" xfId="0" applyAlignment="1"/>
    <xf numFmtId="0" fontId="5" fillId="0" borderId="1" xfId="0" applyFont="1" applyBorder="1" applyAlignment="1">
      <alignment horizontal="center" vertical="center"/>
    </xf>
    <xf numFmtId="0" fontId="0" fillId="7" borderId="1" xfId="0" applyFill="1" applyBorder="1">
      <alignment vertical="center"/>
    </xf>
    <xf numFmtId="0" fontId="0" fillId="8" borderId="0" xfId="0" applyFill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49" fontId="0" fillId="0" borderId="1" xfId="0" applyNumberFormat="1" applyFill="1" applyBorder="1">
      <alignment vertical="center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Fill="1" applyBorder="1" applyAlignment="1">
      <alignment horizontal="left" vertical="center"/>
    </xf>
    <xf numFmtId="0" fontId="34" fillId="0" borderId="1" xfId="0" applyFont="1" applyBorder="1" applyAlignment="1">
      <alignment horizontal="left" vertical="center"/>
    </xf>
    <xf numFmtId="0" fontId="35" fillId="0" borderId="1" xfId="0" applyFont="1" applyFill="1" applyBorder="1" applyAlignment="1">
      <alignment horizontal="left" vertical="center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>
      <alignment vertical="center"/>
    </xf>
    <xf numFmtId="0" fontId="35" fillId="0" borderId="1" xfId="0" applyFont="1" applyBorder="1" applyAlignment="1">
      <alignment horizontal="center" vertical="center"/>
    </xf>
    <xf numFmtId="0" fontId="34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19" fillId="2" borderId="1" xfId="4" applyFont="1" applyFill="1" applyBorder="1" applyAlignment="1">
      <alignment horizontal="center" vertical="center"/>
    </xf>
    <xf numFmtId="0" fontId="36" fillId="0" borderId="1" xfId="6" applyFont="1" applyBorder="1" applyAlignment="1">
      <alignment horizontal="center" vertical="center"/>
    </xf>
    <xf numFmtId="0" fontId="36" fillId="0" borderId="1" xfId="6" applyFont="1" applyBorder="1" applyAlignment="1">
      <alignment horizontal="left" vertical="center"/>
    </xf>
    <xf numFmtId="0" fontId="37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0" fillId="0" borderId="0" xfId="0" applyNumberFormat="1" applyFill="1" applyBorder="1">
      <alignment vertical="center"/>
    </xf>
    <xf numFmtId="0" fontId="38" fillId="0" borderId="0" xfId="0" applyFont="1">
      <alignment vertical="center"/>
    </xf>
    <xf numFmtId="0" fontId="39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176" fontId="35" fillId="0" borderId="0" xfId="0" applyNumberFormat="1" applyFont="1">
      <alignment vertical="center"/>
    </xf>
    <xf numFmtId="0" fontId="42" fillId="0" borderId="0" xfId="0" applyFont="1">
      <alignment vertical="center"/>
    </xf>
    <xf numFmtId="0" fontId="43" fillId="0" borderId="1" xfId="0" applyFont="1" applyBorder="1">
      <alignment vertical="center"/>
    </xf>
    <xf numFmtId="0" fontId="44" fillId="0" borderId="1" xfId="0" applyFont="1" applyBorder="1" applyAlignment="1">
      <alignment vertical="center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>
      <alignment vertical="center"/>
    </xf>
    <xf numFmtId="0" fontId="45" fillId="0" borderId="0" xfId="0" applyFont="1">
      <alignment vertical="center"/>
    </xf>
    <xf numFmtId="0" fontId="36" fillId="0" borderId="0" xfId="6" applyFont="1" applyFill="1" applyBorder="1" applyAlignment="1">
      <alignment horizontal="left" vertical="center"/>
    </xf>
    <xf numFmtId="0" fontId="13" fillId="0" borderId="2" xfId="0" applyFont="1" applyBorder="1" applyAlignment="1">
      <alignment vertical="center"/>
    </xf>
    <xf numFmtId="176" fontId="25" fillId="5" borderId="2" xfId="0" applyNumberFormat="1" applyFont="1" applyFill="1" applyBorder="1">
      <alignment vertical="center"/>
    </xf>
    <xf numFmtId="0" fontId="25" fillId="0" borderId="2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38" fontId="5" fillId="0" borderId="0" xfId="0" applyNumberFormat="1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NumberFormat="1" applyBorder="1">
      <alignment vertical="center"/>
    </xf>
    <xf numFmtId="49" fontId="48" fillId="9" borderId="7" xfId="0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177" fontId="11" fillId="0" borderId="1" xfId="0" applyNumberFormat="1" applyFont="1" applyBorder="1">
      <alignment vertical="center"/>
    </xf>
    <xf numFmtId="0" fontId="19" fillId="2" borderId="1" xfId="4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49" fontId="0" fillId="0" borderId="8" xfId="0" applyNumberFormat="1" applyBorder="1" applyAlignment="1">
      <alignment vertical="center" wrapText="1"/>
    </xf>
    <xf numFmtId="0" fontId="49" fillId="0" borderId="1" xfId="0" applyFont="1" applyBorder="1" applyAlignment="1">
      <alignment horizontal="center" vertical="center"/>
    </xf>
    <xf numFmtId="0" fontId="50" fillId="0" borderId="0" xfId="0" applyFont="1">
      <alignment vertical="center"/>
    </xf>
  </cellXfs>
  <cellStyles count="7">
    <cellStyle name="백분율 2" xfId="5"/>
    <cellStyle name="쉼표 [0] 2 3" xfId="2"/>
    <cellStyle name="표준" xfId="0" builtinId="0"/>
    <cellStyle name="표준 118" xfId="1"/>
    <cellStyle name="표준 2" xfId="4"/>
    <cellStyle name="표준 2 2" xfId="6"/>
    <cellStyle name="표준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175260</xdr:colOff>
          <xdr:row>6</xdr:row>
          <xdr:rowOff>60960</xdr:rowOff>
        </xdr:from>
        <xdr:to>
          <xdr:col>7</xdr:col>
          <xdr:colOff>1181100</xdr:colOff>
          <xdr:row>8</xdr:row>
          <xdr:rowOff>22860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KJ정산생성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175260</xdr:colOff>
          <xdr:row>1</xdr:row>
          <xdr:rowOff>76200</xdr:rowOff>
        </xdr:from>
        <xdr:to>
          <xdr:col>7</xdr:col>
          <xdr:colOff>1181100</xdr:colOff>
          <xdr:row>3</xdr:row>
          <xdr:rowOff>38100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파일명 설정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175260</xdr:colOff>
          <xdr:row>3</xdr:row>
          <xdr:rowOff>114300</xdr:rowOff>
        </xdr:from>
        <xdr:to>
          <xdr:col>7</xdr:col>
          <xdr:colOff>1181100</xdr:colOff>
          <xdr:row>5</xdr:row>
          <xdr:rowOff>76200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원장정산/OR 값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13</xdr:row>
          <xdr:rowOff>137160</xdr:rowOff>
        </xdr:from>
        <xdr:to>
          <xdr:col>8</xdr:col>
          <xdr:colOff>266700</xdr:colOff>
          <xdr:row>15</xdr:row>
          <xdr:rowOff>99060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파일명 설정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10</xdr:row>
          <xdr:rowOff>99060</xdr:rowOff>
        </xdr:from>
        <xdr:to>
          <xdr:col>2</xdr:col>
          <xdr:colOff>1584960</xdr:colOff>
          <xdr:row>12</xdr:row>
          <xdr:rowOff>68580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월별손익 갱신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556260</xdr:colOff>
          <xdr:row>4</xdr:row>
          <xdr:rowOff>0</xdr:rowOff>
        </xdr:from>
        <xdr:to>
          <xdr:col>4</xdr:col>
          <xdr:colOff>38100</xdr:colOff>
          <xdr:row>5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5</xdr:row>
          <xdr:rowOff>152400</xdr:rowOff>
        </xdr:from>
        <xdr:to>
          <xdr:col>3</xdr:col>
          <xdr:colOff>236220</xdr:colOff>
          <xdr:row>7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사원추가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403860</xdr:colOff>
          <xdr:row>5</xdr:row>
          <xdr:rowOff>175260</xdr:rowOff>
        </xdr:from>
        <xdr:to>
          <xdr:col>7</xdr:col>
          <xdr:colOff>0</xdr:colOff>
          <xdr:row>7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누계시트 수식반영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4544;&#47196;&#48268;&#48177;&#50629;(180329)/04.&#49688;&#49688;&#47308;&#51089;&#50629;/202110&#49688;&#49688;&#47308;/202110_&#44544;&#47000;&#46300;&#44221;&#44592;_&#49688;&#51077;&#50896;&#51109;&#51221;&#4932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정산작업"/>
      <sheetName val="Sheet1"/>
      <sheetName val="IBSS장기"/>
      <sheetName val="IBSS생보"/>
      <sheetName val="IBSS자동차"/>
      <sheetName val="IBSS일반"/>
      <sheetName val="전월수입"/>
      <sheetName val="전월이월수입"/>
      <sheetName val="항목별"/>
      <sheetName val="동양생명"/>
      <sheetName val="미래에셋생명"/>
      <sheetName val="한화생명"/>
      <sheetName val="DB생명"/>
      <sheetName val="KDB생명"/>
      <sheetName val="교보생명"/>
      <sheetName val="삼성생명"/>
      <sheetName val="DGB생명"/>
      <sheetName val="신한라이프"/>
      <sheetName val="흥국생명"/>
      <sheetName val="AIA생명"/>
      <sheetName val="ABL생명"/>
      <sheetName val="메트라이프생명"/>
      <sheetName val="라이나생명"/>
      <sheetName val="푸본현대생명"/>
      <sheetName val="KB생명"/>
      <sheetName val="농협생명"/>
      <sheetName val="IBK연금보험"/>
      <sheetName val="PCA생명"/>
      <sheetName val="오렌지라이프"/>
      <sheetName val="처브라이프"/>
      <sheetName val="푸르덴셜생명"/>
      <sheetName val="카디프생명"/>
      <sheetName val="삼성화재"/>
      <sheetName val="현대해상"/>
      <sheetName val="KB손보"/>
      <sheetName val="메리츠화재"/>
      <sheetName val="DB손보"/>
      <sheetName val="한화손보"/>
      <sheetName val="롯데손보"/>
      <sheetName val="흥국화재"/>
      <sheetName val="MG손보"/>
      <sheetName val="농협손보"/>
      <sheetName val="AIG손해보험"/>
      <sheetName val="처브손해보험"/>
      <sheetName val="하나손해보험"/>
    </sheetNames>
    <sheetDataSet>
      <sheetData sheetId="0">
        <row r="62">
          <cell r="B62" t="str">
            <v>차액지급금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6"/>
  <sheetViews>
    <sheetView topLeftCell="A10" zoomScale="90" zoomScaleNormal="90" workbookViewId="0">
      <selection activeCell="B14" sqref="B14"/>
    </sheetView>
  </sheetViews>
  <sheetFormatPr defaultRowHeight="17.399999999999999"/>
  <cols>
    <col min="1" max="1" width="37.5" bestFit="1" customWidth="1"/>
    <col min="2" max="20" width="12.59765625" customWidth="1"/>
  </cols>
  <sheetData>
    <row r="1" spans="1:3">
      <c r="A1" t="s">
        <v>92</v>
      </c>
      <c r="B1" t="s">
        <v>3</v>
      </c>
      <c r="C1" t="s">
        <v>9</v>
      </c>
    </row>
    <row r="2" spans="1:3">
      <c r="A2" s="9" t="s">
        <v>61</v>
      </c>
      <c r="B2" t="s">
        <v>6</v>
      </c>
      <c r="C2" t="s">
        <v>62</v>
      </c>
    </row>
    <row r="3" spans="1:3">
      <c r="A3" s="8" t="s">
        <v>84</v>
      </c>
      <c r="B3" t="s">
        <v>6</v>
      </c>
      <c r="C3" t="s">
        <v>85</v>
      </c>
    </row>
    <row r="4" spans="1:3">
      <c r="A4" s="8"/>
      <c r="B4" t="s">
        <v>89</v>
      </c>
      <c r="C4" t="s">
        <v>93</v>
      </c>
    </row>
    <row r="5" spans="1:3">
      <c r="A5" s="8" t="s">
        <v>91</v>
      </c>
      <c r="B5" t="s">
        <v>6</v>
      </c>
      <c r="C5" t="s">
        <v>63</v>
      </c>
    </row>
    <row r="6" spans="1:3">
      <c r="A6" s="8"/>
      <c r="B6" t="s">
        <v>89</v>
      </c>
      <c r="C6" t="s">
        <v>90</v>
      </c>
    </row>
    <row r="7" spans="1:3">
      <c r="A7" s="8"/>
      <c r="B7" t="s">
        <v>8</v>
      </c>
      <c r="C7" t="s">
        <v>88</v>
      </c>
    </row>
    <row r="8" spans="1:3">
      <c r="A8" s="9"/>
      <c r="B8" t="s">
        <v>7</v>
      </c>
      <c r="C8" t="s">
        <v>66</v>
      </c>
    </row>
    <row r="9" spans="1:3">
      <c r="A9" s="9"/>
      <c r="C9" t="s">
        <v>127</v>
      </c>
    </row>
    <row r="10" spans="1:3">
      <c r="A10" s="9"/>
      <c r="C10" t="s">
        <v>128</v>
      </c>
    </row>
    <row r="11" spans="1:3" ht="15" customHeight="1">
      <c r="A11" t="s">
        <v>104</v>
      </c>
      <c r="B11" t="s">
        <v>105</v>
      </c>
      <c r="C11" t="s">
        <v>106</v>
      </c>
    </row>
    <row r="12" spans="1:3" ht="15" customHeight="1">
      <c r="B12" t="s">
        <v>7</v>
      </c>
      <c r="C12" t="s">
        <v>119</v>
      </c>
    </row>
    <row r="13" spans="1:3" ht="15" customHeight="1"/>
    <row r="14" spans="1:3" ht="15" customHeight="1"/>
    <row r="15" spans="1:3">
      <c r="A15" s="7" t="s">
        <v>67</v>
      </c>
    </row>
    <row r="16" spans="1:3">
      <c r="A16" s="10" t="s">
        <v>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244"/>
  <sheetViews>
    <sheetView tabSelected="1" zoomScaleNormal="100" workbookViewId="0">
      <selection activeCell="H14" sqref="H14"/>
    </sheetView>
  </sheetViews>
  <sheetFormatPr defaultColWidth="9" defaultRowHeight="17.399999999999999"/>
  <cols>
    <col min="1" max="1" width="9" style="12"/>
    <col min="2" max="2" width="13.09765625" style="12" customWidth="1"/>
    <col min="3" max="6" width="10.59765625" style="12" customWidth="1"/>
    <col min="7" max="7" width="9" style="12"/>
    <col min="8" max="8" width="22" style="12" customWidth="1"/>
    <col min="9" max="9" width="14.8984375" style="16" customWidth="1"/>
    <col min="10" max="10" width="14.59765625" style="16" bestFit="1" customWidth="1"/>
    <col min="11" max="11" width="9" style="16"/>
    <col min="12" max="12" width="9.8984375" style="16" customWidth="1"/>
    <col min="13" max="13" width="9" style="16"/>
    <col min="14" max="14" width="14.59765625" style="16" bestFit="1" customWidth="1"/>
    <col min="15" max="15" width="9" style="16"/>
    <col min="16" max="16" width="16.09765625" style="16" customWidth="1"/>
    <col min="17" max="27" width="9" style="16"/>
    <col min="28" max="28" width="17" style="16" bestFit="1" customWidth="1"/>
    <col min="29" max="29" width="12.3984375" style="16" bestFit="1" customWidth="1"/>
    <col min="30" max="42" width="9" style="16"/>
    <col min="43" max="16384" width="9" style="12"/>
  </cols>
  <sheetData>
    <row r="1" spans="1:29" ht="21">
      <c r="A1" s="14" t="s">
        <v>47</v>
      </c>
      <c r="W1" s="46"/>
      <c r="X1" s="105" t="str">
        <f>[1]정산작업!B62</f>
        <v>차액지급금</v>
      </c>
    </row>
    <row r="2" spans="1:29">
      <c r="W2" s="46"/>
    </row>
    <row r="3" spans="1:29">
      <c r="A3" s="19" t="s">
        <v>35</v>
      </c>
      <c r="B3" s="20"/>
      <c r="C3" s="12" t="s">
        <v>60</v>
      </c>
      <c r="I3" s="23" t="s">
        <v>51</v>
      </c>
      <c r="J3" s="24"/>
      <c r="L3" s="59" t="s">
        <v>157</v>
      </c>
    </row>
    <row r="4" spans="1:29">
      <c r="I4" s="16" t="s">
        <v>36</v>
      </c>
      <c r="AB4" s="16" t="s">
        <v>572</v>
      </c>
      <c r="AC4" s="122" t="s">
        <v>598</v>
      </c>
    </row>
    <row r="5" spans="1:29">
      <c r="A5" s="22" t="s">
        <v>37</v>
      </c>
      <c r="B5" s="21">
        <v>202110</v>
      </c>
      <c r="I5" s="18" t="s">
        <v>33</v>
      </c>
      <c r="L5" s="18" t="s">
        <v>34</v>
      </c>
      <c r="P5" s="18" t="s">
        <v>145</v>
      </c>
      <c r="U5" s="18" t="s">
        <v>68</v>
      </c>
      <c r="W5" s="18" t="s">
        <v>38</v>
      </c>
      <c r="AB5" s="113" t="s">
        <v>564</v>
      </c>
      <c r="AC5" s="113" t="str">
        <f>IF(AC4="원장","직할지점","팀")</f>
        <v>직할지점</v>
      </c>
    </row>
    <row r="6" spans="1:29">
      <c r="A6" s="22" t="s">
        <v>52</v>
      </c>
      <c r="B6" s="16" t="s">
        <v>46</v>
      </c>
      <c r="I6" s="25" t="s">
        <v>22</v>
      </c>
      <c r="J6" s="25" t="s">
        <v>23</v>
      </c>
      <c r="L6" s="115" t="s">
        <v>24</v>
      </c>
      <c r="M6" s="115"/>
      <c r="N6" s="25" t="s">
        <v>25</v>
      </c>
      <c r="P6" s="115" t="s">
        <v>26</v>
      </c>
      <c r="Q6" s="115"/>
      <c r="R6" s="25" t="s">
        <v>14</v>
      </c>
      <c r="U6" s="26" t="s">
        <v>28</v>
      </c>
      <c r="W6" s="27"/>
      <c r="AB6" s="124" t="s">
        <v>576</v>
      </c>
      <c r="AC6" s="124"/>
    </row>
    <row r="7" spans="1:29">
      <c r="B7" s="16" t="s">
        <v>50</v>
      </c>
      <c r="I7" s="28" t="s">
        <v>420</v>
      </c>
      <c r="J7" s="13" t="s">
        <v>494</v>
      </c>
      <c r="K7" s="29"/>
      <c r="L7" s="61" t="s">
        <v>144</v>
      </c>
      <c r="M7" s="54" t="s">
        <v>18</v>
      </c>
      <c r="N7" s="61" t="s">
        <v>498</v>
      </c>
      <c r="O7" s="29"/>
      <c r="P7" s="66" t="s">
        <v>450</v>
      </c>
      <c r="Q7" s="54" t="s">
        <v>18</v>
      </c>
      <c r="R7" s="66" t="s">
        <v>500</v>
      </c>
      <c r="S7" s="66" t="s">
        <v>30</v>
      </c>
      <c r="U7" s="17" t="s">
        <v>29</v>
      </c>
      <c r="AB7" s="124" t="s">
        <v>547</v>
      </c>
      <c r="AC7" s="124"/>
    </row>
    <row r="8" spans="1:29">
      <c r="B8" s="18" t="s">
        <v>65</v>
      </c>
      <c r="C8" s="16"/>
      <c r="D8" s="16"/>
      <c r="E8" s="16"/>
      <c r="F8" s="16"/>
      <c r="G8" s="16"/>
      <c r="I8" s="28" t="s">
        <v>421</v>
      </c>
      <c r="J8" s="28" t="s">
        <v>421</v>
      </c>
      <c r="K8" s="29"/>
      <c r="L8" s="85" t="s">
        <v>69</v>
      </c>
      <c r="M8" s="54" t="s">
        <v>18</v>
      </c>
      <c r="N8" s="85" t="s">
        <v>495</v>
      </c>
      <c r="O8" s="29"/>
      <c r="P8" s="66" t="s">
        <v>452</v>
      </c>
      <c r="Q8" s="54" t="s">
        <v>18</v>
      </c>
      <c r="R8" s="66" t="s">
        <v>495</v>
      </c>
      <c r="S8" s="66" t="s">
        <v>141</v>
      </c>
      <c r="AB8" s="124" t="s">
        <v>577</v>
      </c>
      <c r="AC8" s="124"/>
    </row>
    <row r="9" spans="1:29">
      <c r="B9" s="15" t="s">
        <v>43</v>
      </c>
      <c r="C9" s="17" t="s">
        <v>39</v>
      </c>
      <c r="D9" s="17" t="s">
        <v>40</v>
      </c>
      <c r="E9" s="17" t="s">
        <v>41</v>
      </c>
      <c r="F9" s="17" t="s">
        <v>120</v>
      </c>
      <c r="G9" s="16"/>
      <c r="I9" s="28" t="s">
        <v>422</v>
      </c>
      <c r="J9" s="13" t="s">
        <v>422</v>
      </c>
      <c r="K9" s="29"/>
      <c r="L9" s="85" t="s">
        <v>335</v>
      </c>
      <c r="M9" s="54" t="s">
        <v>18</v>
      </c>
      <c r="N9" s="85" t="s">
        <v>446</v>
      </c>
      <c r="O9" s="29"/>
      <c r="P9" s="66" t="s">
        <v>454</v>
      </c>
      <c r="Q9" s="54" t="s">
        <v>18</v>
      </c>
      <c r="R9" s="110" t="s">
        <v>495</v>
      </c>
      <c r="S9" s="66" t="s">
        <v>125</v>
      </c>
      <c r="AB9" s="124" t="s">
        <v>578</v>
      </c>
      <c r="AC9" s="124"/>
    </row>
    <row r="10" spans="1:29">
      <c r="B10" s="31" t="s">
        <v>55</v>
      </c>
      <c r="C10" s="36" t="s">
        <v>56</v>
      </c>
      <c r="D10" s="36" t="s">
        <v>53</v>
      </c>
      <c r="E10" s="36" t="s">
        <v>54</v>
      </c>
      <c r="F10" s="36" t="s">
        <v>121</v>
      </c>
      <c r="G10" s="16" t="s">
        <v>64</v>
      </c>
      <c r="I10" s="28" t="s">
        <v>423</v>
      </c>
      <c r="J10" s="28" t="s">
        <v>423</v>
      </c>
      <c r="K10" s="29"/>
      <c r="L10" s="87" t="s">
        <v>344</v>
      </c>
      <c r="M10" s="54" t="s">
        <v>18</v>
      </c>
      <c r="N10" s="87" t="s">
        <v>499</v>
      </c>
      <c r="O10" s="29"/>
      <c r="P10" s="66" t="s">
        <v>456</v>
      </c>
      <c r="Q10" s="54"/>
      <c r="R10" s="110" t="s">
        <v>495</v>
      </c>
      <c r="S10" s="66" t="s">
        <v>126</v>
      </c>
      <c r="U10" s="16" t="s">
        <v>530</v>
      </c>
      <c r="AB10" s="124" t="s">
        <v>579</v>
      </c>
      <c r="AC10" s="124"/>
    </row>
    <row r="11" spans="1:29">
      <c r="B11" s="32" t="s">
        <v>414</v>
      </c>
      <c r="C11" s="37">
        <v>7219936.1599999964</v>
      </c>
      <c r="D11" s="37">
        <v>997.59999999999945</v>
      </c>
      <c r="E11" s="37">
        <v>156513.3200000003</v>
      </c>
      <c r="F11" s="37">
        <v>3481556.4399999976</v>
      </c>
      <c r="G11" s="16"/>
      <c r="H11" s="93">
        <f>SUM(C11:F11)</f>
        <v>10859003.519999994</v>
      </c>
      <c r="I11" s="28" t="s">
        <v>425</v>
      </c>
      <c r="J11" s="28" t="s">
        <v>425</v>
      </c>
      <c r="K11" s="29"/>
      <c r="L11" s="91" t="s">
        <v>350</v>
      </c>
      <c r="M11" s="54" t="s">
        <v>18</v>
      </c>
      <c r="N11" s="110" t="s">
        <v>446</v>
      </c>
      <c r="O11" s="29"/>
      <c r="P11" s="107" t="s">
        <v>458</v>
      </c>
      <c r="Q11" s="54"/>
      <c r="R11" s="110" t="s">
        <v>495</v>
      </c>
      <c r="S11" s="107" t="s">
        <v>412</v>
      </c>
      <c r="U11" s="16" t="s">
        <v>528</v>
      </c>
      <c r="AB11" s="124" t="s">
        <v>580</v>
      </c>
      <c r="AC11" s="124"/>
    </row>
    <row r="12" spans="1:29">
      <c r="B12" s="32" t="s">
        <v>415</v>
      </c>
      <c r="C12" s="37">
        <v>2838640.8499999978</v>
      </c>
      <c r="D12" s="37">
        <v>4595.6499999999996</v>
      </c>
      <c r="E12" s="37">
        <v>0</v>
      </c>
      <c r="F12" s="37">
        <v>441310.35000000009</v>
      </c>
      <c r="G12" s="16"/>
      <c r="H12" s="93">
        <f t="shared" ref="H12:H15" si="0">SUM(C12:F12)</f>
        <v>3284546.8499999978</v>
      </c>
      <c r="I12" s="28" t="s">
        <v>256</v>
      </c>
      <c r="J12" s="13" t="s">
        <v>16</v>
      </c>
      <c r="K12" s="29"/>
      <c r="L12" s="53"/>
      <c r="M12" s="54"/>
      <c r="N12" s="53"/>
      <c r="O12" s="29"/>
      <c r="P12" s="80" t="s">
        <v>460</v>
      </c>
      <c r="Q12" s="54"/>
      <c r="R12" s="110" t="s">
        <v>495</v>
      </c>
      <c r="S12" s="80" t="s">
        <v>308</v>
      </c>
      <c r="U12" s="16" t="s">
        <v>529</v>
      </c>
      <c r="W12" s="66" t="s">
        <v>461</v>
      </c>
      <c r="X12" s="54" t="s">
        <v>18</v>
      </c>
      <c r="Y12" s="66" t="s">
        <v>19</v>
      </c>
      <c r="Z12" s="66" t="s">
        <v>21</v>
      </c>
      <c r="AB12" s="124" t="s">
        <v>581</v>
      </c>
      <c r="AC12" s="124"/>
    </row>
    <row r="13" spans="1:29">
      <c r="B13" s="32" t="s">
        <v>416</v>
      </c>
      <c r="C13" s="37">
        <v>230509.79999999981</v>
      </c>
      <c r="D13" s="37">
        <v>0</v>
      </c>
      <c r="E13" s="37">
        <v>-22997.349999999977</v>
      </c>
      <c r="F13" s="37">
        <v>719832</v>
      </c>
      <c r="G13" s="16"/>
      <c r="H13" s="93">
        <f t="shared" ref="H13:H14" si="1">SUM(C13:F13)</f>
        <v>927344.44999999984</v>
      </c>
      <c r="I13" s="28" t="s">
        <v>426</v>
      </c>
      <c r="J13" s="13" t="s">
        <v>17</v>
      </c>
      <c r="K13" s="29"/>
      <c r="L13" s="17"/>
      <c r="M13" s="54"/>
      <c r="N13" s="17"/>
      <c r="O13" s="29"/>
      <c r="P13" s="66" t="s">
        <v>463</v>
      </c>
      <c r="Q13" s="54" t="s">
        <v>18</v>
      </c>
      <c r="R13" s="51" t="s">
        <v>447</v>
      </c>
      <c r="S13" s="66" t="s">
        <v>135</v>
      </c>
      <c r="W13" s="66" t="s">
        <v>464</v>
      </c>
      <c r="X13" s="54" t="s">
        <v>18</v>
      </c>
      <c r="Y13" s="66" t="s">
        <v>20</v>
      </c>
      <c r="Z13" s="66" t="s">
        <v>27</v>
      </c>
      <c r="AB13" s="124" t="s">
        <v>582</v>
      </c>
      <c r="AC13" s="124"/>
    </row>
    <row r="14" spans="1:29">
      <c r="B14" s="32"/>
      <c r="C14" s="37"/>
      <c r="D14" s="37"/>
      <c r="E14" s="37"/>
      <c r="F14" s="37"/>
      <c r="G14" s="16"/>
      <c r="H14" s="93">
        <f t="shared" si="1"/>
        <v>0</v>
      </c>
      <c r="I14" s="28" t="s">
        <v>441</v>
      </c>
      <c r="J14" s="13" t="s">
        <v>17</v>
      </c>
      <c r="K14" s="29"/>
      <c r="L14" s="17"/>
      <c r="M14" s="54"/>
      <c r="N14" s="17"/>
      <c r="O14" s="29"/>
      <c r="P14" s="61" t="s">
        <v>466</v>
      </c>
      <c r="Q14" s="66" t="s">
        <v>272</v>
      </c>
      <c r="R14" s="66" t="s">
        <v>497</v>
      </c>
      <c r="S14" s="66" t="s">
        <v>262</v>
      </c>
      <c r="W14" s="66" t="s">
        <v>455</v>
      </c>
      <c r="X14" s="54" t="s">
        <v>18</v>
      </c>
      <c r="Y14" s="66" t="s">
        <v>32</v>
      </c>
      <c r="Z14" s="66" t="s">
        <v>31</v>
      </c>
      <c r="AB14" s="124" t="s">
        <v>583</v>
      </c>
      <c r="AC14" s="124"/>
    </row>
    <row r="15" spans="1:29">
      <c r="B15" s="32"/>
      <c r="C15" s="37"/>
      <c r="D15" s="37"/>
      <c r="E15" s="37"/>
      <c r="F15" s="37"/>
      <c r="G15" s="16"/>
      <c r="H15" s="93">
        <f t="shared" si="0"/>
        <v>0</v>
      </c>
      <c r="I15" s="30" t="s">
        <v>427</v>
      </c>
      <c r="J15" s="109" t="s">
        <v>495</v>
      </c>
      <c r="K15" s="29"/>
      <c r="L15" s="17"/>
      <c r="M15" s="54"/>
      <c r="N15" s="17"/>
      <c r="O15" s="29"/>
      <c r="P15" s="66" t="s">
        <v>448</v>
      </c>
      <c r="Q15" s="54"/>
      <c r="R15" s="110" t="s">
        <v>497</v>
      </c>
      <c r="S15" s="66" t="s">
        <v>263</v>
      </c>
      <c r="W15" s="66" t="s">
        <v>467</v>
      </c>
      <c r="X15" s="55" t="s">
        <v>15</v>
      </c>
      <c r="Y15" s="15" t="s">
        <v>146</v>
      </c>
      <c r="Z15" s="66" t="s">
        <v>138</v>
      </c>
      <c r="AB15" s="124" t="str">
        <f>"=글래드"</f>
        <v>=글래드</v>
      </c>
      <c r="AC15" s="124" t="s">
        <v>584</v>
      </c>
    </row>
    <row r="16" spans="1:29">
      <c r="B16" s="16"/>
      <c r="C16" s="16"/>
      <c r="D16" s="16"/>
      <c r="E16" s="16"/>
      <c r="F16" s="16"/>
      <c r="G16" s="16"/>
      <c r="I16" s="30" t="s">
        <v>442</v>
      </c>
      <c r="J16" s="17" t="s">
        <v>495</v>
      </c>
      <c r="K16" s="29"/>
      <c r="L16" s="17"/>
      <c r="M16" s="54"/>
      <c r="N16" s="17"/>
      <c r="O16" s="29"/>
      <c r="P16" s="66" t="s">
        <v>449</v>
      </c>
      <c r="Q16" s="55"/>
      <c r="R16" s="110" t="s">
        <v>497</v>
      </c>
      <c r="S16" s="66" t="s">
        <v>264</v>
      </c>
      <c r="W16" s="66" t="s">
        <v>468</v>
      </c>
      <c r="X16" s="55" t="s">
        <v>15</v>
      </c>
      <c r="Y16" s="15" t="s">
        <v>146</v>
      </c>
      <c r="Z16" s="66" t="s">
        <v>139</v>
      </c>
      <c r="AB16" s="124" t="s">
        <v>585</v>
      </c>
      <c r="AC16" s="124"/>
    </row>
    <row r="17" spans="2:30">
      <c r="B17" s="18" t="s">
        <v>75</v>
      </c>
      <c r="C17" s="16"/>
      <c r="D17" s="16"/>
      <c r="E17" s="16"/>
      <c r="F17" s="16"/>
      <c r="G17" s="16"/>
      <c r="I17" s="17" t="s">
        <v>424</v>
      </c>
      <c r="J17" s="17" t="s">
        <v>424</v>
      </c>
      <c r="K17" s="29"/>
      <c r="L17" s="17"/>
      <c r="M17" s="54"/>
      <c r="N17" s="17"/>
      <c r="O17" s="29"/>
      <c r="P17" s="66" t="s">
        <v>451</v>
      </c>
      <c r="Q17" s="54"/>
      <c r="R17" s="110" t="s">
        <v>497</v>
      </c>
      <c r="S17" s="66" t="s">
        <v>265</v>
      </c>
      <c r="W17" s="66" t="s">
        <v>469</v>
      </c>
      <c r="X17" s="55" t="s">
        <v>15</v>
      </c>
      <c r="Y17" s="15" t="s">
        <v>146</v>
      </c>
      <c r="Z17" s="66" t="s">
        <v>137</v>
      </c>
      <c r="AB17" s="124" t="s">
        <v>586</v>
      </c>
      <c r="AC17" s="124" t="s">
        <v>587</v>
      </c>
      <c r="AD17" s="125" t="s">
        <v>573</v>
      </c>
    </row>
    <row r="18" spans="2:30">
      <c r="B18" s="116"/>
      <c r="C18" s="39" t="s">
        <v>70</v>
      </c>
      <c r="D18" s="40"/>
      <c r="E18" s="39" t="s">
        <v>45</v>
      </c>
      <c r="F18" s="40"/>
      <c r="G18" s="16"/>
      <c r="I18" s="17" t="s">
        <v>428</v>
      </c>
      <c r="J18" s="17" t="s">
        <v>428</v>
      </c>
      <c r="K18" s="29"/>
      <c r="L18" s="17"/>
      <c r="M18" s="54"/>
      <c r="N18" s="17"/>
      <c r="O18" s="29"/>
      <c r="P18" s="66" t="s">
        <v>453</v>
      </c>
      <c r="Q18" s="54"/>
      <c r="R18" s="110" t="s">
        <v>497</v>
      </c>
      <c r="S18" s="66" t="s">
        <v>266</v>
      </c>
      <c r="W18" s="66" t="s">
        <v>470</v>
      </c>
      <c r="X18" s="55" t="s">
        <v>15</v>
      </c>
      <c r="Y18" s="15" t="s">
        <v>146</v>
      </c>
      <c r="Z18" s="66" t="s">
        <v>140</v>
      </c>
      <c r="AB18" s="124" t="s">
        <v>588</v>
      </c>
      <c r="AC18" s="124"/>
      <c r="AD18" s="125"/>
    </row>
    <row r="19" spans="2:30">
      <c r="B19" s="117"/>
      <c r="C19" s="17" t="s">
        <v>49</v>
      </c>
      <c r="D19" s="17" t="s">
        <v>71</v>
      </c>
      <c r="E19" s="17" t="s">
        <v>49</v>
      </c>
      <c r="F19" s="17" t="s">
        <v>71</v>
      </c>
      <c r="G19" s="16" t="s">
        <v>64</v>
      </c>
      <c r="I19" s="17"/>
      <c r="J19" s="13" t="s">
        <v>496</v>
      </c>
      <c r="K19" s="29"/>
      <c r="L19" s="17"/>
      <c r="M19" s="54"/>
      <c r="N19" s="17"/>
      <c r="O19" s="29"/>
      <c r="P19" s="66" t="s">
        <v>455</v>
      </c>
      <c r="Q19" s="54"/>
      <c r="R19" s="110" t="s">
        <v>497</v>
      </c>
      <c r="S19" s="66" t="s">
        <v>267</v>
      </c>
      <c r="W19" s="53" t="s">
        <v>466</v>
      </c>
      <c r="Z19" s="16" t="s">
        <v>262</v>
      </c>
      <c r="AB19" s="124" t="s">
        <v>589</v>
      </c>
      <c r="AC19" s="124"/>
      <c r="AD19" s="125"/>
    </row>
    <row r="20" spans="2:30">
      <c r="B20" s="104" t="s">
        <v>131</v>
      </c>
      <c r="C20" s="37">
        <v>2348140</v>
      </c>
      <c r="D20" s="36" t="s">
        <v>515</v>
      </c>
      <c r="E20" s="37">
        <v>0</v>
      </c>
      <c r="F20" s="36"/>
      <c r="I20" s="17" t="s">
        <v>429</v>
      </c>
      <c r="J20" s="110" t="s">
        <v>429</v>
      </c>
      <c r="K20" s="29"/>
      <c r="L20" s="17"/>
      <c r="M20" s="54"/>
      <c r="N20" s="17"/>
      <c r="O20" s="29"/>
      <c r="P20" s="66" t="s">
        <v>457</v>
      </c>
      <c r="Q20" s="54"/>
      <c r="R20" s="110" t="s">
        <v>497</v>
      </c>
      <c r="S20" s="66" t="s">
        <v>268</v>
      </c>
      <c r="U20" s="65"/>
      <c r="AB20" s="124" t="s">
        <v>590</v>
      </c>
      <c r="AC20" s="124"/>
      <c r="AD20" s="125"/>
    </row>
    <row r="21" spans="2:30">
      <c r="B21" s="104" t="s">
        <v>146</v>
      </c>
      <c r="C21" s="37">
        <v>2470640</v>
      </c>
      <c r="D21" s="36" t="s">
        <v>516</v>
      </c>
      <c r="E21" s="37">
        <v>0</v>
      </c>
      <c r="F21" s="36"/>
      <c r="I21" s="17" t="s">
        <v>430</v>
      </c>
      <c r="J21" s="17" t="s">
        <v>497</v>
      </c>
      <c r="K21" s="29"/>
      <c r="L21" s="17"/>
      <c r="M21" s="54"/>
      <c r="N21" s="17"/>
      <c r="O21" s="29"/>
      <c r="P21" s="66" t="s">
        <v>459</v>
      </c>
      <c r="Q21" s="54"/>
      <c r="R21" s="110" t="s">
        <v>497</v>
      </c>
      <c r="S21" s="66" t="s">
        <v>269</v>
      </c>
      <c r="AB21" s="124" t="s">
        <v>591</v>
      </c>
      <c r="AC21" s="124" t="s">
        <v>592</v>
      </c>
      <c r="AD21" s="125" t="s">
        <v>574</v>
      </c>
    </row>
    <row r="22" spans="2:30">
      <c r="B22" s="104" t="s">
        <v>253</v>
      </c>
      <c r="C22" s="37"/>
      <c r="D22" s="36" t="s">
        <v>517</v>
      </c>
      <c r="E22" s="37">
        <v>0</v>
      </c>
      <c r="F22" s="36"/>
      <c r="I22" s="47" t="s">
        <v>431</v>
      </c>
      <c r="J22" s="110" t="s">
        <v>431</v>
      </c>
      <c r="K22" s="29"/>
      <c r="L22" s="17"/>
      <c r="M22" s="54"/>
      <c r="N22" s="17"/>
      <c r="O22" s="29"/>
      <c r="P22" s="66" t="s">
        <v>462</v>
      </c>
      <c r="Q22" s="54"/>
      <c r="R22" s="110" t="s">
        <v>497</v>
      </c>
      <c r="S22" s="66" t="s">
        <v>270</v>
      </c>
      <c r="AB22" s="124" t="s">
        <v>593</v>
      </c>
      <c r="AC22" s="124"/>
      <c r="AD22" s="125"/>
    </row>
    <row r="23" spans="2:30">
      <c r="B23" s="104" t="s">
        <v>381</v>
      </c>
      <c r="C23" s="37"/>
      <c r="D23" s="36" t="s">
        <v>518</v>
      </c>
      <c r="E23" s="37">
        <v>0</v>
      </c>
      <c r="F23" s="36"/>
      <c r="G23" s="16"/>
      <c r="I23" s="106" t="s">
        <v>432</v>
      </c>
      <c r="J23" s="110" t="s">
        <v>432</v>
      </c>
      <c r="P23" s="66" t="s">
        <v>465</v>
      </c>
      <c r="Q23" s="54"/>
      <c r="R23" s="110" t="s">
        <v>497</v>
      </c>
      <c r="S23" s="66" t="s">
        <v>271</v>
      </c>
      <c r="AB23" s="124" t="s">
        <v>594</v>
      </c>
      <c r="AC23" s="124"/>
      <c r="AD23" s="125"/>
    </row>
    <row r="24" spans="2:30">
      <c r="B24" s="104" t="s">
        <v>382</v>
      </c>
      <c r="C24" s="37"/>
      <c r="D24" s="36" t="s">
        <v>519</v>
      </c>
      <c r="E24" s="37">
        <v>0</v>
      </c>
      <c r="F24" s="36"/>
      <c r="G24" s="16"/>
      <c r="I24" s="56" t="s">
        <v>404</v>
      </c>
      <c r="J24" s="110" t="s">
        <v>432</v>
      </c>
      <c r="P24" s="66" t="s">
        <v>471</v>
      </c>
      <c r="Q24" s="54"/>
      <c r="R24" s="66" t="s">
        <v>501</v>
      </c>
      <c r="S24" s="66" t="s">
        <v>248</v>
      </c>
      <c r="T24" s="16" t="s">
        <v>249</v>
      </c>
      <c r="AB24" s="124" t="s">
        <v>595</v>
      </c>
      <c r="AC24" s="124"/>
      <c r="AD24" s="125"/>
    </row>
    <row r="25" spans="2:30">
      <c r="B25" s="104" t="s">
        <v>383</v>
      </c>
      <c r="C25" s="37"/>
      <c r="D25" s="36" t="s">
        <v>520</v>
      </c>
      <c r="E25" s="37">
        <v>0</v>
      </c>
      <c r="F25" s="36"/>
      <c r="I25" s="49" t="s">
        <v>433</v>
      </c>
      <c r="J25" s="110" t="s">
        <v>433</v>
      </c>
      <c r="P25" s="80" t="s">
        <v>472</v>
      </c>
      <c r="Q25" s="80"/>
      <c r="R25" s="110" t="s">
        <v>501</v>
      </c>
      <c r="S25" s="80" t="s">
        <v>311</v>
      </c>
      <c r="AB25" s="124" t="s">
        <v>596</v>
      </c>
      <c r="AC25" s="124" t="s">
        <v>597</v>
      </c>
      <c r="AD25" s="125" t="s">
        <v>575</v>
      </c>
    </row>
    <row r="26" spans="2:30">
      <c r="B26" s="104" t="s">
        <v>386</v>
      </c>
      <c r="C26" s="37"/>
      <c r="D26" s="36" t="s">
        <v>521</v>
      </c>
      <c r="E26" s="37">
        <v>0</v>
      </c>
      <c r="F26" s="36"/>
      <c r="G26" s="16"/>
      <c r="I26" s="57" t="s">
        <v>434</v>
      </c>
      <c r="J26" s="110" t="s">
        <v>434</v>
      </c>
      <c r="P26" s="80" t="s">
        <v>473</v>
      </c>
      <c r="Q26" s="80"/>
      <c r="R26" s="80" t="s">
        <v>495</v>
      </c>
      <c r="S26" s="80" t="s">
        <v>312</v>
      </c>
      <c r="AB26"/>
      <c r="AC26"/>
    </row>
    <row r="27" spans="2:30">
      <c r="B27" s="104" t="s">
        <v>405</v>
      </c>
      <c r="C27" s="37"/>
      <c r="D27" s="36" t="s">
        <v>522</v>
      </c>
      <c r="E27" s="37">
        <v>0</v>
      </c>
      <c r="F27" s="36"/>
      <c r="G27" s="16"/>
      <c r="I27" s="52" t="s">
        <v>435</v>
      </c>
      <c r="J27" s="52" t="s">
        <v>435</v>
      </c>
      <c r="P27" s="15" t="s">
        <v>474</v>
      </c>
      <c r="Q27" s="15"/>
      <c r="R27" s="15" t="s">
        <v>446</v>
      </c>
      <c r="S27" s="15" t="s">
        <v>384</v>
      </c>
      <c r="AB27"/>
      <c r="AC27"/>
    </row>
    <row r="28" spans="2:30">
      <c r="B28" s="104" t="s">
        <v>393</v>
      </c>
      <c r="C28" s="37"/>
      <c r="D28" s="36" t="s">
        <v>523</v>
      </c>
      <c r="E28" s="37">
        <v>0</v>
      </c>
      <c r="F28" s="36"/>
      <c r="I28" s="52" t="s">
        <v>431</v>
      </c>
      <c r="J28" s="52" t="s">
        <v>431</v>
      </c>
      <c r="P28" s="112" t="s">
        <v>488</v>
      </c>
      <c r="Q28" s="112" t="s">
        <v>171</v>
      </c>
      <c r="R28" t="s">
        <v>507</v>
      </c>
      <c r="S28" s="112" t="s">
        <v>171</v>
      </c>
      <c r="AB28"/>
      <c r="AC28"/>
    </row>
    <row r="29" spans="2:30">
      <c r="B29" s="104" t="s">
        <v>394</v>
      </c>
      <c r="C29" s="37"/>
      <c r="D29" s="36" t="s">
        <v>524</v>
      </c>
      <c r="E29" s="37">
        <v>0</v>
      </c>
      <c r="F29" s="36"/>
      <c r="G29" s="16"/>
      <c r="I29" s="52" t="s">
        <v>436</v>
      </c>
      <c r="J29" s="52" t="s">
        <v>436</v>
      </c>
      <c r="P29" s="112" t="s">
        <v>484</v>
      </c>
      <c r="Q29" s="112" t="s">
        <v>508</v>
      </c>
      <c r="R29" t="s">
        <v>507</v>
      </c>
      <c r="S29" s="112" t="s">
        <v>508</v>
      </c>
      <c r="V29" s="16" t="s">
        <v>333</v>
      </c>
      <c r="AB29"/>
      <c r="AC29"/>
    </row>
    <row r="30" spans="2:30">
      <c r="B30" s="38"/>
      <c r="C30" s="38"/>
      <c r="D30" s="38"/>
      <c r="E30" s="38"/>
      <c r="F30" s="38"/>
      <c r="I30" s="52" t="s">
        <v>437</v>
      </c>
      <c r="J30" s="52" t="s">
        <v>437</v>
      </c>
      <c r="P30" s="112" t="s">
        <v>486</v>
      </c>
      <c r="Q30" s="112" t="s">
        <v>170</v>
      </c>
      <c r="R30" t="s">
        <v>507</v>
      </c>
      <c r="S30" s="112" t="s">
        <v>170</v>
      </c>
      <c r="V30" s="16" t="s">
        <v>334</v>
      </c>
      <c r="X30" s="59" t="s">
        <v>402</v>
      </c>
      <c r="AB30"/>
      <c r="AC30"/>
    </row>
    <row r="31" spans="2:30">
      <c r="I31" s="52" t="s">
        <v>438</v>
      </c>
      <c r="J31" s="52" t="s">
        <v>438</v>
      </c>
      <c r="P31" s="112" t="s">
        <v>487</v>
      </c>
      <c r="Q31" s="112" t="s">
        <v>169</v>
      </c>
      <c r="R31" t="s">
        <v>507</v>
      </c>
      <c r="S31" s="112" t="s">
        <v>169</v>
      </c>
      <c r="V31" s="115" t="s">
        <v>26</v>
      </c>
      <c r="W31" s="115"/>
      <c r="X31" s="81" t="s">
        <v>14</v>
      </c>
      <c r="AB31"/>
      <c r="AC31"/>
    </row>
    <row r="32" spans="2:30">
      <c r="B32" s="18" t="s">
        <v>57</v>
      </c>
      <c r="C32" s="16"/>
      <c r="D32" s="16"/>
      <c r="E32" s="16"/>
      <c r="F32" s="16"/>
      <c r="I32" s="52" t="s">
        <v>439</v>
      </c>
      <c r="J32" s="52" t="s">
        <v>439</v>
      </c>
      <c r="P32" s="112" t="s">
        <v>485</v>
      </c>
      <c r="Q32" s="112" t="s">
        <v>509</v>
      </c>
      <c r="R32" t="s">
        <v>507</v>
      </c>
      <c r="S32" s="112" t="s">
        <v>509</v>
      </c>
      <c r="V32" s="76" t="s">
        <v>452</v>
      </c>
      <c r="W32" s="84" t="s">
        <v>331</v>
      </c>
      <c r="X32" s="76" t="s">
        <v>332</v>
      </c>
      <c r="Y32" s="76" t="s">
        <v>141</v>
      </c>
      <c r="AB32"/>
      <c r="AC32"/>
    </row>
    <row r="33" spans="2:29">
      <c r="B33" s="17"/>
      <c r="C33" s="118" t="s">
        <v>44</v>
      </c>
      <c r="D33" s="119"/>
      <c r="E33" s="118" t="s">
        <v>48</v>
      </c>
      <c r="F33" s="119"/>
      <c r="G33" s="16" t="s">
        <v>64</v>
      </c>
      <c r="P33" s="112" t="s">
        <v>510</v>
      </c>
      <c r="Q33" s="112" t="s">
        <v>511</v>
      </c>
      <c r="R33" t="s">
        <v>512</v>
      </c>
      <c r="S33" s="112" t="s">
        <v>511</v>
      </c>
      <c r="AB33"/>
      <c r="AC33"/>
    </row>
    <row r="34" spans="2:29">
      <c r="B34" s="101"/>
      <c r="C34" s="17" t="s">
        <v>49</v>
      </c>
      <c r="D34" s="17" t="s">
        <v>71</v>
      </c>
      <c r="E34" s="17" t="s">
        <v>49</v>
      </c>
      <c r="F34" s="17" t="s">
        <v>71</v>
      </c>
      <c r="G34" s="16" t="s">
        <v>64</v>
      </c>
      <c r="P34" s="112" t="s">
        <v>513</v>
      </c>
      <c r="Q34" s="112" t="s">
        <v>514</v>
      </c>
      <c r="R34" t="s">
        <v>512</v>
      </c>
      <c r="S34" s="112" t="s">
        <v>514</v>
      </c>
      <c r="AB34"/>
      <c r="AC34"/>
    </row>
    <row r="35" spans="2:29">
      <c r="B35" s="101" t="s">
        <v>42</v>
      </c>
      <c r="C35" s="102">
        <v>4589434.8</v>
      </c>
      <c r="D35" s="103" t="s">
        <v>307</v>
      </c>
      <c r="E35" s="102">
        <v>1346088.25</v>
      </c>
      <c r="F35" s="103" t="s">
        <v>525</v>
      </c>
      <c r="P35" s="112"/>
      <c r="Q35" s="112"/>
      <c r="R35"/>
      <c r="S35" s="112"/>
      <c r="AB35"/>
      <c r="AC35"/>
    </row>
    <row r="36" spans="2:29">
      <c r="B36" s="101" t="s">
        <v>417</v>
      </c>
      <c r="C36" s="102">
        <v>877021</v>
      </c>
      <c r="D36" s="103" t="s">
        <v>378</v>
      </c>
      <c r="E36" s="102">
        <v>338329.2</v>
      </c>
      <c r="F36" s="103" t="s">
        <v>526</v>
      </c>
      <c r="P36" s="53"/>
      <c r="Q36" s="61"/>
      <c r="R36" s="15"/>
      <c r="V36" s="85" t="s">
        <v>475</v>
      </c>
      <c r="W36" s="54"/>
      <c r="X36" s="85" t="s">
        <v>250</v>
      </c>
      <c r="Y36" s="85" t="s">
        <v>254</v>
      </c>
      <c r="AB36"/>
      <c r="AC36"/>
    </row>
    <row r="37" spans="2:29">
      <c r="B37" s="44" t="s">
        <v>419</v>
      </c>
      <c r="C37" s="37">
        <v>473695.64999999997</v>
      </c>
      <c r="D37" s="36" t="s">
        <v>379</v>
      </c>
      <c r="E37" s="37">
        <v>0</v>
      </c>
      <c r="F37" s="36"/>
      <c r="V37" s="85" t="s">
        <v>476</v>
      </c>
      <c r="W37" s="85"/>
      <c r="X37" s="85" t="s">
        <v>250</v>
      </c>
      <c r="Y37" s="85" t="s">
        <v>257</v>
      </c>
      <c r="AB37"/>
      <c r="AC37"/>
    </row>
    <row r="38" spans="2:29">
      <c r="V38" s="61" t="s">
        <v>477</v>
      </c>
      <c r="W38" s="85"/>
      <c r="X38" s="85" t="s">
        <v>250</v>
      </c>
      <c r="Y38" s="85" t="s">
        <v>251</v>
      </c>
      <c r="AB38"/>
      <c r="AC38"/>
    </row>
    <row r="39" spans="2:29">
      <c r="B39" s="18" t="s">
        <v>110</v>
      </c>
      <c r="C39" s="16"/>
      <c r="D39" s="16"/>
      <c r="E39" s="16"/>
      <c r="F39" s="16"/>
      <c r="V39" s="85" t="s">
        <v>478</v>
      </c>
      <c r="W39" s="85"/>
      <c r="X39" s="85" t="s">
        <v>250</v>
      </c>
      <c r="Y39" s="85" t="s">
        <v>258</v>
      </c>
      <c r="AB39"/>
      <c r="AC39"/>
    </row>
    <row r="40" spans="2:29">
      <c r="B40" s="45"/>
      <c r="C40" s="17" t="s">
        <v>49</v>
      </c>
      <c r="D40" s="17" t="s">
        <v>71</v>
      </c>
      <c r="E40" s="17" t="s">
        <v>112</v>
      </c>
      <c r="F40" s="17" t="s">
        <v>113</v>
      </c>
      <c r="V40" s="85" t="s">
        <v>479</v>
      </c>
      <c r="W40" s="85"/>
      <c r="X40" s="85" t="s">
        <v>250</v>
      </c>
      <c r="Y40" s="85" t="s">
        <v>259</v>
      </c>
      <c r="AB40"/>
      <c r="AC40"/>
    </row>
    <row r="41" spans="2:29">
      <c r="B41" s="44" t="s">
        <v>167</v>
      </c>
      <c r="C41" s="37">
        <v>0</v>
      </c>
      <c r="D41" s="36" t="s">
        <v>527</v>
      </c>
      <c r="E41" s="15"/>
      <c r="F41" s="15"/>
      <c r="V41" s="61" t="s">
        <v>480</v>
      </c>
      <c r="W41" s="85"/>
      <c r="X41" s="85" t="s">
        <v>250</v>
      </c>
      <c r="Y41" s="85" t="s">
        <v>261</v>
      </c>
      <c r="AB41"/>
      <c r="AC41"/>
    </row>
    <row r="42" spans="2:29">
      <c r="B42" s="44"/>
      <c r="C42" s="37"/>
      <c r="D42" s="36"/>
      <c r="E42" s="15"/>
      <c r="F42" s="58"/>
      <c r="V42" s="85" t="s">
        <v>481</v>
      </c>
      <c r="W42" s="85"/>
      <c r="X42" s="85" t="s">
        <v>250</v>
      </c>
      <c r="Y42" s="85" t="s">
        <v>260</v>
      </c>
      <c r="AB42"/>
      <c r="AC42"/>
    </row>
    <row r="43" spans="2:29">
      <c r="B43" s="38"/>
      <c r="C43" s="38"/>
      <c r="D43" s="38"/>
      <c r="E43" s="38"/>
      <c r="F43" s="38"/>
      <c r="V43" s="85" t="s">
        <v>482</v>
      </c>
      <c r="W43" s="85"/>
      <c r="X43" s="85" t="s">
        <v>306</v>
      </c>
      <c r="Y43" s="85" t="s">
        <v>309</v>
      </c>
      <c r="AB43"/>
      <c r="AC43"/>
    </row>
    <row r="44" spans="2:29">
      <c r="B44" s="38"/>
      <c r="C44" s="38"/>
      <c r="D44" s="38"/>
      <c r="E44" s="38"/>
      <c r="F44" s="38"/>
      <c r="V44" s="85" t="s">
        <v>483</v>
      </c>
      <c r="W44" s="85"/>
      <c r="X44" s="85" t="s">
        <v>306</v>
      </c>
      <c r="Y44" s="85" t="s">
        <v>310</v>
      </c>
      <c r="AB44"/>
      <c r="AC44"/>
    </row>
    <row r="45" spans="2:29">
      <c r="V45" s="86" t="s">
        <v>484</v>
      </c>
      <c r="W45" s="54" t="s">
        <v>18</v>
      </c>
      <c r="X45" s="51" t="s">
        <v>134</v>
      </c>
      <c r="Y45" s="86" t="s">
        <v>143</v>
      </c>
      <c r="AB45"/>
      <c r="AC45"/>
    </row>
    <row r="46" spans="2:29">
      <c r="V46" s="86" t="s">
        <v>485</v>
      </c>
      <c r="W46" s="54" t="s">
        <v>18</v>
      </c>
      <c r="X46" s="51" t="s">
        <v>134</v>
      </c>
      <c r="Y46" s="86" t="s">
        <v>136</v>
      </c>
      <c r="AB46"/>
      <c r="AC46"/>
    </row>
    <row r="47" spans="2:29">
      <c r="B47" s="38" t="s">
        <v>540</v>
      </c>
      <c r="C47" s="114">
        <v>2.8000000000000001E-2</v>
      </c>
      <c r="D47" s="12" t="s">
        <v>546</v>
      </c>
      <c r="V47" s="61" t="s">
        <v>486</v>
      </c>
      <c r="W47" s="54" t="s">
        <v>18</v>
      </c>
      <c r="X47" s="51" t="s">
        <v>134</v>
      </c>
      <c r="Y47" s="61" t="s">
        <v>170</v>
      </c>
      <c r="AB47"/>
      <c r="AC47"/>
    </row>
    <row r="48" spans="2:29">
      <c r="B48" s="38" t="s">
        <v>541</v>
      </c>
      <c r="C48" s="114">
        <v>0.01</v>
      </c>
      <c r="V48" s="61" t="s">
        <v>487</v>
      </c>
      <c r="W48" s="54" t="s">
        <v>18</v>
      </c>
      <c r="X48" s="51" t="s">
        <v>134</v>
      </c>
      <c r="Y48" s="61" t="s">
        <v>169</v>
      </c>
      <c r="AB48"/>
      <c r="AC48"/>
    </row>
    <row r="49" spans="2:29">
      <c r="B49" s="38" t="s">
        <v>542</v>
      </c>
      <c r="C49" s="114">
        <v>8.0000000000000002E-3</v>
      </c>
      <c r="D49" s="12" t="s">
        <v>545</v>
      </c>
      <c r="V49" s="61" t="s">
        <v>488</v>
      </c>
      <c r="W49" s="54" t="s">
        <v>18</v>
      </c>
      <c r="X49" s="51" t="s">
        <v>134</v>
      </c>
      <c r="Y49" s="61" t="s">
        <v>171</v>
      </c>
      <c r="AB49"/>
      <c r="AC49"/>
    </row>
    <row r="50" spans="2:29">
      <c r="B50" s="38" t="s">
        <v>543</v>
      </c>
      <c r="C50" s="114">
        <v>0.01</v>
      </c>
      <c r="D50" s="12" t="s">
        <v>544</v>
      </c>
      <c r="AB50"/>
      <c r="AC50"/>
    </row>
    <row r="51" spans="2:29">
      <c r="AB51"/>
      <c r="AC51"/>
    </row>
    <row r="52" spans="2:29">
      <c r="AB52"/>
      <c r="AC52"/>
    </row>
    <row r="53" spans="2:29">
      <c r="AB53"/>
      <c r="AC53"/>
    </row>
    <row r="54" spans="2:29">
      <c r="AB54"/>
      <c r="AC54"/>
    </row>
    <row r="55" spans="2:29">
      <c r="AB55"/>
      <c r="AC55"/>
    </row>
    <row r="56" spans="2:29">
      <c r="AB56"/>
      <c r="AC56"/>
    </row>
    <row r="57" spans="2:29">
      <c r="AB57"/>
      <c r="AC57"/>
    </row>
    <row r="58" spans="2:29">
      <c r="AB58"/>
      <c r="AC58"/>
    </row>
    <row r="59" spans="2:29">
      <c r="AB59"/>
      <c r="AC59"/>
    </row>
    <row r="60" spans="2:29">
      <c r="AB60"/>
      <c r="AC60"/>
    </row>
    <row r="61" spans="2:29">
      <c r="AB61"/>
      <c r="AC61"/>
    </row>
    <row r="62" spans="2:29">
      <c r="AB62"/>
      <c r="AC62"/>
    </row>
    <row r="63" spans="2:29">
      <c r="AB63"/>
      <c r="AC63"/>
    </row>
    <row r="64" spans="2:29">
      <c r="AB64"/>
      <c r="AC64"/>
    </row>
    <row r="65" spans="28:29">
      <c r="AB65"/>
      <c r="AC65"/>
    </row>
    <row r="66" spans="28:29">
      <c r="AB66"/>
      <c r="AC66"/>
    </row>
    <row r="67" spans="28:29">
      <c r="AB67"/>
      <c r="AC67"/>
    </row>
    <row r="68" spans="28:29">
      <c r="AB68"/>
      <c r="AC68"/>
    </row>
    <row r="69" spans="28:29">
      <c r="AB69"/>
      <c r="AC69"/>
    </row>
    <row r="70" spans="28:29">
      <c r="AB70"/>
      <c r="AC70"/>
    </row>
    <row r="71" spans="28:29">
      <c r="AB71"/>
      <c r="AC71"/>
    </row>
    <row r="72" spans="28:29">
      <c r="AB72"/>
      <c r="AC72"/>
    </row>
    <row r="73" spans="28:29">
      <c r="AB73"/>
      <c r="AC73"/>
    </row>
    <row r="74" spans="28:29">
      <c r="AB74"/>
      <c r="AC74"/>
    </row>
    <row r="75" spans="28:29">
      <c r="AB75"/>
      <c r="AC75"/>
    </row>
    <row r="76" spans="28:29">
      <c r="AB76"/>
      <c r="AC76"/>
    </row>
    <row r="77" spans="28:29">
      <c r="AB77"/>
      <c r="AC77"/>
    </row>
    <row r="78" spans="28:29">
      <c r="AB78"/>
      <c r="AC78"/>
    </row>
    <row r="79" spans="28:29">
      <c r="AB79"/>
      <c r="AC79"/>
    </row>
    <row r="80" spans="28:29">
      <c r="AB80"/>
      <c r="AC80"/>
    </row>
    <row r="81" spans="28:29">
      <c r="AB81"/>
      <c r="AC81"/>
    </row>
    <row r="82" spans="28:29">
      <c r="AB82"/>
      <c r="AC82"/>
    </row>
    <row r="83" spans="28:29">
      <c r="AB83"/>
      <c r="AC83"/>
    </row>
    <row r="84" spans="28:29">
      <c r="AB84"/>
      <c r="AC84"/>
    </row>
    <row r="85" spans="28:29">
      <c r="AB85"/>
      <c r="AC85"/>
    </row>
    <row r="86" spans="28:29">
      <c r="AB86"/>
      <c r="AC86"/>
    </row>
    <row r="87" spans="28:29">
      <c r="AB87"/>
      <c r="AC87"/>
    </row>
    <row r="88" spans="28:29">
      <c r="AB88"/>
      <c r="AC88"/>
    </row>
    <row r="89" spans="28:29">
      <c r="AB89"/>
      <c r="AC89"/>
    </row>
    <row r="90" spans="28:29">
      <c r="AB90"/>
      <c r="AC90"/>
    </row>
    <row r="91" spans="28:29">
      <c r="AB91"/>
      <c r="AC91"/>
    </row>
    <row r="92" spans="28:29">
      <c r="AB92"/>
      <c r="AC92"/>
    </row>
    <row r="93" spans="28:29">
      <c r="AB93"/>
      <c r="AC93"/>
    </row>
    <row r="94" spans="28:29">
      <c r="AB94"/>
      <c r="AC94"/>
    </row>
    <row r="95" spans="28:29">
      <c r="AB95"/>
      <c r="AC95"/>
    </row>
    <row r="96" spans="28:29">
      <c r="AB96"/>
      <c r="AC96"/>
    </row>
    <row r="97" spans="28:29">
      <c r="AB97"/>
      <c r="AC97"/>
    </row>
    <row r="98" spans="28:29">
      <c r="AB98"/>
      <c r="AC98"/>
    </row>
    <row r="99" spans="28:29">
      <c r="AB99"/>
      <c r="AC99"/>
    </row>
    <row r="100" spans="28:29">
      <c r="AB100"/>
      <c r="AC100"/>
    </row>
    <row r="101" spans="28:29">
      <c r="AB101"/>
      <c r="AC101"/>
    </row>
    <row r="102" spans="28:29">
      <c r="AB102"/>
      <c r="AC102"/>
    </row>
    <row r="103" spans="28:29">
      <c r="AB103"/>
      <c r="AC103"/>
    </row>
    <row r="104" spans="28:29">
      <c r="AB104"/>
      <c r="AC104"/>
    </row>
    <row r="105" spans="28:29">
      <c r="AB105"/>
      <c r="AC105"/>
    </row>
    <row r="106" spans="28:29">
      <c r="AB106"/>
      <c r="AC106"/>
    </row>
    <row r="107" spans="28:29">
      <c r="AB107"/>
      <c r="AC107"/>
    </row>
    <row r="108" spans="28:29">
      <c r="AB108"/>
      <c r="AC108"/>
    </row>
    <row r="109" spans="28:29">
      <c r="AB109"/>
      <c r="AC109"/>
    </row>
    <row r="110" spans="28:29">
      <c r="AB110"/>
      <c r="AC110"/>
    </row>
    <row r="111" spans="28:29">
      <c r="AB111"/>
      <c r="AC111"/>
    </row>
    <row r="112" spans="28:29">
      <c r="AB112"/>
      <c r="AC112"/>
    </row>
    <row r="113" spans="28:29">
      <c r="AB113"/>
      <c r="AC113"/>
    </row>
    <row r="114" spans="28:29">
      <c r="AB114"/>
      <c r="AC114"/>
    </row>
    <row r="115" spans="28:29">
      <c r="AB115"/>
      <c r="AC115"/>
    </row>
    <row r="116" spans="28:29">
      <c r="AB116"/>
      <c r="AC116"/>
    </row>
    <row r="117" spans="28:29">
      <c r="AB117"/>
      <c r="AC117"/>
    </row>
    <row r="118" spans="28:29">
      <c r="AB118"/>
      <c r="AC118"/>
    </row>
    <row r="119" spans="28:29">
      <c r="AB119"/>
      <c r="AC119"/>
    </row>
    <row r="120" spans="28:29">
      <c r="AB120"/>
      <c r="AC120"/>
    </row>
    <row r="121" spans="28:29">
      <c r="AB121"/>
      <c r="AC121"/>
    </row>
    <row r="122" spans="28:29">
      <c r="AB122"/>
      <c r="AC122"/>
    </row>
    <row r="123" spans="28:29">
      <c r="AB123"/>
      <c r="AC123"/>
    </row>
    <row r="124" spans="28:29">
      <c r="AB124"/>
      <c r="AC124"/>
    </row>
    <row r="125" spans="28:29">
      <c r="AB125"/>
      <c r="AC125"/>
    </row>
    <row r="126" spans="28:29">
      <c r="AB126"/>
      <c r="AC126"/>
    </row>
    <row r="127" spans="28:29">
      <c r="AB127"/>
      <c r="AC127"/>
    </row>
    <row r="128" spans="28:29">
      <c r="AB128"/>
      <c r="AC128"/>
    </row>
    <row r="129" spans="28:29">
      <c r="AB129"/>
      <c r="AC129"/>
    </row>
    <row r="130" spans="28:29">
      <c r="AB130"/>
      <c r="AC130"/>
    </row>
    <row r="131" spans="28:29">
      <c r="AB131"/>
      <c r="AC131"/>
    </row>
    <row r="132" spans="28:29">
      <c r="AB132"/>
      <c r="AC132"/>
    </row>
    <row r="133" spans="28:29">
      <c r="AB133"/>
      <c r="AC133"/>
    </row>
    <row r="134" spans="28:29">
      <c r="AB134"/>
      <c r="AC134"/>
    </row>
    <row r="135" spans="28:29">
      <c r="AB135"/>
      <c r="AC135"/>
    </row>
    <row r="136" spans="28:29">
      <c r="AB136"/>
      <c r="AC136"/>
    </row>
    <row r="137" spans="28:29">
      <c r="AB137"/>
      <c r="AC137"/>
    </row>
    <row r="138" spans="28:29">
      <c r="AB138"/>
      <c r="AC138"/>
    </row>
    <row r="139" spans="28:29">
      <c r="AB139"/>
      <c r="AC139"/>
    </row>
    <row r="140" spans="28:29">
      <c r="AB140"/>
      <c r="AC140"/>
    </row>
    <row r="141" spans="28:29">
      <c r="AB141"/>
      <c r="AC141"/>
    </row>
    <row r="142" spans="28:29">
      <c r="AB142"/>
      <c r="AC142"/>
    </row>
    <row r="143" spans="28:29">
      <c r="AB143"/>
      <c r="AC143"/>
    </row>
    <row r="144" spans="28:29">
      <c r="AB144"/>
      <c r="AC144"/>
    </row>
    <row r="145" spans="28:29">
      <c r="AB145"/>
      <c r="AC145"/>
    </row>
    <row r="146" spans="28:29">
      <c r="AB146"/>
      <c r="AC146"/>
    </row>
    <row r="147" spans="28:29">
      <c r="AB147"/>
      <c r="AC147"/>
    </row>
    <row r="148" spans="28:29">
      <c r="AB148"/>
      <c r="AC148"/>
    </row>
    <row r="149" spans="28:29">
      <c r="AB149"/>
      <c r="AC149"/>
    </row>
    <row r="150" spans="28:29">
      <c r="AB150"/>
      <c r="AC150"/>
    </row>
    <row r="151" spans="28:29">
      <c r="AB151"/>
      <c r="AC151"/>
    </row>
    <row r="152" spans="28:29">
      <c r="AB152"/>
      <c r="AC152"/>
    </row>
    <row r="153" spans="28:29">
      <c r="AB153"/>
      <c r="AC153"/>
    </row>
    <row r="154" spans="28:29">
      <c r="AB154"/>
      <c r="AC154"/>
    </row>
    <row r="155" spans="28:29">
      <c r="AB155"/>
      <c r="AC155"/>
    </row>
    <row r="156" spans="28:29">
      <c r="AB156"/>
      <c r="AC156"/>
    </row>
    <row r="157" spans="28:29">
      <c r="AB157"/>
      <c r="AC157"/>
    </row>
    <row r="158" spans="28:29">
      <c r="AB158"/>
      <c r="AC158"/>
    </row>
    <row r="159" spans="28:29">
      <c r="AB159"/>
      <c r="AC159"/>
    </row>
    <row r="160" spans="28:29">
      <c r="AB160"/>
      <c r="AC160"/>
    </row>
    <row r="161" spans="28:29">
      <c r="AB161"/>
      <c r="AC161"/>
    </row>
    <row r="162" spans="28:29">
      <c r="AB162"/>
      <c r="AC162"/>
    </row>
    <row r="163" spans="28:29">
      <c r="AB163"/>
      <c r="AC163"/>
    </row>
    <row r="164" spans="28:29">
      <c r="AB164"/>
      <c r="AC164"/>
    </row>
    <row r="165" spans="28:29">
      <c r="AB165"/>
      <c r="AC165"/>
    </row>
    <row r="166" spans="28:29">
      <c r="AB166"/>
      <c r="AC166"/>
    </row>
    <row r="167" spans="28:29">
      <c r="AB167"/>
      <c r="AC167"/>
    </row>
    <row r="168" spans="28:29">
      <c r="AB168"/>
      <c r="AC168"/>
    </row>
    <row r="169" spans="28:29">
      <c r="AB169"/>
      <c r="AC169"/>
    </row>
    <row r="170" spans="28:29">
      <c r="AB170"/>
      <c r="AC170"/>
    </row>
    <row r="171" spans="28:29">
      <c r="AB171"/>
      <c r="AC171"/>
    </row>
    <row r="172" spans="28:29">
      <c r="AB172"/>
      <c r="AC172"/>
    </row>
    <row r="173" spans="28:29">
      <c r="AB173"/>
      <c r="AC173"/>
    </row>
    <row r="174" spans="28:29">
      <c r="AB174"/>
      <c r="AC174"/>
    </row>
    <row r="175" spans="28:29">
      <c r="AB175"/>
      <c r="AC175"/>
    </row>
    <row r="176" spans="28:29">
      <c r="AB176"/>
      <c r="AC176"/>
    </row>
    <row r="177" spans="28:29">
      <c r="AB177"/>
      <c r="AC177"/>
    </row>
    <row r="178" spans="28:29">
      <c r="AB178"/>
      <c r="AC178"/>
    </row>
    <row r="179" spans="28:29">
      <c r="AB179"/>
      <c r="AC179"/>
    </row>
    <row r="180" spans="28:29">
      <c r="AB180"/>
      <c r="AC180"/>
    </row>
    <row r="181" spans="28:29">
      <c r="AB181"/>
      <c r="AC181"/>
    </row>
    <row r="182" spans="28:29">
      <c r="AB182"/>
      <c r="AC182"/>
    </row>
    <row r="183" spans="28:29">
      <c r="AB183"/>
      <c r="AC183"/>
    </row>
    <row r="184" spans="28:29">
      <c r="AB184"/>
      <c r="AC184"/>
    </row>
    <row r="185" spans="28:29">
      <c r="AB185"/>
      <c r="AC185"/>
    </row>
    <row r="186" spans="28:29">
      <c r="AB186"/>
      <c r="AC186"/>
    </row>
    <row r="187" spans="28:29">
      <c r="AB187"/>
      <c r="AC187"/>
    </row>
    <row r="188" spans="28:29">
      <c r="AB188"/>
      <c r="AC188"/>
    </row>
    <row r="189" spans="28:29">
      <c r="AB189"/>
      <c r="AC189"/>
    </row>
    <row r="190" spans="28:29">
      <c r="AB190"/>
      <c r="AC190"/>
    </row>
    <row r="191" spans="28:29">
      <c r="AB191"/>
      <c r="AC191"/>
    </row>
    <row r="192" spans="28:29">
      <c r="AB192"/>
      <c r="AC192"/>
    </row>
    <row r="193" spans="28:29">
      <c r="AB193"/>
      <c r="AC193"/>
    </row>
    <row r="194" spans="28:29">
      <c r="AB194"/>
      <c r="AC194"/>
    </row>
    <row r="195" spans="28:29">
      <c r="AB195"/>
      <c r="AC195"/>
    </row>
    <row r="196" spans="28:29">
      <c r="AB196"/>
      <c r="AC196"/>
    </row>
    <row r="197" spans="28:29">
      <c r="AB197"/>
      <c r="AC197"/>
    </row>
    <row r="198" spans="28:29">
      <c r="AB198"/>
      <c r="AC198"/>
    </row>
    <row r="199" spans="28:29">
      <c r="AB199"/>
      <c r="AC199"/>
    </row>
    <row r="200" spans="28:29">
      <c r="AB200"/>
      <c r="AC200"/>
    </row>
    <row r="201" spans="28:29">
      <c r="AB201"/>
      <c r="AC201"/>
    </row>
    <row r="202" spans="28:29">
      <c r="AB202"/>
      <c r="AC202"/>
    </row>
    <row r="203" spans="28:29">
      <c r="AB203"/>
      <c r="AC203"/>
    </row>
    <row r="204" spans="28:29">
      <c r="AB204"/>
      <c r="AC204"/>
    </row>
    <row r="205" spans="28:29">
      <c r="AB205"/>
      <c r="AC205"/>
    </row>
    <row r="206" spans="28:29">
      <c r="AB206"/>
      <c r="AC206"/>
    </row>
    <row r="207" spans="28:29">
      <c r="AB207"/>
      <c r="AC207"/>
    </row>
    <row r="208" spans="28:29">
      <c r="AB208"/>
      <c r="AC208"/>
    </row>
    <row r="209" spans="28:29">
      <c r="AB209"/>
      <c r="AC209"/>
    </row>
    <row r="210" spans="28:29">
      <c r="AB210"/>
      <c r="AC210"/>
    </row>
    <row r="211" spans="28:29">
      <c r="AB211"/>
      <c r="AC211"/>
    </row>
    <row r="212" spans="28:29">
      <c r="AB212"/>
      <c r="AC212"/>
    </row>
    <row r="213" spans="28:29">
      <c r="AB213"/>
      <c r="AC213"/>
    </row>
    <row r="214" spans="28:29">
      <c r="AB214"/>
      <c r="AC214"/>
    </row>
    <row r="215" spans="28:29">
      <c r="AB215"/>
      <c r="AC215"/>
    </row>
    <row r="216" spans="28:29">
      <c r="AB216"/>
      <c r="AC216"/>
    </row>
    <row r="217" spans="28:29">
      <c r="AB217"/>
      <c r="AC217"/>
    </row>
    <row r="218" spans="28:29">
      <c r="AB218"/>
      <c r="AC218"/>
    </row>
    <row r="219" spans="28:29">
      <c r="AB219"/>
      <c r="AC219"/>
    </row>
    <row r="220" spans="28:29">
      <c r="AB220"/>
      <c r="AC220"/>
    </row>
    <row r="221" spans="28:29">
      <c r="AB221"/>
      <c r="AC221"/>
    </row>
    <row r="222" spans="28:29">
      <c r="AB222"/>
      <c r="AC222"/>
    </row>
    <row r="223" spans="28:29">
      <c r="AB223"/>
      <c r="AC223"/>
    </row>
    <row r="224" spans="28:29">
      <c r="AB224"/>
      <c r="AC224"/>
    </row>
    <row r="225" spans="28:29">
      <c r="AB225"/>
      <c r="AC225"/>
    </row>
    <row r="226" spans="28:29">
      <c r="AB226"/>
      <c r="AC226"/>
    </row>
    <row r="227" spans="28:29">
      <c r="AB227"/>
      <c r="AC227"/>
    </row>
    <row r="228" spans="28:29">
      <c r="AB228"/>
      <c r="AC228"/>
    </row>
    <row r="229" spans="28:29">
      <c r="AB229"/>
      <c r="AC229"/>
    </row>
    <row r="230" spans="28:29">
      <c r="AB230"/>
      <c r="AC230"/>
    </row>
    <row r="231" spans="28:29">
      <c r="AB231"/>
      <c r="AC231"/>
    </row>
    <row r="232" spans="28:29">
      <c r="AB232"/>
      <c r="AC232"/>
    </row>
    <row r="233" spans="28:29">
      <c r="AB233"/>
      <c r="AC233"/>
    </row>
    <row r="234" spans="28:29">
      <c r="AB234"/>
      <c r="AC234"/>
    </row>
    <row r="235" spans="28:29">
      <c r="AB235"/>
      <c r="AC235"/>
    </row>
    <row r="236" spans="28:29">
      <c r="AB236"/>
      <c r="AC236"/>
    </row>
    <row r="237" spans="28:29">
      <c r="AB237"/>
      <c r="AC237"/>
    </row>
    <row r="238" spans="28:29">
      <c r="AB238"/>
      <c r="AC238"/>
    </row>
    <row r="239" spans="28:29">
      <c r="AB239"/>
      <c r="AC239"/>
    </row>
    <row r="240" spans="28:29">
      <c r="AB240"/>
      <c r="AC240"/>
    </row>
    <row r="241" spans="28:29">
      <c r="AB241"/>
      <c r="AC241"/>
    </row>
    <row r="242" spans="28:29">
      <c r="AB242"/>
      <c r="AC242"/>
    </row>
    <row r="243" spans="28:29">
      <c r="AB243"/>
      <c r="AC243"/>
    </row>
    <row r="244" spans="28:29">
      <c r="AB244"/>
      <c r="AC244"/>
    </row>
  </sheetData>
  <mergeCells count="6">
    <mergeCell ref="V31:W31"/>
    <mergeCell ref="B18:B19"/>
    <mergeCell ref="L6:M6"/>
    <mergeCell ref="P6:Q6"/>
    <mergeCell ref="C33:D33"/>
    <mergeCell ref="E33:F33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GetDataFromListFiles">
                <anchor moveWithCells="1" sizeWithCells="1">
                  <from>
                    <xdr:col>7</xdr:col>
                    <xdr:colOff>175260</xdr:colOff>
                    <xdr:row>6</xdr:row>
                    <xdr:rowOff>60960</xdr:rowOff>
                  </from>
                  <to>
                    <xdr:col>7</xdr:col>
                    <xdr:colOff>1181100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5" name="Button 11">
              <controlPr defaultSize="0" print="0" autoFill="0" autoPict="0" macro="[0]!GetFileName">
                <anchor moveWithCells="1" sizeWithCells="1">
                  <from>
                    <xdr:col>7</xdr:col>
                    <xdr:colOff>175260</xdr:colOff>
                    <xdr:row>1</xdr:row>
                    <xdr:rowOff>76200</xdr:rowOff>
                  </from>
                  <to>
                    <xdr:col>7</xdr:col>
                    <xdr:colOff>1181100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6" name="Button 12">
              <controlPr defaultSize="0" print="0" autoFill="0" autoPict="0" macro="[0]!getFromClosedFile">
                <anchor moveWithCells="1">
                  <from>
                    <xdr:col>7</xdr:col>
                    <xdr:colOff>175260</xdr:colOff>
                    <xdr:row>3</xdr:row>
                    <xdr:rowOff>114300</xdr:rowOff>
                  </from>
                  <to>
                    <xdr:col>7</xdr:col>
                    <xdr:colOff>1181100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63"/>
  <sheetViews>
    <sheetView topLeftCell="A22" zoomScale="90" zoomScaleNormal="90" workbookViewId="0">
      <selection activeCell="D39" sqref="D39"/>
    </sheetView>
  </sheetViews>
  <sheetFormatPr defaultRowHeight="17.399999999999999"/>
  <cols>
    <col min="2" max="2" width="14" customWidth="1"/>
    <col min="3" max="3" width="76.09765625" bestFit="1" customWidth="1"/>
    <col min="4" max="4" width="40.5" bestFit="1" customWidth="1"/>
    <col min="5" max="5" width="12.59765625" bestFit="1" customWidth="1"/>
    <col min="6" max="6" width="9" style="3"/>
    <col min="7" max="7" width="10.09765625" customWidth="1"/>
    <col min="15" max="15" width="52.59765625" bestFit="1" customWidth="1"/>
  </cols>
  <sheetData>
    <row r="1" spans="1:15">
      <c r="A1" s="42" t="s">
        <v>83</v>
      </c>
    </row>
    <row r="2" spans="1:15">
      <c r="A2" s="1" t="s">
        <v>4</v>
      </c>
      <c r="B2" s="1" t="s">
        <v>5</v>
      </c>
      <c r="C2" s="1" t="s">
        <v>2</v>
      </c>
      <c r="D2" s="1" t="s">
        <v>0</v>
      </c>
      <c r="E2" s="1" t="s">
        <v>1</v>
      </c>
      <c r="F2" s="6" t="s">
        <v>11</v>
      </c>
    </row>
    <row r="3" spans="1:15">
      <c r="A3" s="35">
        <v>202110</v>
      </c>
      <c r="B3" s="1" t="s">
        <v>550</v>
      </c>
      <c r="C3" s="1" t="s">
        <v>551</v>
      </c>
      <c r="D3" s="1" t="s">
        <v>552</v>
      </c>
      <c r="E3" s="1" t="s">
        <v>408</v>
      </c>
      <c r="F3" s="6"/>
      <c r="H3">
        <v>202109</v>
      </c>
      <c r="I3" t="s">
        <v>409</v>
      </c>
      <c r="J3" t="s">
        <v>548</v>
      </c>
      <c r="K3" t="s">
        <v>549</v>
      </c>
      <c r="L3" t="s">
        <v>410</v>
      </c>
      <c r="O3" t="s">
        <v>158</v>
      </c>
    </row>
    <row r="4" spans="1:15">
      <c r="A4" s="35">
        <v>202110</v>
      </c>
      <c r="B4" s="1" t="s">
        <v>40</v>
      </c>
      <c r="C4" s="1" t="s">
        <v>554</v>
      </c>
      <c r="D4" s="1" t="s">
        <v>555</v>
      </c>
      <c r="E4" s="1" t="s">
        <v>408</v>
      </c>
      <c r="F4" s="6"/>
      <c r="H4">
        <v>202109</v>
      </c>
      <c r="I4" t="s">
        <v>147</v>
      </c>
      <c r="J4" t="s">
        <v>548</v>
      </c>
      <c r="K4" t="s">
        <v>553</v>
      </c>
      <c r="L4" t="s">
        <v>410</v>
      </c>
      <c r="O4" t="s">
        <v>160</v>
      </c>
    </row>
    <row r="5" spans="1:15">
      <c r="A5" s="35">
        <v>202110</v>
      </c>
      <c r="B5" s="1" t="s">
        <v>557</v>
      </c>
      <c r="C5" s="1" t="s">
        <v>558</v>
      </c>
      <c r="D5" s="1" t="s">
        <v>559</v>
      </c>
      <c r="E5" s="1" t="s">
        <v>408</v>
      </c>
      <c r="F5" s="6"/>
      <c r="H5">
        <v>202109</v>
      </c>
      <c r="I5" t="s">
        <v>76</v>
      </c>
      <c r="J5" t="s">
        <v>548</v>
      </c>
      <c r="K5" t="s">
        <v>556</v>
      </c>
      <c r="L5" t="s">
        <v>410</v>
      </c>
      <c r="O5" t="s">
        <v>163</v>
      </c>
    </row>
    <row r="6" spans="1:15">
      <c r="A6" s="35">
        <v>202110</v>
      </c>
      <c r="B6" s="1" t="s">
        <v>561</v>
      </c>
      <c r="C6" s="1" t="s">
        <v>558</v>
      </c>
      <c r="D6" s="1" t="s">
        <v>562</v>
      </c>
      <c r="E6" s="1" t="s">
        <v>408</v>
      </c>
      <c r="F6" s="6"/>
      <c r="H6">
        <v>202109</v>
      </c>
      <c r="I6" t="s">
        <v>77</v>
      </c>
      <c r="J6" t="s">
        <v>548</v>
      </c>
      <c r="K6" t="s">
        <v>560</v>
      </c>
      <c r="L6" t="s">
        <v>410</v>
      </c>
      <c r="O6" t="s">
        <v>165</v>
      </c>
    </row>
    <row r="7" spans="1:15">
      <c r="A7" s="1"/>
      <c r="B7" s="1"/>
      <c r="C7" s="1"/>
      <c r="D7" s="1"/>
      <c r="E7" s="1"/>
      <c r="F7" s="6"/>
      <c r="M7" s="1">
        <v>201811</v>
      </c>
      <c r="N7" s="1" t="s">
        <v>120</v>
      </c>
      <c r="O7" s="1" t="s">
        <v>153</v>
      </c>
    </row>
    <row r="8" spans="1:15">
      <c r="A8" s="1"/>
      <c r="B8" s="1"/>
      <c r="C8" s="1"/>
      <c r="D8" s="1"/>
      <c r="E8" s="1"/>
      <c r="F8" s="6"/>
      <c r="M8" s="1">
        <v>201811</v>
      </c>
      <c r="N8" s="1" t="s">
        <v>40</v>
      </c>
      <c r="O8" s="1" t="s">
        <v>154</v>
      </c>
    </row>
    <row r="9" spans="1:15">
      <c r="A9" s="1"/>
      <c r="B9" s="1"/>
      <c r="C9" s="1"/>
      <c r="D9" s="1"/>
      <c r="E9" s="1"/>
      <c r="F9" s="6"/>
      <c r="M9" s="1">
        <v>201811</v>
      </c>
      <c r="N9" s="1" t="s">
        <v>41</v>
      </c>
      <c r="O9" s="1" t="s">
        <v>155</v>
      </c>
    </row>
    <row r="10" spans="1:15">
      <c r="A10" s="1"/>
      <c r="B10" s="1"/>
      <c r="C10" s="1"/>
      <c r="D10" s="1"/>
      <c r="E10" s="1"/>
      <c r="F10" s="6"/>
      <c r="M10" s="1">
        <v>201811</v>
      </c>
      <c r="N10" s="1" t="s">
        <v>39</v>
      </c>
      <c r="O10" s="1" t="s">
        <v>156</v>
      </c>
    </row>
    <row r="11" spans="1:15">
      <c r="A11" s="1"/>
      <c r="B11" s="1"/>
      <c r="C11" s="5"/>
      <c r="D11" s="2"/>
      <c r="E11" s="2"/>
      <c r="F11" s="11"/>
      <c r="M11" s="64">
        <v>201901</v>
      </c>
      <c r="O11" s="1" t="s">
        <v>159</v>
      </c>
    </row>
    <row r="12" spans="1:15">
      <c r="A12" s="1"/>
      <c r="B12" s="1"/>
      <c r="C12" s="5"/>
      <c r="D12" s="2"/>
      <c r="E12" s="2"/>
      <c r="F12" s="4"/>
      <c r="M12" s="64">
        <v>201901</v>
      </c>
      <c r="O12" s="1" t="s">
        <v>162</v>
      </c>
    </row>
    <row r="13" spans="1:15">
      <c r="A13" s="1"/>
      <c r="B13" s="1"/>
      <c r="C13" s="5"/>
      <c r="D13" s="2"/>
      <c r="E13" s="2"/>
      <c r="F13" s="4"/>
      <c r="M13" s="64">
        <v>201901</v>
      </c>
      <c r="O13" s="1" t="s">
        <v>164</v>
      </c>
    </row>
    <row r="14" spans="1:15">
      <c r="A14" s="1"/>
      <c r="B14" s="1"/>
      <c r="C14" s="5"/>
      <c r="D14" s="2"/>
      <c r="E14" s="2"/>
      <c r="F14" s="4"/>
      <c r="M14" s="64">
        <v>201901</v>
      </c>
      <c r="O14" s="1" t="s">
        <v>166</v>
      </c>
    </row>
    <row r="15" spans="1:15">
      <c r="A15" s="1"/>
      <c r="B15" s="1"/>
      <c r="C15" s="5"/>
      <c r="D15" s="2"/>
      <c r="E15" s="2"/>
      <c r="F15" s="4"/>
    </row>
    <row r="16" spans="1:15">
      <c r="A16" s="1"/>
      <c r="B16" s="1"/>
      <c r="C16" s="5"/>
      <c r="D16" s="2"/>
      <c r="E16" s="2"/>
      <c r="F16" s="4"/>
    </row>
    <row r="17" spans="1:9">
      <c r="A17" s="1"/>
      <c r="B17" s="1"/>
      <c r="C17" s="5"/>
      <c r="D17" s="2"/>
      <c r="E17" s="2"/>
      <c r="F17" s="4"/>
      <c r="H17" t="s">
        <v>12</v>
      </c>
    </row>
    <row r="18" spans="1:9">
      <c r="A18" s="1"/>
      <c r="B18" s="1"/>
      <c r="C18" s="5"/>
      <c r="D18" s="2"/>
      <c r="E18" s="2"/>
      <c r="F18" s="4"/>
      <c r="H18" t="s">
        <v>13</v>
      </c>
    </row>
    <row r="19" spans="1:9">
      <c r="A19" s="1"/>
      <c r="B19" s="1"/>
      <c r="C19" s="5"/>
      <c r="D19" s="2"/>
      <c r="E19" s="2"/>
      <c r="F19" s="4"/>
    </row>
    <row r="20" spans="1:9">
      <c r="A20" s="1"/>
      <c r="B20" s="1"/>
      <c r="C20" s="5"/>
      <c r="D20" s="2"/>
      <c r="E20" s="2"/>
      <c r="F20" s="4"/>
    </row>
    <row r="21" spans="1:9">
      <c r="A21" s="1"/>
      <c r="B21" s="1"/>
      <c r="C21" s="5"/>
      <c r="D21" s="2"/>
      <c r="E21" s="2"/>
      <c r="F21" s="4"/>
    </row>
    <row r="22" spans="1:9">
      <c r="A22" s="1"/>
      <c r="B22" s="1"/>
      <c r="C22" s="5"/>
      <c r="D22" s="2"/>
      <c r="E22" s="2"/>
      <c r="F22" s="4"/>
    </row>
    <row r="23" spans="1:9">
      <c r="A23" s="1"/>
      <c r="B23" s="1"/>
      <c r="C23" s="5"/>
      <c r="D23" s="2"/>
      <c r="E23" s="2"/>
      <c r="F23" s="4"/>
    </row>
    <row r="24" spans="1:9">
      <c r="A24" s="1"/>
      <c r="B24" s="1"/>
      <c r="C24" s="5"/>
      <c r="D24" s="2"/>
      <c r="E24" s="2"/>
      <c r="F24" s="4"/>
    </row>
    <row r="25" spans="1:9">
      <c r="A25" s="1"/>
      <c r="B25" s="1"/>
      <c r="C25" s="5"/>
      <c r="D25" s="2"/>
      <c r="E25" s="2"/>
      <c r="F25" s="4"/>
    </row>
    <row r="26" spans="1:9">
      <c r="A26" s="1"/>
      <c r="B26" s="1"/>
      <c r="C26" s="5"/>
      <c r="D26" s="2"/>
      <c r="E26" s="2"/>
      <c r="F26" s="4"/>
    </row>
    <row r="27" spans="1:9">
      <c r="A27" s="1"/>
      <c r="B27" s="1"/>
      <c r="C27" s="5"/>
      <c r="D27" s="2"/>
      <c r="E27" s="2"/>
      <c r="F27" s="4"/>
    </row>
    <row r="30" spans="1:9">
      <c r="A30" s="42" t="s">
        <v>82</v>
      </c>
    </row>
    <row r="31" spans="1:9">
      <c r="A31" s="1" t="s">
        <v>4</v>
      </c>
      <c r="B31" s="1" t="s">
        <v>86</v>
      </c>
      <c r="C31" s="1" t="s">
        <v>2</v>
      </c>
      <c r="D31" s="1" t="s">
        <v>81</v>
      </c>
      <c r="E31" s="1" t="s">
        <v>1</v>
      </c>
      <c r="F31" s="6" t="s">
        <v>59</v>
      </c>
      <c r="G31" s="1" t="s">
        <v>72</v>
      </c>
    </row>
    <row r="32" spans="1:9">
      <c r="A32" s="35">
        <f>대상월</f>
        <v>202110</v>
      </c>
      <c r="B32" s="35" t="s">
        <v>414</v>
      </c>
      <c r="C32" s="35" t="str">
        <f>C3</f>
        <v>E:\글로벌백업(180329)\04.수수료작업\202110수수료\</v>
      </c>
      <c r="D32" s="35" t="str">
        <f>A32&amp;"_"&amp;B32&amp;"_수입원장정산.xlsx"</f>
        <v>202110_글래드상동_수입원장정산.xlsx</v>
      </c>
      <c r="E32" s="35" t="s">
        <v>58</v>
      </c>
      <c r="F32" s="43" t="s">
        <v>255</v>
      </c>
      <c r="G32" s="35" t="s">
        <v>73</v>
      </c>
      <c r="H32" s="41" t="s">
        <v>80</v>
      </c>
      <c r="I32" t="s">
        <v>78</v>
      </c>
    </row>
    <row r="33" spans="1:15">
      <c r="A33" s="35">
        <f>A32</f>
        <v>202110</v>
      </c>
      <c r="B33" s="35" t="s">
        <v>415</v>
      </c>
      <c r="C33" s="35" t="str">
        <f>C32</f>
        <v>E:\글로벌백업(180329)\04.수수료작업\202110수수료\</v>
      </c>
      <c r="D33" s="35" t="str">
        <f>A33&amp;"_"&amp;B33&amp;"_수입원장정산.xlsx"</f>
        <v>202110_글래드조은_수입원장정산.xlsx</v>
      </c>
      <c r="E33" s="35" t="s">
        <v>58</v>
      </c>
      <c r="F33" s="11" t="s">
        <v>563</v>
      </c>
      <c r="G33" s="35" t="s">
        <v>73</v>
      </c>
      <c r="I33" t="s">
        <v>79</v>
      </c>
    </row>
    <row r="34" spans="1:15">
      <c r="A34" s="35">
        <f t="shared" ref="A34:A44" si="0">A33</f>
        <v>202110</v>
      </c>
      <c r="B34" s="35" t="s">
        <v>131</v>
      </c>
      <c r="C34" s="35" t="str">
        <f t="shared" ref="C34:C44" si="1">C33</f>
        <v>E:\글로벌백업(180329)\04.수수료작업\202110수수료\</v>
      </c>
      <c r="D34" s="35" t="str">
        <f>LEFT(A34,4)&amp;RIGHT(A34,2)&amp;"_"&amp;B34&amp;"_성공_의정부_관리수수료.xlsx"</f>
        <v>202110_송내_성공_의정부_관리수수료.xlsx</v>
      </c>
      <c r="E34" s="35" t="s">
        <v>142</v>
      </c>
      <c r="F34" s="43" t="s">
        <v>273</v>
      </c>
      <c r="G34" s="35" t="s">
        <v>74</v>
      </c>
    </row>
    <row r="35" spans="1:15">
      <c r="A35" s="35">
        <f t="shared" si="0"/>
        <v>202110</v>
      </c>
      <c r="B35" s="35" t="s">
        <v>146</v>
      </c>
      <c r="C35" s="35" t="str">
        <f t="shared" si="1"/>
        <v>E:\글로벌백업(180329)\04.수수료작업\202110수수료\</v>
      </c>
      <c r="D35" s="35" t="str">
        <f>D34</f>
        <v>202110_송내_성공_의정부_관리수수료.xlsx</v>
      </c>
      <c r="E35" s="35" t="s">
        <v>142</v>
      </c>
      <c r="F35" s="43" t="s">
        <v>569</v>
      </c>
      <c r="G35" s="35" t="s">
        <v>74</v>
      </c>
    </row>
    <row r="36" spans="1:15">
      <c r="A36" s="35">
        <f t="shared" si="0"/>
        <v>202110</v>
      </c>
      <c r="B36" s="35" t="s">
        <v>252</v>
      </c>
      <c r="C36" s="35" t="str">
        <f t="shared" si="1"/>
        <v>E:\글로벌백업(180329)\04.수수료작업\202110수수료\</v>
      </c>
      <c r="D36" s="35" t="str">
        <f>D35</f>
        <v>202110_송내_성공_의정부_관리수수료.xlsx</v>
      </c>
      <c r="E36" s="35" t="s">
        <v>142</v>
      </c>
      <c r="F36" s="43" t="s">
        <v>570</v>
      </c>
      <c r="G36" s="35"/>
      <c r="I36" s="35">
        <f>I35</f>
        <v>0</v>
      </c>
      <c r="J36" s="35" t="s">
        <v>19</v>
      </c>
      <c r="K36" s="35">
        <f>K35</f>
        <v>0</v>
      </c>
      <c r="L36" s="35" t="str">
        <f>LEFT(I36,4)&amp;RIGHT(I36,2)&amp;"_"&amp;J36&amp;" 박종철정산.xlsx"</f>
        <v>00_라온지점 박종철정산.xlsx</v>
      </c>
      <c r="M36" s="35" t="s">
        <v>111</v>
      </c>
      <c r="N36" s="43" t="s">
        <v>108</v>
      </c>
      <c r="O36" s="35" t="s">
        <v>109</v>
      </c>
    </row>
    <row r="37" spans="1:15">
      <c r="A37" s="35">
        <f>A34</f>
        <v>202110</v>
      </c>
      <c r="B37" s="35" t="s">
        <v>381</v>
      </c>
      <c r="C37" s="35" t="str">
        <f t="shared" ref="C37:D39" si="2">C34</f>
        <v>E:\글로벌백업(180329)\04.수수료작업\202110수수료\</v>
      </c>
      <c r="D37" s="35" t="str">
        <f t="shared" si="2"/>
        <v>202110_송내_성공_의정부_관리수수료.xlsx</v>
      </c>
      <c r="E37" s="35" t="s">
        <v>142</v>
      </c>
      <c r="F37" s="43" t="s">
        <v>380</v>
      </c>
      <c r="G37" s="35"/>
      <c r="I37" s="35">
        <f>I36</f>
        <v>0</v>
      </c>
      <c r="J37" s="35" t="s">
        <v>42</v>
      </c>
      <c r="K37" s="35">
        <f>K36</f>
        <v>0</v>
      </c>
      <c r="L37" s="35" t="str">
        <f>LEFT(I37,4)&amp;RIGHT(I37,2)&amp;"_"&amp;J37&amp;" 재물정산.xlsx"</f>
        <v>00_피스토스 재물정산.xlsx</v>
      </c>
      <c r="M37" s="35" t="s">
        <v>111</v>
      </c>
      <c r="N37" s="43" t="s">
        <v>108</v>
      </c>
      <c r="O37" s="35" t="s">
        <v>109</v>
      </c>
    </row>
    <row r="38" spans="1:15">
      <c r="A38" s="35">
        <f>A35</f>
        <v>202110</v>
      </c>
      <c r="B38" s="35" t="s">
        <v>382</v>
      </c>
      <c r="C38" s="35" t="str">
        <f t="shared" si="2"/>
        <v>E:\글로벌백업(180329)\04.수수료작업\202110수수료\</v>
      </c>
      <c r="D38" s="35" t="str">
        <f t="shared" si="2"/>
        <v>202110_송내_성공_의정부_관리수수료.xlsx</v>
      </c>
      <c r="E38" s="35" t="s">
        <v>142</v>
      </c>
      <c r="F38" s="43" t="s">
        <v>403</v>
      </c>
      <c r="G38" s="35"/>
    </row>
    <row r="39" spans="1:15">
      <c r="A39" s="35">
        <f>A36</f>
        <v>202110</v>
      </c>
      <c r="B39" s="35" t="s">
        <v>383</v>
      </c>
      <c r="C39" s="35" t="str">
        <f t="shared" si="2"/>
        <v>E:\글로벌백업(180329)\04.수수료작업\202110수수료\</v>
      </c>
      <c r="D39" s="35" t="str">
        <f t="shared" si="2"/>
        <v>202110_송내_성공_의정부_관리수수료.xlsx</v>
      </c>
      <c r="E39" s="35" t="s">
        <v>142</v>
      </c>
      <c r="F39" s="43" t="s">
        <v>571</v>
      </c>
      <c r="G39" s="35"/>
    </row>
    <row r="40" spans="1:15">
      <c r="A40" s="35">
        <f t="shared" si="0"/>
        <v>202110</v>
      </c>
      <c r="B40" s="35" t="s">
        <v>416</v>
      </c>
      <c r="C40" s="35" t="str">
        <f t="shared" si="1"/>
        <v>E:\글로벌백업(180329)\04.수수료작업\202110수수료\</v>
      </c>
      <c r="D40" s="35" t="str">
        <f>A40&amp;"_"&amp;B40&amp;"_수입원장정산.xlsx"</f>
        <v>202110_글래드경기_수입원장정산.xlsx</v>
      </c>
      <c r="E40" s="35" t="s">
        <v>58</v>
      </c>
      <c r="F40" s="43" t="s">
        <v>445</v>
      </c>
      <c r="G40" s="35" t="s">
        <v>73</v>
      </c>
    </row>
    <row r="41" spans="1:15">
      <c r="A41" s="35">
        <f t="shared" si="0"/>
        <v>202110</v>
      </c>
      <c r="B41" s="35" t="s">
        <v>443</v>
      </c>
      <c r="C41" s="35" t="str">
        <f>C40</f>
        <v>E:\글로벌백업(180329)\04.수수료작업\202110수수료\</v>
      </c>
      <c r="D41" s="35" t="str">
        <f>A41&amp;"_"&amp;B41&amp;"_수입원장정산.xlsx"</f>
        <v>202110_글래드제이엔제이_수입원장정산.xlsx</v>
      </c>
      <c r="E41" s="35" t="s">
        <v>58</v>
      </c>
      <c r="F41" s="43" t="s">
        <v>411</v>
      </c>
      <c r="G41" s="35"/>
    </row>
    <row r="42" spans="1:15">
      <c r="A42" s="35">
        <f t="shared" si="0"/>
        <v>202110</v>
      </c>
      <c r="B42" s="35" t="s">
        <v>444</v>
      </c>
      <c r="C42" s="35" t="str">
        <f t="shared" si="1"/>
        <v>E:\글로벌백업(180329)\04.수수료작업\202110수수료\</v>
      </c>
      <c r="D42" s="35" t="str">
        <f>A42&amp;"_"&amp;B42&amp;"_수입원장정산.xlsx"</f>
        <v>202110_글래드씨티엠_수입원장정산.xlsx</v>
      </c>
      <c r="E42" s="35" t="s">
        <v>58</v>
      </c>
      <c r="F42" s="43" t="s">
        <v>385</v>
      </c>
      <c r="G42" s="35"/>
    </row>
    <row r="43" spans="1:15">
      <c r="A43" s="35">
        <f>A40</f>
        <v>202110</v>
      </c>
      <c r="B43" s="35" t="s">
        <v>417</v>
      </c>
      <c r="C43" s="35" t="str">
        <f>C40</f>
        <v>E:\글로벌백업(180329)\04.수수료작업\202110수수료\</v>
      </c>
      <c r="D43" s="35" t="str">
        <f>A43&amp;"_"&amp;"글래드가온(피스토스) 수금정산.xlsx"</f>
        <v>202110_글래드가온(피스토스) 수금정산.xlsx</v>
      </c>
      <c r="E43" s="35" t="s">
        <v>374</v>
      </c>
      <c r="F43" s="43" t="s">
        <v>375</v>
      </c>
      <c r="G43" s="35" t="s">
        <v>376</v>
      </c>
    </row>
    <row r="44" spans="1:15">
      <c r="A44" s="35">
        <f t="shared" si="0"/>
        <v>202110</v>
      </c>
      <c r="B44" s="35" t="s">
        <v>418</v>
      </c>
      <c r="C44" s="35" t="str">
        <f t="shared" si="1"/>
        <v>E:\글로벌백업(180329)\04.수수료작업\202110수수료\</v>
      </c>
      <c r="D44" s="35" t="str">
        <f>A44&amp;"_"&amp;"글래드가온 수금정산.xlsx"</f>
        <v>202110_글래드가온 수금정산.xlsx</v>
      </c>
      <c r="E44" s="35" t="s">
        <v>374</v>
      </c>
      <c r="F44" s="11" t="s">
        <v>377</v>
      </c>
      <c r="G44" s="35" t="s">
        <v>376</v>
      </c>
    </row>
    <row r="45" spans="1:15">
      <c r="A45" s="35">
        <f>A41</f>
        <v>202110</v>
      </c>
      <c r="B45" s="35" t="s">
        <v>386</v>
      </c>
      <c r="C45" s="35" t="str">
        <f>C41</f>
        <v>E:\글로벌백업(180329)\04.수수료작업\202110수수료\</v>
      </c>
      <c r="D45" s="35" t="str">
        <f>A45&amp;"_"&amp;"여주레전드지점OR수수료.xlsx"</f>
        <v>202110_여주레전드지점OR수수료.xlsx</v>
      </c>
      <c r="E45" s="35" t="s">
        <v>387</v>
      </c>
      <c r="F45" s="43" t="s">
        <v>388</v>
      </c>
      <c r="G45" s="35"/>
    </row>
    <row r="46" spans="1:15">
      <c r="A46" s="35">
        <f>A43</f>
        <v>202110</v>
      </c>
      <c r="B46" s="35" t="s">
        <v>406</v>
      </c>
      <c r="C46" s="35" t="str">
        <f t="shared" ref="C46:C48" si="3">C43</f>
        <v>E:\글로벌백업(180329)\04.수수료작업\202110수수료\</v>
      </c>
      <c r="D46" s="35" t="str">
        <f>A46&amp;"_"&amp;"여주레전드지점OR수수료.xlsx"</f>
        <v>202110_여주레전드지점OR수수료.xlsx</v>
      </c>
      <c r="E46" s="35" t="s">
        <v>387</v>
      </c>
      <c r="F46" s="43" t="s">
        <v>389</v>
      </c>
      <c r="G46" s="35"/>
    </row>
    <row r="47" spans="1:15">
      <c r="A47" s="35">
        <f>A44</f>
        <v>202110</v>
      </c>
      <c r="B47" s="35" t="s">
        <v>391</v>
      </c>
      <c r="C47" s="35" t="str">
        <f t="shared" si="3"/>
        <v>E:\글로벌백업(180329)\04.수수료작업\202110수수료\</v>
      </c>
      <c r="D47" s="35" t="str">
        <f>A47&amp;"_"&amp;"여주레전드지점OR수수료.xlsx"</f>
        <v>202110_여주레전드지점OR수수료.xlsx</v>
      </c>
      <c r="E47" s="35" t="s">
        <v>387</v>
      </c>
      <c r="F47" s="43" t="s">
        <v>390</v>
      </c>
      <c r="G47" s="35"/>
    </row>
    <row r="48" spans="1:15">
      <c r="A48" s="35">
        <f>A45</f>
        <v>202110</v>
      </c>
      <c r="B48" s="35" t="s">
        <v>392</v>
      </c>
      <c r="C48" s="35" t="str">
        <f t="shared" si="3"/>
        <v>E:\글로벌백업(180329)\04.수수료작업\202110수수료\</v>
      </c>
      <c r="D48" s="35" t="str">
        <f>A48&amp;"_"&amp;"여주레전드지점OR수수료.xlsx"</f>
        <v>202110_여주레전드지점OR수수료.xlsx</v>
      </c>
      <c r="E48" s="35" t="s">
        <v>387</v>
      </c>
      <c r="F48" s="43" t="s">
        <v>397</v>
      </c>
      <c r="G48" s="35"/>
    </row>
    <row r="49" spans="1:7">
      <c r="A49" s="35"/>
      <c r="B49" s="35"/>
      <c r="C49" s="35"/>
      <c r="D49" s="35"/>
      <c r="E49" s="35"/>
      <c r="F49" s="11"/>
      <c r="G49" s="35"/>
    </row>
    <row r="63" spans="1:7">
      <c r="C63" s="33"/>
      <c r="D63" s="33"/>
      <c r="E63" s="33"/>
      <c r="F63" s="3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tFileName">
                <anchor moveWithCells="1" sizeWithCells="1">
                  <from>
                    <xdr:col>6</xdr:col>
                    <xdr:colOff>533400</xdr:colOff>
                    <xdr:row>13</xdr:row>
                    <xdr:rowOff>137160</xdr:rowOff>
                  </from>
                  <to>
                    <xdr:col>8</xdr:col>
                    <xdr:colOff>266700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23"/>
  <sheetViews>
    <sheetView topLeftCell="B10" workbookViewId="0">
      <selection activeCell="D24" sqref="D24"/>
    </sheetView>
  </sheetViews>
  <sheetFormatPr defaultRowHeight="17.399999999999999"/>
  <cols>
    <col min="3" max="3" width="51" customWidth="1"/>
    <col min="4" max="4" width="22.5" bestFit="1" customWidth="1"/>
  </cols>
  <sheetData>
    <row r="1" spans="1:4">
      <c r="A1" s="42" t="s">
        <v>103</v>
      </c>
    </row>
    <row r="3" spans="1:4">
      <c r="A3" s="22" t="s">
        <v>100</v>
      </c>
      <c r="B3" s="21">
        <v>201810</v>
      </c>
      <c r="D3" s="35" t="str">
        <f>LEFT($B$3,4)&amp;"-"&amp;RIGHT($B$3,2)&amp;"월"</f>
        <v>2018-10월</v>
      </c>
    </row>
    <row r="4" spans="1:4">
      <c r="A4" t="s">
        <v>101</v>
      </c>
      <c r="B4" s="21">
        <v>201811</v>
      </c>
    </row>
    <row r="5" spans="1:4">
      <c r="A5" s="121" t="s">
        <v>3</v>
      </c>
      <c r="B5" s="121"/>
      <c r="C5" s="15" t="s">
        <v>94</v>
      </c>
      <c r="D5" s="15" t="s">
        <v>0</v>
      </c>
    </row>
    <row r="6" spans="1:4">
      <c r="A6" s="120" t="s">
        <v>87</v>
      </c>
      <c r="B6" s="15" t="s">
        <v>97</v>
      </c>
      <c r="C6" s="35" t="s">
        <v>132</v>
      </c>
      <c r="D6" s="15" t="str">
        <f>LEFT($B$3,4)&amp;"-"&amp;RIGHT($B$3,2)&amp;" KJ 전체 정산A.xlsx"</f>
        <v>2018-10 KJ 전체 정산A.xlsx</v>
      </c>
    </row>
    <row r="7" spans="1:4">
      <c r="A7" s="120"/>
      <c r="B7" s="15" t="s">
        <v>98</v>
      </c>
      <c r="C7" s="35" t="s">
        <v>132</v>
      </c>
      <c r="D7" s="15" t="s">
        <v>102</v>
      </c>
    </row>
    <row r="8" spans="1:4">
      <c r="A8" s="48" t="s">
        <v>96</v>
      </c>
      <c r="B8" s="15" t="s">
        <v>95</v>
      </c>
      <c r="C8" s="35" t="s">
        <v>133</v>
      </c>
      <c r="D8" s="15" t="s">
        <v>114</v>
      </c>
    </row>
    <row r="11" spans="1:4">
      <c r="D11" t="s">
        <v>129</v>
      </c>
    </row>
    <row r="12" spans="1:4">
      <c r="D12" t="s">
        <v>122</v>
      </c>
    </row>
    <row r="14" spans="1:4">
      <c r="A14" t="s">
        <v>115</v>
      </c>
      <c r="D14" s="16" t="s">
        <v>99</v>
      </c>
    </row>
    <row r="15" spans="1:4">
      <c r="B15" t="s">
        <v>124</v>
      </c>
      <c r="D15" s="16" t="s">
        <v>130</v>
      </c>
    </row>
    <row r="16" spans="1:4">
      <c r="B16" t="s">
        <v>116</v>
      </c>
      <c r="D16" s="16"/>
    </row>
    <row r="17" spans="2:12">
      <c r="B17" t="s">
        <v>117</v>
      </c>
    </row>
    <row r="18" spans="2:12">
      <c r="B18" t="s">
        <v>118</v>
      </c>
      <c r="K18" s="50" t="s">
        <v>107</v>
      </c>
    </row>
    <row r="19" spans="2:12">
      <c r="K19" t="s">
        <v>148</v>
      </c>
      <c r="L19" t="s">
        <v>149</v>
      </c>
    </row>
    <row r="20" spans="2:12">
      <c r="K20" t="s">
        <v>150</v>
      </c>
      <c r="L20" t="s">
        <v>149</v>
      </c>
    </row>
    <row r="21" spans="2:12">
      <c r="K21" t="s">
        <v>148</v>
      </c>
      <c r="L21" t="s">
        <v>151</v>
      </c>
    </row>
    <row r="22" spans="2:12">
      <c r="K22" t="s">
        <v>148</v>
      </c>
      <c r="L22" t="s">
        <v>123</v>
      </c>
    </row>
    <row r="23" spans="2:12">
      <c r="K23" t="s">
        <v>152</v>
      </c>
      <c r="L23" t="s">
        <v>123</v>
      </c>
    </row>
  </sheetData>
  <mergeCells count="2">
    <mergeCell ref="A6:A7"/>
    <mergeCell ref="A5:B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kePL">
                <anchor moveWithCells="1" sizeWithCells="1">
                  <from>
                    <xdr:col>2</xdr:col>
                    <xdr:colOff>495300</xdr:colOff>
                    <xdr:row>10</xdr:row>
                    <xdr:rowOff>99060</xdr:rowOff>
                  </from>
                  <to>
                    <xdr:col>2</xdr:col>
                    <xdr:colOff>1584960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31"/>
  <sheetViews>
    <sheetView zoomScale="90" zoomScaleNormal="90" workbookViewId="0">
      <selection activeCell="B5" sqref="B5"/>
    </sheetView>
  </sheetViews>
  <sheetFormatPr defaultRowHeight="17.399999999999999"/>
  <cols>
    <col min="2" max="2" width="9" style="3"/>
    <col min="3" max="3" width="30.09765625" customWidth="1"/>
    <col min="4" max="4" width="28.59765625" customWidth="1"/>
    <col min="11" max="11" width="11" bestFit="1" customWidth="1"/>
    <col min="14" max="14" width="15.8984375" bestFit="1" customWidth="1"/>
  </cols>
  <sheetData>
    <row r="1" spans="1:20">
      <c r="F1" t="s">
        <v>300</v>
      </c>
    </row>
    <row r="2" spans="1:20">
      <c r="F2" t="s">
        <v>301</v>
      </c>
    </row>
    <row r="3" spans="1:20">
      <c r="F3" t="s">
        <v>302</v>
      </c>
    </row>
    <row r="4" spans="1:20">
      <c r="A4" s="67" t="s">
        <v>275</v>
      </c>
      <c r="B4" s="43">
        <f>대상월</f>
        <v>202110</v>
      </c>
      <c r="F4" t="s">
        <v>274</v>
      </c>
    </row>
    <row r="5" spans="1:20">
      <c r="A5" s="67" t="s">
        <v>277</v>
      </c>
      <c r="B5" s="43" t="s">
        <v>538</v>
      </c>
      <c r="F5" t="s">
        <v>440</v>
      </c>
      <c r="K5" t="s">
        <v>286</v>
      </c>
      <c r="N5" t="s">
        <v>282</v>
      </c>
    </row>
    <row r="6" spans="1:20">
      <c r="F6" t="s">
        <v>303</v>
      </c>
      <c r="K6" s="69" t="s">
        <v>278</v>
      </c>
      <c r="N6" s="35" t="s">
        <v>278</v>
      </c>
      <c r="O6" s="35" t="s">
        <v>281</v>
      </c>
      <c r="P6" s="35" t="s">
        <v>280</v>
      </c>
    </row>
    <row r="7" spans="1:20">
      <c r="A7" t="s">
        <v>294</v>
      </c>
      <c r="B7" s="78" t="str">
        <f>IF(RIGHT(대상월,2)="01",(LEFT(대상월,4)-1)&amp;"12",LEFT(대상월,4)&amp;TEXT(RIGHTB(대상월,2)-1,"00"))</f>
        <v>202109</v>
      </c>
      <c r="F7" t="s">
        <v>304</v>
      </c>
      <c r="K7" s="69" t="s">
        <v>536</v>
      </c>
      <c r="N7" s="69" t="s">
        <v>427</v>
      </c>
      <c r="O7" s="35" t="s">
        <v>284</v>
      </c>
      <c r="P7" s="35" t="s">
        <v>398</v>
      </c>
    </row>
    <row r="8" spans="1:20">
      <c r="F8" t="s">
        <v>305</v>
      </c>
      <c r="K8" s="70"/>
      <c r="N8" s="35"/>
      <c r="O8" s="35"/>
      <c r="P8" s="35"/>
    </row>
    <row r="9" spans="1:20">
      <c r="F9" s="7" t="s">
        <v>341</v>
      </c>
      <c r="K9" s="70"/>
    </row>
    <row r="10" spans="1:20">
      <c r="F10" s="7" t="s">
        <v>342</v>
      </c>
      <c r="K10" t="s">
        <v>287</v>
      </c>
      <c r="N10" t="s">
        <v>283</v>
      </c>
      <c r="S10" t="s">
        <v>326</v>
      </c>
    </row>
    <row r="11" spans="1:20">
      <c r="F11" s="7" t="s">
        <v>343</v>
      </c>
      <c r="K11" s="69" t="s">
        <v>503</v>
      </c>
      <c r="L11" t="s">
        <v>505</v>
      </c>
      <c r="N11" s="35" t="s">
        <v>325</v>
      </c>
      <c r="O11" s="35" t="s">
        <v>281</v>
      </c>
      <c r="P11" s="35" t="s">
        <v>280</v>
      </c>
      <c r="Q11" s="1" t="s">
        <v>285</v>
      </c>
      <c r="S11" t="s">
        <v>327</v>
      </c>
      <c r="T11" t="s">
        <v>328</v>
      </c>
    </row>
    <row r="12" spans="1:20">
      <c r="F12" s="7" t="s">
        <v>395</v>
      </c>
      <c r="K12" s="111" t="s">
        <v>125</v>
      </c>
      <c r="L12" t="s">
        <v>506</v>
      </c>
      <c r="N12" s="83" t="s">
        <v>452</v>
      </c>
      <c r="O12" s="35"/>
      <c r="P12" s="35" t="s">
        <v>539</v>
      </c>
      <c r="Q12" s="35" t="s">
        <v>502</v>
      </c>
      <c r="S12" s="82" t="s">
        <v>313</v>
      </c>
      <c r="T12" t="s">
        <v>329</v>
      </c>
    </row>
    <row r="13" spans="1:20">
      <c r="A13" t="s">
        <v>288</v>
      </c>
      <c r="C13" t="s">
        <v>289</v>
      </c>
      <c r="D13" t="s">
        <v>290</v>
      </c>
      <c r="E13" t="s">
        <v>291</v>
      </c>
      <c r="K13" s="71" t="s">
        <v>317</v>
      </c>
      <c r="N13" s="83" t="s">
        <v>314</v>
      </c>
      <c r="O13" s="35"/>
      <c r="P13" s="35" t="s">
        <v>292</v>
      </c>
      <c r="Q13" s="35" t="s">
        <v>502</v>
      </c>
      <c r="S13" s="108" t="s">
        <v>315</v>
      </c>
    </row>
    <row r="14" spans="1:20">
      <c r="A14" t="s">
        <v>276</v>
      </c>
      <c r="B14"/>
      <c r="F14" s="3"/>
      <c r="N14" s="83" t="s">
        <v>473</v>
      </c>
      <c r="O14" s="35"/>
      <c r="P14" s="35" t="s">
        <v>292</v>
      </c>
      <c r="Q14" s="35" t="s">
        <v>502</v>
      </c>
      <c r="S14" s="108" t="s">
        <v>316</v>
      </c>
    </row>
    <row r="15" spans="1:20">
      <c r="A15" s="72">
        <f>대상월</f>
        <v>202110</v>
      </c>
      <c r="B15" s="72"/>
      <c r="C15" s="73" t="str">
        <f>"e:\글로벌백업(180329)\04.수수료작업\"&amp;A15&amp;"시상\"</f>
        <v>e:\글로벌백업(180329)\04.수수료작업\202110시상\</v>
      </c>
      <c r="D15" s="74" t="str">
        <f>A15&amp;" KJ시상정산.xlsx"</f>
        <v>202110 KJ시상정산.xlsx</v>
      </c>
      <c r="F15" s="3"/>
      <c r="N15" s="112" t="s">
        <v>504</v>
      </c>
      <c r="O15" s="35"/>
      <c r="P15" s="35" t="s">
        <v>539</v>
      </c>
      <c r="Q15" s="35"/>
      <c r="S15" s="108" t="s">
        <v>317</v>
      </c>
    </row>
    <row r="16" spans="1:20">
      <c r="A16" t="s">
        <v>279</v>
      </c>
      <c r="B16"/>
      <c r="F16" s="3"/>
      <c r="J16" s="88" t="s">
        <v>340</v>
      </c>
      <c r="N16" s="83" t="s">
        <v>456</v>
      </c>
      <c r="O16" s="35"/>
      <c r="P16" s="35" t="s">
        <v>539</v>
      </c>
      <c r="Q16" s="35" t="s">
        <v>502</v>
      </c>
      <c r="S16" s="82" t="s">
        <v>318</v>
      </c>
    </row>
    <row r="17" spans="1:20">
      <c r="A17" s="72">
        <f>대상월</f>
        <v>202110</v>
      </c>
      <c r="B17" s="72" t="s">
        <v>292</v>
      </c>
      <c r="C17" s="75" t="str">
        <f>"e:\글로벌백업(180329)\04.수수료작업\"&amp;A17&amp;"수수료\"</f>
        <v>e:\글로벌백업(180329)\04.수수료작업\202110수수료\</v>
      </c>
      <c r="D17" s="76" t="str">
        <f>LEFT(A17,4)&amp;RIGHT(A17,2)&amp;"_수입원장.xlsx"</f>
        <v>202110_수입원장.xlsx</v>
      </c>
      <c r="E17" s="77" t="s">
        <v>293</v>
      </c>
      <c r="F17" s="3"/>
      <c r="J17" s="35"/>
      <c r="K17" s="35" t="s">
        <v>337</v>
      </c>
      <c r="L17" s="35" t="s">
        <v>338</v>
      </c>
      <c r="N17" s="83" t="s">
        <v>489</v>
      </c>
      <c r="O17" s="35"/>
      <c r="P17" s="35" t="s">
        <v>539</v>
      </c>
      <c r="Q17" s="35" t="s">
        <v>502</v>
      </c>
      <c r="S17" s="82" t="s">
        <v>319</v>
      </c>
    </row>
    <row r="18" spans="1:20">
      <c r="A18" s="78" t="str">
        <f>B7</f>
        <v>202109</v>
      </c>
      <c r="B18" s="78" t="s">
        <v>294</v>
      </c>
      <c r="C18" s="75" t="str">
        <f>"e:\글로벌백업(180329)\04.수수료작업\"&amp;A18&amp;"수수료\"</f>
        <v>e:\글로벌백업(180329)\04.수수료작업\202109수수료\</v>
      </c>
      <c r="D18" s="76" t="str">
        <f>LEFT(A18,4)&amp;RIGHT(A18,2)&amp;"_수입원장.xlsx"</f>
        <v>202109_수입원장.xlsx</v>
      </c>
      <c r="E18" s="77" t="s">
        <v>293</v>
      </c>
      <c r="F18" s="3"/>
      <c r="J18" s="35" t="s">
        <v>336</v>
      </c>
      <c r="K18" s="35">
        <v>5</v>
      </c>
      <c r="L18" s="35">
        <v>10</v>
      </c>
      <c r="N18" s="83" t="s">
        <v>460</v>
      </c>
      <c r="O18" s="35"/>
      <c r="P18" s="35" t="s">
        <v>292</v>
      </c>
      <c r="Q18" s="35" t="s">
        <v>502</v>
      </c>
      <c r="S18" s="82" t="s">
        <v>320</v>
      </c>
    </row>
    <row r="19" spans="1:20">
      <c r="A19" t="s">
        <v>299</v>
      </c>
      <c r="J19" s="35" t="s">
        <v>134</v>
      </c>
      <c r="K19" s="35">
        <v>51</v>
      </c>
      <c r="L19" s="35">
        <v>56</v>
      </c>
      <c r="N19" s="83" t="s">
        <v>458</v>
      </c>
      <c r="O19" s="35"/>
      <c r="P19" s="35" t="s">
        <v>292</v>
      </c>
      <c r="Q19" s="35" t="s">
        <v>502</v>
      </c>
      <c r="S19" s="43" t="s">
        <v>412</v>
      </c>
    </row>
    <row r="20" spans="1:20">
      <c r="A20" s="79" t="s">
        <v>295</v>
      </c>
      <c r="B20" s="78"/>
      <c r="C20" s="75" t="str">
        <f>"e:\글로벌백업(180329)\04.수수료작업\"&amp;B7&amp;"시상\"</f>
        <v>e:\글로벌백업(180329)\04.수수료작업\202109시상\</v>
      </c>
      <c r="D20" s="77" t="str">
        <f>B7&amp;"_시상+수수료정산_메트로HL.xlsx"</f>
        <v>202109_시상+수수료정산_메트로HL.xlsx</v>
      </c>
      <c r="E20" s="77" t="s">
        <v>296</v>
      </c>
      <c r="N20" s="83" t="s">
        <v>490</v>
      </c>
      <c r="O20" s="35"/>
      <c r="P20" s="35" t="s">
        <v>292</v>
      </c>
      <c r="Q20" s="35" t="s">
        <v>502</v>
      </c>
      <c r="S20" s="108" t="s">
        <v>321</v>
      </c>
    </row>
    <row r="21" spans="1:20">
      <c r="A21" s="77" t="s">
        <v>297</v>
      </c>
      <c r="B21" s="78"/>
      <c r="C21" s="75" t="str">
        <f>"e:\글로벌백업(180329)\04.수수료작업\"&amp;B7&amp;"시상\"</f>
        <v>e:\글로벌백업(180329)\04.수수료작업\202109시상\</v>
      </c>
      <c r="D21" s="77" t="str">
        <f>B7&amp;"_시상+수수료정산_씨티엠지점.xlsx"</f>
        <v>202109_시상+수수료정산_씨티엠지점.xlsx</v>
      </c>
      <c r="E21" s="77" t="s">
        <v>298</v>
      </c>
      <c r="J21" s="89" t="s">
        <v>339</v>
      </c>
      <c r="K21" s="90">
        <f>VLOOKUP(작업대상지점2,$J$18:$L$19,2,0)</f>
        <v>5</v>
      </c>
      <c r="L21" s="90">
        <f>VLOOKUP(작업대상지점2,$J$18:$L$19,3,0)</f>
        <v>10</v>
      </c>
      <c r="N21" s="83" t="s">
        <v>491</v>
      </c>
      <c r="O21" s="35"/>
      <c r="P21" s="35" t="s">
        <v>292</v>
      </c>
      <c r="Q21" s="35" t="s">
        <v>502</v>
      </c>
      <c r="S21" s="82" t="s">
        <v>322</v>
      </c>
    </row>
    <row r="22" spans="1:20">
      <c r="A22" s="77" t="s">
        <v>359</v>
      </c>
      <c r="B22" s="92"/>
      <c r="C22" s="75" t="str">
        <f>"e:\글로벌백업(180329)\04.수수료작업\"&amp;B7&amp;"시상\"</f>
        <v>e:\글로벌백업(180329)\04.수수료작업\202109시상\</v>
      </c>
      <c r="D22" s="77" t="str">
        <f>B7&amp;"_시상+수수료정산_여주지점.xlsx"</f>
        <v>202109_시상+수수료정산_여주지점.xlsx</v>
      </c>
      <c r="E22" s="77" t="s">
        <v>360</v>
      </c>
      <c r="N22" s="83" t="s">
        <v>472</v>
      </c>
      <c r="O22" s="35"/>
      <c r="P22" s="35" t="s">
        <v>292</v>
      </c>
      <c r="Q22" s="35" t="s">
        <v>502</v>
      </c>
      <c r="S22" s="108" t="s">
        <v>323</v>
      </c>
      <c r="T22" t="s">
        <v>330</v>
      </c>
    </row>
    <row r="23" spans="1:20">
      <c r="N23" s="83" t="s">
        <v>471</v>
      </c>
      <c r="O23" s="35"/>
      <c r="P23" s="35" t="s">
        <v>292</v>
      </c>
      <c r="Q23" s="35" t="s">
        <v>502</v>
      </c>
      <c r="S23" s="82" t="s">
        <v>324</v>
      </c>
    </row>
    <row r="24" spans="1:20">
      <c r="N24" s="83" t="s">
        <v>492</v>
      </c>
      <c r="O24" s="35" t="s">
        <v>407</v>
      </c>
      <c r="P24" s="35" t="s">
        <v>539</v>
      </c>
      <c r="Q24" s="35" t="s">
        <v>502</v>
      </c>
      <c r="S24" s="43" t="s">
        <v>401</v>
      </c>
    </row>
    <row r="25" spans="1:20">
      <c r="N25" s="83" t="s">
        <v>493</v>
      </c>
      <c r="O25" s="35"/>
      <c r="P25" s="35" t="s">
        <v>292</v>
      </c>
      <c r="Q25" s="35" t="s">
        <v>502</v>
      </c>
      <c r="S25" s="43" t="s">
        <v>413</v>
      </c>
    </row>
    <row r="28" spans="1:20">
      <c r="N28" s="100" t="s">
        <v>358</v>
      </c>
    </row>
    <row r="29" spans="1:20">
      <c r="N29" s="35" t="s">
        <v>86</v>
      </c>
      <c r="O29" s="35" t="s">
        <v>281</v>
      </c>
      <c r="P29" s="35" t="s">
        <v>28</v>
      </c>
    </row>
    <row r="30" spans="1:20">
      <c r="N30" s="69" t="s">
        <v>431</v>
      </c>
      <c r="O30" s="35"/>
      <c r="P30" s="35" t="s">
        <v>537</v>
      </c>
    </row>
    <row r="31" spans="1:20">
      <c r="N31" s="35"/>
      <c r="O31" s="35"/>
      <c r="P31" s="35"/>
    </row>
  </sheetData>
  <phoneticPr fontId="1" type="noConversion"/>
  <dataValidations count="1">
    <dataValidation type="list" allowBlank="1" showInputMessage="1" showErrorMessage="1" sqref="B5">
      <formula1>"메트로HL,씨티엠지점,여주지점"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MetroCity">
                <anchor moveWithCells="1" sizeWithCells="1">
                  <from>
                    <xdr:col>2</xdr:col>
                    <xdr:colOff>556260</xdr:colOff>
                    <xdr:row>4</xdr:row>
                    <xdr:rowOff>0</xdr:rowOff>
                  </from>
                  <to>
                    <xdr:col>4</xdr:col>
                    <xdr:colOff>38100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16"/>
  <sheetViews>
    <sheetView workbookViewId="0">
      <selection activeCell="M15" sqref="M15"/>
    </sheetView>
  </sheetViews>
  <sheetFormatPr defaultRowHeight="17.399999999999999"/>
  <cols>
    <col min="2" max="2" width="27.09765625" customWidth="1"/>
    <col min="3" max="3" width="14.09765625" customWidth="1"/>
    <col min="30" max="30" width="9" style="68"/>
  </cols>
  <sheetData>
    <row r="1" spans="1:10">
      <c r="A1" t="s">
        <v>353</v>
      </c>
    </row>
    <row r="3" spans="1:10">
      <c r="A3" s="79" t="s">
        <v>345</v>
      </c>
      <c r="B3" s="77" t="s">
        <v>396</v>
      </c>
      <c r="C3" s="92" t="s">
        <v>351</v>
      </c>
    </row>
    <row r="4" spans="1:10">
      <c r="A4" s="77" t="s">
        <v>346</v>
      </c>
      <c r="B4" s="77" t="s">
        <v>399</v>
      </c>
      <c r="C4" s="77" t="s">
        <v>352</v>
      </c>
      <c r="J4" t="s">
        <v>361</v>
      </c>
    </row>
    <row r="5" spans="1:10">
      <c r="A5" s="77" t="s">
        <v>347</v>
      </c>
      <c r="B5" s="77" t="s">
        <v>400</v>
      </c>
      <c r="C5" s="77" t="s">
        <v>352</v>
      </c>
      <c r="J5" t="s">
        <v>362</v>
      </c>
    </row>
    <row r="6" spans="1:10">
      <c r="J6" t="s">
        <v>363</v>
      </c>
    </row>
    <row r="7" spans="1:10">
      <c r="J7" t="s">
        <v>364</v>
      </c>
    </row>
    <row r="8" spans="1:10">
      <c r="J8" t="s">
        <v>365</v>
      </c>
    </row>
    <row r="9" spans="1:10">
      <c r="B9" t="s">
        <v>348</v>
      </c>
      <c r="J9" t="s">
        <v>366</v>
      </c>
    </row>
    <row r="10" spans="1:10">
      <c r="B10" t="s">
        <v>349</v>
      </c>
      <c r="J10" t="s">
        <v>367</v>
      </c>
    </row>
    <row r="11" spans="1:10">
      <c r="A11" s="94"/>
      <c r="B11" s="94"/>
      <c r="C11" s="94"/>
      <c r="J11" t="s">
        <v>368</v>
      </c>
    </row>
    <row r="12" spans="1:10">
      <c r="A12" s="95" t="s">
        <v>0</v>
      </c>
      <c r="B12" s="96" t="s">
        <v>357</v>
      </c>
      <c r="C12" s="97" t="s">
        <v>351</v>
      </c>
      <c r="J12" t="s">
        <v>369</v>
      </c>
    </row>
    <row r="13" spans="1:10">
      <c r="A13" s="98" t="s">
        <v>346</v>
      </c>
      <c r="B13" s="98" t="s">
        <v>354</v>
      </c>
      <c r="C13" s="98" t="s">
        <v>356</v>
      </c>
      <c r="J13" t="s">
        <v>370</v>
      </c>
    </row>
    <row r="14" spans="1:10">
      <c r="A14" s="98" t="s">
        <v>347</v>
      </c>
      <c r="B14" s="98" t="s">
        <v>355</v>
      </c>
      <c r="C14" s="98" t="s">
        <v>352</v>
      </c>
      <c r="J14" t="s">
        <v>371</v>
      </c>
    </row>
    <row r="15" spans="1:10">
      <c r="A15" s="99"/>
      <c r="B15" s="99"/>
      <c r="C15" s="99"/>
      <c r="J15" t="s">
        <v>372</v>
      </c>
    </row>
    <row r="16" spans="1:10">
      <c r="A16" s="99"/>
      <c r="B16" s="99"/>
      <c r="C16" s="99"/>
      <c r="J16" t="s">
        <v>373</v>
      </c>
    </row>
  </sheetData>
  <phoneticPr fontId="1" type="noConversion"/>
  <dataValidations count="1">
    <dataValidation type="list" allowBlank="1" showInputMessage="1" showErrorMessage="1" sqref="B5">
      <formula1>$J$4:$J$16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사원추가">
                <anchor moveWithCells="1" sizeWithCells="1">
                  <from>
                    <xdr:col>2</xdr:col>
                    <xdr:colOff>175260</xdr:colOff>
                    <xdr:row>5</xdr:row>
                    <xdr:rowOff>152400</xdr:rowOff>
                  </from>
                  <to>
                    <xdr:col>3</xdr:col>
                    <xdr:colOff>236220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누계수식">
                <anchor moveWithCells="1" sizeWithCells="1">
                  <from>
                    <xdr:col>4</xdr:col>
                    <xdr:colOff>403860</xdr:colOff>
                    <xdr:row>5</xdr:row>
                    <xdr:rowOff>175260</xdr:rowOff>
                  </from>
                  <to>
                    <xdr:col>7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10"/>
  <sheetViews>
    <sheetView workbookViewId="0">
      <selection activeCell="F17" sqref="F17"/>
    </sheetView>
  </sheetViews>
  <sheetFormatPr defaultRowHeight="17.399999999999999"/>
  <sheetData>
    <row r="1" spans="1:35">
      <c r="A1" t="s">
        <v>202</v>
      </c>
    </row>
    <row r="2" spans="1:35" s="62" customFormat="1">
      <c r="A2" s="60" t="s">
        <v>172</v>
      </c>
      <c r="B2" s="60" t="s">
        <v>173</v>
      </c>
      <c r="C2" s="60" t="s">
        <v>174</v>
      </c>
      <c r="D2" s="60" t="s">
        <v>175</v>
      </c>
      <c r="E2" s="60" t="s">
        <v>176</v>
      </c>
      <c r="F2" s="60" t="s">
        <v>177</v>
      </c>
      <c r="G2" s="60" t="s">
        <v>178</v>
      </c>
      <c r="H2" s="60" t="s">
        <v>179</v>
      </c>
      <c r="I2" s="60" t="s">
        <v>180</v>
      </c>
      <c r="J2" s="60" t="s">
        <v>181</v>
      </c>
      <c r="K2" s="60" t="s">
        <v>182</v>
      </c>
      <c r="L2" s="60" t="s">
        <v>168</v>
      </c>
      <c r="M2" s="60" t="s">
        <v>183</v>
      </c>
      <c r="N2" s="60" t="s">
        <v>184</v>
      </c>
      <c r="O2" s="60" t="s">
        <v>185</v>
      </c>
      <c r="P2" s="60" t="s">
        <v>186</v>
      </c>
      <c r="Q2" s="60" t="s">
        <v>187</v>
      </c>
      <c r="R2" s="60" t="s">
        <v>188</v>
      </c>
      <c r="S2" s="60" t="s">
        <v>189</v>
      </c>
      <c r="T2" s="60" t="s">
        <v>190</v>
      </c>
      <c r="U2" s="60" t="s">
        <v>191</v>
      </c>
      <c r="V2" s="60" t="s">
        <v>192</v>
      </c>
      <c r="W2" s="60" t="s">
        <v>193</v>
      </c>
      <c r="X2" s="60" t="s">
        <v>194</v>
      </c>
      <c r="Y2" s="60" t="s">
        <v>195</v>
      </c>
      <c r="Z2" s="60" t="s">
        <v>196</v>
      </c>
      <c r="AA2" s="60" t="s">
        <v>197</v>
      </c>
      <c r="AB2" s="60" t="s">
        <v>198</v>
      </c>
      <c r="AC2" s="60" t="s">
        <v>199</v>
      </c>
      <c r="AD2" s="60" t="s">
        <v>200</v>
      </c>
      <c r="AF2" s="60" t="s">
        <v>201</v>
      </c>
    </row>
    <row r="3" spans="1:35">
      <c r="A3" t="s">
        <v>39</v>
      </c>
    </row>
    <row r="4" spans="1:35" s="63" customFormat="1" ht="14.4">
      <c r="A4" s="63" t="s">
        <v>180</v>
      </c>
      <c r="B4" s="63" t="s">
        <v>203</v>
      </c>
      <c r="C4" s="63" t="s">
        <v>182</v>
      </c>
      <c r="D4" s="63" t="s">
        <v>204</v>
      </c>
      <c r="E4" s="63" t="s">
        <v>205</v>
      </c>
      <c r="F4" s="63" t="s">
        <v>206</v>
      </c>
      <c r="G4" s="63" t="s">
        <v>207</v>
      </c>
      <c r="H4" s="63" t="s">
        <v>208</v>
      </c>
      <c r="I4" s="63" t="s">
        <v>209</v>
      </c>
      <c r="J4" s="63" t="s">
        <v>210</v>
      </c>
      <c r="K4" s="63" t="s">
        <v>211</v>
      </c>
      <c r="L4" s="63" t="s">
        <v>212</v>
      </c>
      <c r="M4" s="63" t="s">
        <v>213</v>
      </c>
      <c r="N4" s="63" t="s">
        <v>214</v>
      </c>
      <c r="O4" s="63" t="s">
        <v>215</v>
      </c>
      <c r="P4" s="63" t="s">
        <v>216</v>
      </c>
      <c r="Q4" s="63" t="s">
        <v>217</v>
      </c>
      <c r="R4" s="63" t="s">
        <v>218</v>
      </c>
      <c r="S4" s="63" t="s">
        <v>219</v>
      </c>
      <c r="T4" s="63" t="s">
        <v>220</v>
      </c>
      <c r="U4" s="63" t="s">
        <v>221</v>
      </c>
      <c r="V4" s="63" t="s">
        <v>222</v>
      </c>
      <c r="W4" s="63" t="s">
        <v>223</v>
      </c>
      <c r="X4" s="63" t="s">
        <v>224</v>
      </c>
      <c r="Y4" s="63" t="s">
        <v>225</v>
      </c>
      <c r="Z4" s="63" t="s">
        <v>226</v>
      </c>
      <c r="AA4" s="63" t="s">
        <v>227</v>
      </c>
      <c r="AB4" s="63" t="s">
        <v>228</v>
      </c>
      <c r="AC4" s="63" t="s">
        <v>194</v>
      </c>
      <c r="AD4" s="63" t="s">
        <v>229</v>
      </c>
      <c r="AE4" s="63" t="s">
        <v>232</v>
      </c>
      <c r="AF4" s="63" t="s">
        <v>230</v>
      </c>
      <c r="AG4" s="63" t="s">
        <v>231</v>
      </c>
      <c r="AH4" s="63" t="s">
        <v>231</v>
      </c>
      <c r="AI4" s="63" t="s">
        <v>234</v>
      </c>
    </row>
    <row r="5" spans="1:35">
      <c r="A5" t="s">
        <v>161</v>
      </c>
    </row>
    <row r="6" spans="1:35" s="63" customFormat="1" ht="14.4">
      <c r="A6" s="63" t="s">
        <v>180</v>
      </c>
      <c r="B6" s="63" t="s">
        <v>203</v>
      </c>
      <c r="C6" s="63" t="s">
        <v>182</v>
      </c>
      <c r="D6" s="63" t="s">
        <v>204</v>
      </c>
      <c r="E6" s="63" t="s">
        <v>205</v>
      </c>
      <c r="F6" s="63" t="s">
        <v>206</v>
      </c>
      <c r="G6" s="63" t="s">
        <v>207</v>
      </c>
      <c r="H6" s="63" t="s">
        <v>208</v>
      </c>
      <c r="I6" s="63" t="s">
        <v>209</v>
      </c>
      <c r="J6" s="63" t="s">
        <v>240</v>
      </c>
      <c r="K6" s="63" t="s">
        <v>211</v>
      </c>
      <c r="L6" s="63" t="s">
        <v>212</v>
      </c>
      <c r="M6" s="63" t="s">
        <v>213</v>
      </c>
      <c r="N6" s="63" t="s">
        <v>214</v>
      </c>
      <c r="O6" s="63" t="s">
        <v>217</v>
      </c>
      <c r="P6" s="63" t="s">
        <v>241</v>
      </c>
      <c r="Q6" s="63" t="s">
        <v>223</v>
      </c>
      <c r="R6" s="63" t="s">
        <v>224</v>
      </c>
      <c r="S6" s="63" t="s">
        <v>225</v>
      </c>
      <c r="T6" s="63" t="s">
        <v>226</v>
      </c>
      <c r="U6" s="63" t="s">
        <v>228</v>
      </c>
      <c r="V6" s="63" t="s">
        <v>194</v>
      </c>
      <c r="W6" s="63" t="s">
        <v>229</v>
      </c>
      <c r="X6" s="63" t="s">
        <v>230</v>
      </c>
      <c r="Y6" s="63" t="s">
        <v>231</v>
      </c>
      <c r="Z6" s="63" t="s">
        <v>232</v>
      </c>
      <c r="AA6" s="63" t="s">
        <v>231</v>
      </c>
      <c r="AB6" s="63" t="s">
        <v>233</v>
      </c>
      <c r="AC6" s="63" t="s">
        <v>175</v>
      </c>
      <c r="AD6" s="63" t="s">
        <v>234</v>
      </c>
      <c r="AE6" s="63" t="s">
        <v>237</v>
      </c>
      <c r="AF6" s="63" t="s">
        <v>235</v>
      </c>
      <c r="AG6" s="63" t="s">
        <v>236</v>
      </c>
      <c r="AH6" s="63" t="s">
        <v>238</v>
      </c>
    </row>
    <row r="7" spans="1:35">
      <c r="A7" t="s">
        <v>41</v>
      </c>
    </row>
    <row r="8" spans="1:35" s="63" customFormat="1" ht="14.4">
      <c r="A8" s="63" t="s">
        <v>180</v>
      </c>
      <c r="B8" s="63" t="s">
        <v>203</v>
      </c>
      <c r="C8" s="63" t="s">
        <v>182</v>
      </c>
      <c r="D8" s="63" t="s">
        <v>204</v>
      </c>
      <c r="E8" s="63" t="s">
        <v>205</v>
      </c>
      <c r="F8" s="63" t="s">
        <v>206</v>
      </c>
      <c r="G8" s="63" t="s">
        <v>207</v>
      </c>
      <c r="H8" s="63" t="s">
        <v>208</v>
      </c>
      <c r="I8" s="63" t="s">
        <v>209</v>
      </c>
      <c r="J8" s="63" t="s">
        <v>240</v>
      </c>
      <c r="K8" s="63" t="s">
        <v>212</v>
      </c>
      <c r="L8" s="63" t="s">
        <v>242</v>
      </c>
      <c r="M8" s="63" t="s">
        <v>213</v>
      </c>
      <c r="N8" s="63" t="s">
        <v>217</v>
      </c>
      <c r="O8" s="63" t="s">
        <v>195</v>
      </c>
      <c r="P8" s="63" t="s">
        <v>223</v>
      </c>
      <c r="Q8" s="63" t="s">
        <v>224</v>
      </c>
      <c r="R8" s="63" t="s">
        <v>225</v>
      </c>
      <c r="S8" s="63" t="s">
        <v>226</v>
      </c>
      <c r="T8" s="63" t="s">
        <v>243</v>
      </c>
      <c r="U8" s="63" t="s">
        <v>244</v>
      </c>
      <c r="V8" s="63" t="s">
        <v>186</v>
      </c>
      <c r="W8" s="63" t="s">
        <v>230</v>
      </c>
      <c r="X8" s="63" t="s">
        <v>231</v>
      </c>
      <c r="Y8" s="63" t="s">
        <v>232</v>
      </c>
      <c r="Z8" s="63" t="s">
        <v>231</v>
      </c>
      <c r="AA8" s="63" t="s">
        <v>233</v>
      </c>
      <c r="AB8" s="63" t="s">
        <v>245</v>
      </c>
      <c r="AC8" s="63" t="s">
        <v>234</v>
      </c>
      <c r="AD8" s="63" t="s">
        <v>235</v>
      </c>
      <c r="AE8" s="63" t="s">
        <v>238</v>
      </c>
      <c r="AF8" s="63" t="s">
        <v>236</v>
      </c>
      <c r="AG8" s="63" t="s">
        <v>237</v>
      </c>
      <c r="AH8" s="63" t="s">
        <v>239</v>
      </c>
    </row>
    <row r="9" spans="1:35">
      <c r="A9" t="s">
        <v>120</v>
      </c>
    </row>
    <row r="10" spans="1:35" s="63" customFormat="1" ht="14.4">
      <c r="A10" s="63" t="s">
        <v>180</v>
      </c>
      <c r="B10" s="63" t="s">
        <v>203</v>
      </c>
      <c r="C10" s="63" t="s">
        <v>182</v>
      </c>
      <c r="D10" s="63" t="s">
        <v>204</v>
      </c>
      <c r="E10" s="63" t="s">
        <v>205</v>
      </c>
      <c r="F10" s="63" t="s">
        <v>206</v>
      </c>
      <c r="G10" s="63" t="s">
        <v>207</v>
      </c>
      <c r="H10" s="63" t="s">
        <v>208</v>
      </c>
      <c r="I10" s="63" t="s">
        <v>209</v>
      </c>
      <c r="J10" s="63" t="s">
        <v>210</v>
      </c>
      <c r="K10" s="63" t="s">
        <v>211</v>
      </c>
      <c r="L10" s="63" t="s">
        <v>212</v>
      </c>
      <c r="M10" s="63" t="s">
        <v>213</v>
      </c>
      <c r="N10" s="63" t="s">
        <v>214</v>
      </c>
      <c r="O10" s="63" t="s">
        <v>215</v>
      </c>
      <c r="P10" s="63" t="s">
        <v>216</v>
      </c>
      <c r="Q10" s="63" t="s">
        <v>217</v>
      </c>
      <c r="R10" s="63" t="s">
        <v>218</v>
      </c>
      <c r="S10" s="63" t="s">
        <v>246</v>
      </c>
      <c r="T10" s="63" t="s">
        <v>220</v>
      </c>
      <c r="U10" s="63" t="s">
        <v>223</v>
      </c>
      <c r="V10" s="63" t="s">
        <v>224</v>
      </c>
      <c r="W10" s="63" t="s">
        <v>225</v>
      </c>
      <c r="X10" s="63" t="s">
        <v>226</v>
      </c>
      <c r="Y10" s="63" t="s">
        <v>247</v>
      </c>
      <c r="Z10" s="63" t="s">
        <v>228</v>
      </c>
      <c r="AA10" s="63" t="s">
        <v>194</v>
      </c>
      <c r="AB10" s="63" t="s">
        <v>229</v>
      </c>
      <c r="AC10" s="63" t="s">
        <v>230</v>
      </c>
      <c r="AD10" s="63" t="s">
        <v>231</v>
      </c>
      <c r="AE10" s="63" t="s">
        <v>233</v>
      </c>
      <c r="AF10" s="63" t="s">
        <v>232</v>
      </c>
      <c r="AG10" s="63" t="s">
        <v>231</v>
      </c>
      <c r="AH10" s="63" t="s">
        <v>175</v>
      </c>
      <c r="AI10" s="63" t="s">
        <v>236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5"/>
  <sheetViews>
    <sheetView workbookViewId="0"/>
  </sheetViews>
  <sheetFormatPr defaultRowHeight="17.399999999999999"/>
  <sheetData>
    <row r="1" spans="1:2">
      <c r="A1" t="s">
        <v>532</v>
      </c>
      <c r="B1" t="s">
        <v>532</v>
      </c>
    </row>
    <row r="2" spans="1:2">
      <c r="A2" t="s">
        <v>352</v>
      </c>
      <c r="B2" t="s">
        <v>531</v>
      </c>
    </row>
    <row r="3" spans="1:2">
      <c r="A3" t="s">
        <v>352</v>
      </c>
      <c r="B3" t="s">
        <v>533</v>
      </c>
    </row>
    <row r="4" spans="1:2">
      <c r="A4" t="s">
        <v>534</v>
      </c>
      <c r="B4" t="s">
        <v>531</v>
      </c>
    </row>
    <row r="5" spans="1:2">
      <c r="A5" t="s">
        <v>535</v>
      </c>
      <c r="B5" t="s">
        <v>533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1"/>
  <sheetViews>
    <sheetView workbookViewId="0">
      <selection activeCell="K3" sqref="K3"/>
    </sheetView>
  </sheetViews>
  <sheetFormatPr defaultRowHeight="17.399999999999999"/>
  <sheetData>
    <row r="1" spans="1:38" ht="52.2">
      <c r="A1" s="123" t="s">
        <v>179</v>
      </c>
      <c r="B1" s="123" t="s">
        <v>180</v>
      </c>
      <c r="C1" s="123" t="s">
        <v>182</v>
      </c>
      <c r="D1" s="123" t="s">
        <v>204</v>
      </c>
      <c r="E1" s="123" t="s">
        <v>205</v>
      </c>
      <c r="F1" s="123" t="s">
        <v>206</v>
      </c>
      <c r="G1" s="123" t="s">
        <v>211</v>
      </c>
      <c r="H1" s="123" t="s">
        <v>212</v>
      </c>
      <c r="I1" s="123" t="s">
        <v>213</v>
      </c>
      <c r="J1" s="123" t="s">
        <v>214</v>
      </c>
      <c r="K1" s="123" t="s">
        <v>215</v>
      </c>
      <c r="L1" s="123" t="s">
        <v>216</v>
      </c>
      <c r="M1" s="123" t="s">
        <v>217</v>
      </c>
      <c r="N1" s="123" t="s">
        <v>218</v>
      </c>
      <c r="O1" s="123" t="s">
        <v>246</v>
      </c>
      <c r="P1" s="123" t="s">
        <v>220</v>
      </c>
      <c r="Q1" s="123" t="s">
        <v>565</v>
      </c>
      <c r="R1" s="123" t="s">
        <v>223</v>
      </c>
      <c r="S1" s="123" t="s">
        <v>224</v>
      </c>
      <c r="T1" s="123" t="s">
        <v>225</v>
      </c>
      <c r="U1" s="123" t="s">
        <v>226</v>
      </c>
      <c r="V1" s="123" t="s">
        <v>247</v>
      </c>
      <c r="W1" s="123" t="s">
        <v>228</v>
      </c>
      <c r="X1" s="123" t="s">
        <v>194</v>
      </c>
      <c r="Y1" s="123" t="s">
        <v>229</v>
      </c>
      <c r="Z1" s="123" t="s">
        <v>230</v>
      </c>
      <c r="AA1" s="123" t="s">
        <v>566</v>
      </c>
      <c r="AB1" s="123" t="s">
        <v>232</v>
      </c>
      <c r="AC1" s="123" t="s">
        <v>567</v>
      </c>
      <c r="AD1" s="123" t="s">
        <v>233</v>
      </c>
      <c r="AE1" s="123" t="s">
        <v>175</v>
      </c>
      <c r="AF1" s="123" t="s">
        <v>234</v>
      </c>
      <c r="AG1" s="123" t="s">
        <v>235</v>
      </c>
      <c r="AH1" s="123" t="s">
        <v>236</v>
      </c>
      <c r="AI1" s="123" t="s">
        <v>237</v>
      </c>
      <c r="AJ1" s="123" t="s">
        <v>238</v>
      </c>
      <c r="AK1" s="123" t="s">
        <v>239</v>
      </c>
      <c r="AL1" s="123" t="s">
        <v>568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24</vt:i4>
      </vt:variant>
    </vt:vector>
  </HeadingPairs>
  <TitlesOfParts>
    <vt:vector size="33" baseType="lpstr">
      <vt:lpstr>안내</vt:lpstr>
      <vt:lpstr>정산작업</vt:lpstr>
      <vt:lpstr>파일정보</vt:lpstr>
      <vt:lpstr>지점손익</vt:lpstr>
      <vt:lpstr>메트로,씨티</vt:lpstr>
      <vt:lpstr>월별정산사원</vt:lpstr>
      <vt:lpstr>Sheet1</vt:lpstr>
      <vt:lpstr>Sheet3</vt:lpstr>
      <vt:lpstr>Sheet2</vt:lpstr>
      <vt:lpstr>ss</vt:lpstr>
      <vt:lpstr>공동정산대상</vt:lpstr>
      <vt:lpstr>공동정산필터</vt:lpstr>
      <vt:lpstr>글래드명</vt:lpstr>
      <vt:lpstr>기준색</vt:lpstr>
      <vt:lpstr>대상월</vt:lpstr>
      <vt:lpstr>메트로HL전월정산</vt:lpstr>
      <vt:lpstr>메트로원장필터</vt:lpstr>
      <vt:lpstr>메트로필터</vt:lpstr>
      <vt:lpstr>법인행번호</vt:lpstr>
      <vt:lpstr>사원행번호</vt:lpstr>
      <vt:lpstr>승격공로금</vt:lpstr>
      <vt:lpstr>승격분담금</vt:lpstr>
      <vt:lpstr>시상파일명</vt:lpstr>
      <vt:lpstr>씨티엠지점전월정산</vt:lpstr>
      <vt:lpstr>씨티엠필터</vt:lpstr>
      <vt:lpstr>여주지점전월정산</vt:lpstr>
      <vt:lpstr>원장정산</vt:lpstr>
      <vt:lpstr>원장파일명</vt:lpstr>
      <vt:lpstr>원장필터</vt:lpstr>
      <vt:lpstr>작업대상지점2</vt:lpstr>
      <vt:lpstr>총괄분담금</vt:lpstr>
      <vt:lpstr>총괄분담금2</vt:lpstr>
      <vt:lpstr>피스토스수금</vt:lpstr>
    </vt:vector>
  </TitlesOfParts>
  <Company>win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HK</dc:creator>
  <cp:lastModifiedBy>윤제열</cp:lastModifiedBy>
  <dcterms:created xsi:type="dcterms:W3CDTF">2017-12-14T07:46:07Z</dcterms:created>
  <dcterms:modified xsi:type="dcterms:W3CDTF">2021-11-25T14:33:44Z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a575d3ff-b97d-4ef6-9080-0cb0425a1c40</vt:lpwstr>
  </property>
</Properties>
</file>